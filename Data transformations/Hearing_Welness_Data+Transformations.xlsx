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3f8380d4eed02541/Pulpit/Mateusz/Analizy/Hearing Welness/"/>
    </mc:Choice>
  </mc:AlternateContent>
  <xr:revisionPtr revIDLastSave="843" documentId="11_F25DC773A252ABDACC104868811C429E5BDE58F2" xr6:coauthVersionLast="47" xr6:coauthVersionMax="47" xr10:uidLastSave="{4036C966-073F-4731-86E1-832BA95A95A2}"/>
  <bookViews>
    <workbookView xWindow="-108" yWindow="-108" windowWidth="23256" windowHeight="13896" tabRatio="692" activeTab="3" xr2:uid="{00000000-000D-0000-FFFF-FFFF00000000}"/>
  </bookViews>
  <sheets>
    <sheet name="Final_Data" sheetId="8" r:id="rId1"/>
    <sheet name="Transformed and Cleaned Data" sheetId="2" r:id="rId2"/>
    <sheet name="Worksheet" sheetId="1" r:id="rId3"/>
    <sheet name="Raw Data" sheetId="3" r:id="rId4"/>
  </sheets>
  <definedNames>
    <definedName name="_xlnm._FilterDatabase" localSheetId="1" hidden="1">'Transformed and Cleaned Data'!$B$1:$AF$388</definedName>
    <definedName name="_xlnm._FilterDatabase" localSheetId="2" hidden="1">Worksheet!$G$1:$G$387</definedName>
    <definedName name="_xlcn.WorksheetConnection_Hearing_Welness_Data.xlsxtest" hidden="1">_xlfn.PQSOURCE("9da27d8e-92b0-453f-b024-57f49313ba6e")</definedName>
    <definedName name="_xlcn.WorksheetConnection_Hearing_Welness_Data.xlsxtest__2" hidden="1">test__2</definedName>
    <definedName name="ExternalData_2" localSheetId="3" hidden="1">'Raw Data'!$A$1:$O$388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st__2" name="test__2" connection="WorksheetConnection_Hearing_Welness_Data.xlsx!test__2"/>
          <x15:modelTable id="test" name="test" connection="WorksheetConnection_Hearing_Welness_Data.xlsx!test"/>
        </x15:modelTables>
        <x15:modelRelationships>
          <x15:modelRelationship fromTable="test__2" fromColumn="Indeks" toTable="test" toColumn="Indek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c r="K2" i="2"/>
  <c r="C2" i="2"/>
  <c r="S3" i="2"/>
  <c r="T3" i="2"/>
  <c r="U3" i="2"/>
  <c r="V3" i="2"/>
  <c r="W3" i="2"/>
  <c r="X3" i="2"/>
  <c r="Y3" i="2"/>
  <c r="Z3" i="2"/>
  <c r="AA3" i="2"/>
  <c r="AB3" i="2"/>
  <c r="S4" i="2"/>
  <c r="T4" i="2"/>
  <c r="U4" i="2"/>
  <c r="V4" i="2"/>
  <c r="W4" i="2"/>
  <c r="X4" i="2"/>
  <c r="Y4" i="2"/>
  <c r="Z4" i="2"/>
  <c r="AA4" i="2"/>
  <c r="AB4" i="2"/>
  <c r="S5" i="2"/>
  <c r="T5" i="2"/>
  <c r="U5" i="2"/>
  <c r="V5" i="2"/>
  <c r="W5" i="2"/>
  <c r="X5" i="2"/>
  <c r="Y5" i="2"/>
  <c r="Z5" i="2"/>
  <c r="AA5" i="2"/>
  <c r="AB5" i="2"/>
  <c r="S6" i="2"/>
  <c r="T6" i="2"/>
  <c r="U6" i="2"/>
  <c r="V6" i="2"/>
  <c r="W6" i="2"/>
  <c r="X6" i="2"/>
  <c r="Y6" i="2"/>
  <c r="Z6" i="2"/>
  <c r="AA6" i="2"/>
  <c r="AB6" i="2"/>
  <c r="S7" i="2"/>
  <c r="T7" i="2"/>
  <c r="U7" i="2"/>
  <c r="V7" i="2"/>
  <c r="W7" i="2"/>
  <c r="X7" i="2"/>
  <c r="Y7" i="2"/>
  <c r="Z7" i="2"/>
  <c r="AA7" i="2"/>
  <c r="AB7" i="2"/>
  <c r="S8" i="2"/>
  <c r="T8" i="2"/>
  <c r="U8" i="2"/>
  <c r="V8" i="2"/>
  <c r="W8" i="2"/>
  <c r="X8" i="2"/>
  <c r="Y8" i="2"/>
  <c r="Z8" i="2"/>
  <c r="AA8" i="2"/>
  <c r="AB8" i="2"/>
  <c r="S9" i="2"/>
  <c r="T9" i="2"/>
  <c r="U9" i="2"/>
  <c r="V9" i="2"/>
  <c r="W9" i="2"/>
  <c r="X9" i="2"/>
  <c r="Y9" i="2"/>
  <c r="Z9" i="2"/>
  <c r="AA9" i="2"/>
  <c r="AB9" i="2"/>
  <c r="S10" i="2"/>
  <c r="T10" i="2"/>
  <c r="U10" i="2"/>
  <c r="V10" i="2"/>
  <c r="W10" i="2"/>
  <c r="X10" i="2"/>
  <c r="Y10" i="2"/>
  <c r="Z10" i="2"/>
  <c r="AA10" i="2"/>
  <c r="AB10" i="2"/>
  <c r="S11" i="2"/>
  <c r="T11" i="2"/>
  <c r="U11" i="2"/>
  <c r="V11" i="2"/>
  <c r="W11" i="2"/>
  <c r="X11" i="2"/>
  <c r="Y11" i="2"/>
  <c r="Z11" i="2"/>
  <c r="AA11" i="2"/>
  <c r="AB11" i="2"/>
  <c r="S12" i="2"/>
  <c r="T12" i="2"/>
  <c r="U12" i="2"/>
  <c r="V12" i="2"/>
  <c r="W12" i="2"/>
  <c r="X12" i="2"/>
  <c r="Y12" i="2"/>
  <c r="Z12" i="2"/>
  <c r="AA12" i="2"/>
  <c r="AB12" i="2"/>
  <c r="S13" i="2"/>
  <c r="T13" i="2"/>
  <c r="U13" i="2"/>
  <c r="V13" i="2"/>
  <c r="W13" i="2"/>
  <c r="X13" i="2"/>
  <c r="Y13" i="2"/>
  <c r="Z13" i="2"/>
  <c r="AA13" i="2"/>
  <c r="AB13" i="2"/>
  <c r="S14" i="2"/>
  <c r="T14" i="2"/>
  <c r="U14" i="2"/>
  <c r="V14" i="2"/>
  <c r="W14" i="2"/>
  <c r="X14" i="2"/>
  <c r="Y14" i="2"/>
  <c r="Z14" i="2"/>
  <c r="AA14" i="2"/>
  <c r="AB14" i="2"/>
  <c r="S15" i="2"/>
  <c r="T15" i="2"/>
  <c r="U15" i="2"/>
  <c r="V15" i="2"/>
  <c r="W15" i="2"/>
  <c r="X15" i="2"/>
  <c r="Y15" i="2"/>
  <c r="Z15" i="2"/>
  <c r="AA15" i="2"/>
  <c r="AB15" i="2"/>
  <c r="S16" i="2"/>
  <c r="T16" i="2"/>
  <c r="U16" i="2"/>
  <c r="V16" i="2"/>
  <c r="W16" i="2"/>
  <c r="X16" i="2"/>
  <c r="Y16" i="2"/>
  <c r="Z16" i="2"/>
  <c r="AA16" i="2"/>
  <c r="AB16" i="2"/>
  <c r="S17" i="2"/>
  <c r="T17" i="2"/>
  <c r="U17" i="2"/>
  <c r="V17" i="2"/>
  <c r="W17" i="2"/>
  <c r="X17" i="2"/>
  <c r="Y17" i="2"/>
  <c r="Z17" i="2"/>
  <c r="AA17" i="2"/>
  <c r="AB17" i="2"/>
  <c r="S18" i="2"/>
  <c r="T18" i="2"/>
  <c r="U18" i="2"/>
  <c r="V18" i="2"/>
  <c r="W18" i="2"/>
  <c r="X18" i="2"/>
  <c r="Y18" i="2"/>
  <c r="Z18" i="2"/>
  <c r="AA18" i="2"/>
  <c r="AB18" i="2"/>
  <c r="S19" i="2"/>
  <c r="T19" i="2"/>
  <c r="U19" i="2"/>
  <c r="V19" i="2"/>
  <c r="W19" i="2"/>
  <c r="X19" i="2"/>
  <c r="Y19" i="2"/>
  <c r="Z19" i="2"/>
  <c r="AA19" i="2"/>
  <c r="AB19" i="2"/>
  <c r="S20" i="2"/>
  <c r="T20" i="2"/>
  <c r="U20" i="2"/>
  <c r="V20" i="2"/>
  <c r="W20" i="2"/>
  <c r="X20" i="2"/>
  <c r="Y20" i="2"/>
  <c r="Z20" i="2"/>
  <c r="AA20" i="2"/>
  <c r="AB20" i="2"/>
  <c r="S21" i="2"/>
  <c r="T21" i="2"/>
  <c r="U21" i="2"/>
  <c r="V21" i="2"/>
  <c r="W21" i="2"/>
  <c r="X21" i="2"/>
  <c r="Y21" i="2"/>
  <c r="Z21" i="2"/>
  <c r="AA21" i="2"/>
  <c r="AB21" i="2"/>
  <c r="S22" i="2"/>
  <c r="T22" i="2"/>
  <c r="U22" i="2"/>
  <c r="V22" i="2"/>
  <c r="W22" i="2"/>
  <c r="X22" i="2"/>
  <c r="Y22" i="2"/>
  <c r="Z22" i="2"/>
  <c r="AA22" i="2"/>
  <c r="AB22" i="2"/>
  <c r="S23" i="2"/>
  <c r="T23" i="2"/>
  <c r="U23" i="2"/>
  <c r="V23" i="2"/>
  <c r="W23" i="2"/>
  <c r="X23" i="2"/>
  <c r="Y23" i="2"/>
  <c r="Z23" i="2"/>
  <c r="AA23" i="2"/>
  <c r="AB23" i="2"/>
  <c r="S24" i="2"/>
  <c r="T24" i="2"/>
  <c r="U24" i="2"/>
  <c r="V24" i="2"/>
  <c r="W24" i="2"/>
  <c r="X24" i="2"/>
  <c r="Y24" i="2"/>
  <c r="Z24" i="2"/>
  <c r="AA24" i="2"/>
  <c r="AB24" i="2"/>
  <c r="S25" i="2"/>
  <c r="T25" i="2"/>
  <c r="U25" i="2"/>
  <c r="V25" i="2"/>
  <c r="W25" i="2"/>
  <c r="X25" i="2"/>
  <c r="Y25" i="2"/>
  <c r="Z25" i="2"/>
  <c r="AA25" i="2"/>
  <c r="AB25" i="2"/>
  <c r="S26" i="2"/>
  <c r="T26" i="2"/>
  <c r="U26" i="2"/>
  <c r="V26" i="2"/>
  <c r="W26" i="2"/>
  <c r="X26" i="2"/>
  <c r="Y26" i="2"/>
  <c r="Z26" i="2"/>
  <c r="AA26" i="2"/>
  <c r="AB26" i="2"/>
  <c r="S27" i="2"/>
  <c r="T27" i="2"/>
  <c r="U27" i="2"/>
  <c r="V27" i="2"/>
  <c r="W27" i="2"/>
  <c r="X27" i="2"/>
  <c r="Y27" i="2"/>
  <c r="Z27" i="2"/>
  <c r="AA27" i="2"/>
  <c r="AB27" i="2"/>
  <c r="S28" i="2"/>
  <c r="T28" i="2"/>
  <c r="U28" i="2"/>
  <c r="V28" i="2"/>
  <c r="W28" i="2"/>
  <c r="X28" i="2"/>
  <c r="Y28" i="2"/>
  <c r="Z28" i="2"/>
  <c r="AA28" i="2"/>
  <c r="AB28" i="2"/>
  <c r="S29" i="2"/>
  <c r="T29" i="2"/>
  <c r="U29" i="2"/>
  <c r="V29" i="2"/>
  <c r="W29" i="2"/>
  <c r="X29" i="2"/>
  <c r="Y29" i="2"/>
  <c r="Z29" i="2"/>
  <c r="AA29" i="2"/>
  <c r="AB29" i="2"/>
  <c r="S30" i="2"/>
  <c r="T30" i="2"/>
  <c r="U30" i="2"/>
  <c r="V30" i="2"/>
  <c r="W30" i="2"/>
  <c r="X30" i="2"/>
  <c r="Y30" i="2"/>
  <c r="Z30" i="2"/>
  <c r="AA30" i="2"/>
  <c r="AB30" i="2"/>
  <c r="S31" i="2"/>
  <c r="T31" i="2"/>
  <c r="U31" i="2"/>
  <c r="V31" i="2"/>
  <c r="W31" i="2"/>
  <c r="X31" i="2"/>
  <c r="Y31" i="2"/>
  <c r="Z31" i="2"/>
  <c r="AA31" i="2"/>
  <c r="AB31" i="2"/>
  <c r="S32" i="2"/>
  <c r="T32" i="2"/>
  <c r="U32" i="2"/>
  <c r="V32" i="2"/>
  <c r="W32" i="2"/>
  <c r="X32" i="2"/>
  <c r="Y32" i="2"/>
  <c r="Z32" i="2"/>
  <c r="AA32" i="2"/>
  <c r="AB32" i="2"/>
  <c r="S33" i="2"/>
  <c r="T33" i="2"/>
  <c r="U33" i="2"/>
  <c r="V33" i="2"/>
  <c r="W33" i="2"/>
  <c r="X33" i="2"/>
  <c r="Y33" i="2"/>
  <c r="Z33" i="2"/>
  <c r="AA33" i="2"/>
  <c r="AB33" i="2"/>
  <c r="S34" i="2"/>
  <c r="T34" i="2"/>
  <c r="U34" i="2"/>
  <c r="V34" i="2"/>
  <c r="W34" i="2"/>
  <c r="X34" i="2"/>
  <c r="Y34" i="2"/>
  <c r="Z34" i="2"/>
  <c r="AA34" i="2"/>
  <c r="AB34" i="2"/>
  <c r="S35" i="2"/>
  <c r="T35" i="2"/>
  <c r="U35" i="2"/>
  <c r="V35" i="2"/>
  <c r="W35" i="2"/>
  <c r="X35" i="2"/>
  <c r="Y35" i="2"/>
  <c r="Z35" i="2"/>
  <c r="AA35" i="2"/>
  <c r="AB35" i="2"/>
  <c r="S36" i="2"/>
  <c r="T36" i="2"/>
  <c r="U36" i="2"/>
  <c r="V36" i="2"/>
  <c r="W36" i="2"/>
  <c r="X36" i="2"/>
  <c r="Y36" i="2"/>
  <c r="Z36" i="2"/>
  <c r="AA36" i="2"/>
  <c r="AB36" i="2"/>
  <c r="S37" i="2"/>
  <c r="T37" i="2"/>
  <c r="U37" i="2"/>
  <c r="V37" i="2"/>
  <c r="W37" i="2"/>
  <c r="X37" i="2"/>
  <c r="Y37" i="2"/>
  <c r="Z37" i="2"/>
  <c r="AA37" i="2"/>
  <c r="AB37" i="2"/>
  <c r="S38" i="2"/>
  <c r="T38" i="2"/>
  <c r="U38" i="2"/>
  <c r="V38" i="2"/>
  <c r="W38" i="2"/>
  <c r="X38" i="2"/>
  <c r="Y38" i="2"/>
  <c r="Z38" i="2"/>
  <c r="AA38" i="2"/>
  <c r="AB38" i="2"/>
  <c r="S39" i="2"/>
  <c r="T39" i="2"/>
  <c r="U39" i="2"/>
  <c r="V39" i="2"/>
  <c r="W39" i="2"/>
  <c r="X39" i="2"/>
  <c r="Y39" i="2"/>
  <c r="Z39" i="2"/>
  <c r="AA39" i="2"/>
  <c r="AB39" i="2"/>
  <c r="S40" i="2"/>
  <c r="T40" i="2"/>
  <c r="U40" i="2"/>
  <c r="V40" i="2"/>
  <c r="W40" i="2"/>
  <c r="X40" i="2"/>
  <c r="Y40" i="2"/>
  <c r="Z40" i="2"/>
  <c r="AA40" i="2"/>
  <c r="AB40" i="2"/>
  <c r="S41" i="2"/>
  <c r="T41" i="2"/>
  <c r="U41" i="2"/>
  <c r="V41" i="2"/>
  <c r="W41" i="2"/>
  <c r="X41" i="2"/>
  <c r="Y41" i="2"/>
  <c r="Z41" i="2"/>
  <c r="AA41" i="2"/>
  <c r="AB41" i="2"/>
  <c r="S42" i="2"/>
  <c r="T42" i="2"/>
  <c r="U42" i="2"/>
  <c r="V42" i="2"/>
  <c r="W42" i="2"/>
  <c r="X42" i="2"/>
  <c r="Y42" i="2"/>
  <c r="Z42" i="2"/>
  <c r="AA42" i="2"/>
  <c r="AB42" i="2"/>
  <c r="S43" i="2"/>
  <c r="T43" i="2"/>
  <c r="U43" i="2"/>
  <c r="V43" i="2"/>
  <c r="W43" i="2"/>
  <c r="X43" i="2"/>
  <c r="Y43" i="2"/>
  <c r="Z43" i="2"/>
  <c r="AA43" i="2"/>
  <c r="AB43" i="2"/>
  <c r="S44" i="2"/>
  <c r="T44" i="2"/>
  <c r="U44" i="2"/>
  <c r="V44" i="2"/>
  <c r="W44" i="2"/>
  <c r="X44" i="2"/>
  <c r="Y44" i="2"/>
  <c r="Z44" i="2"/>
  <c r="AA44" i="2"/>
  <c r="AB44" i="2"/>
  <c r="S45" i="2"/>
  <c r="T45" i="2"/>
  <c r="U45" i="2"/>
  <c r="V45" i="2"/>
  <c r="W45" i="2"/>
  <c r="X45" i="2"/>
  <c r="Y45" i="2"/>
  <c r="Z45" i="2"/>
  <c r="AA45" i="2"/>
  <c r="AB45" i="2"/>
  <c r="S46" i="2"/>
  <c r="T46" i="2"/>
  <c r="U46" i="2"/>
  <c r="V46" i="2"/>
  <c r="W46" i="2"/>
  <c r="X46" i="2"/>
  <c r="Y46" i="2"/>
  <c r="Z46" i="2"/>
  <c r="AA46" i="2"/>
  <c r="AB46" i="2"/>
  <c r="S47" i="2"/>
  <c r="T47" i="2"/>
  <c r="U47" i="2"/>
  <c r="V47" i="2"/>
  <c r="W47" i="2"/>
  <c r="X47" i="2"/>
  <c r="Y47" i="2"/>
  <c r="Z47" i="2"/>
  <c r="AA47" i="2"/>
  <c r="AB47" i="2"/>
  <c r="S48" i="2"/>
  <c r="T48" i="2"/>
  <c r="U48" i="2"/>
  <c r="V48" i="2"/>
  <c r="W48" i="2"/>
  <c r="X48" i="2"/>
  <c r="Y48" i="2"/>
  <c r="Z48" i="2"/>
  <c r="AA48" i="2"/>
  <c r="AB48" i="2"/>
  <c r="S49" i="2"/>
  <c r="T49" i="2"/>
  <c r="U49" i="2"/>
  <c r="V49" i="2"/>
  <c r="W49" i="2"/>
  <c r="X49" i="2"/>
  <c r="Y49" i="2"/>
  <c r="Z49" i="2"/>
  <c r="AA49" i="2"/>
  <c r="AB49" i="2"/>
  <c r="S50" i="2"/>
  <c r="T50" i="2"/>
  <c r="U50" i="2"/>
  <c r="V50" i="2"/>
  <c r="W50" i="2"/>
  <c r="X50" i="2"/>
  <c r="Y50" i="2"/>
  <c r="Z50" i="2"/>
  <c r="AA50" i="2"/>
  <c r="AB50" i="2"/>
  <c r="S51" i="2"/>
  <c r="T51" i="2"/>
  <c r="U51" i="2"/>
  <c r="V51" i="2"/>
  <c r="W51" i="2"/>
  <c r="X51" i="2"/>
  <c r="Y51" i="2"/>
  <c r="Z51" i="2"/>
  <c r="AA51" i="2"/>
  <c r="AB51" i="2"/>
  <c r="S52" i="2"/>
  <c r="T52" i="2"/>
  <c r="U52" i="2"/>
  <c r="V52" i="2"/>
  <c r="W52" i="2"/>
  <c r="X52" i="2"/>
  <c r="Y52" i="2"/>
  <c r="Z52" i="2"/>
  <c r="AA52" i="2"/>
  <c r="AB52" i="2"/>
  <c r="S53" i="2"/>
  <c r="T53" i="2"/>
  <c r="U53" i="2"/>
  <c r="V53" i="2"/>
  <c r="W53" i="2"/>
  <c r="X53" i="2"/>
  <c r="Y53" i="2"/>
  <c r="Z53" i="2"/>
  <c r="AA53" i="2"/>
  <c r="AB53" i="2"/>
  <c r="S54" i="2"/>
  <c r="T54" i="2"/>
  <c r="U54" i="2"/>
  <c r="V54" i="2"/>
  <c r="W54" i="2"/>
  <c r="X54" i="2"/>
  <c r="Y54" i="2"/>
  <c r="Z54" i="2"/>
  <c r="AA54" i="2"/>
  <c r="AB54" i="2"/>
  <c r="S55" i="2"/>
  <c r="T55" i="2"/>
  <c r="U55" i="2"/>
  <c r="V55" i="2"/>
  <c r="W55" i="2"/>
  <c r="X55" i="2"/>
  <c r="Y55" i="2"/>
  <c r="Z55" i="2"/>
  <c r="AA55" i="2"/>
  <c r="AB55" i="2"/>
  <c r="S56" i="2"/>
  <c r="T56" i="2"/>
  <c r="U56" i="2"/>
  <c r="V56" i="2"/>
  <c r="W56" i="2"/>
  <c r="X56" i="2"/>
  <c r="Y56" i="2"/>
  <c r="Z56" i="2"/>
  <c r="AA56" i="2"/>
  <c r="AB56" i="2"/>
  <c r="S57" i="2"/>
  <c r="T57" i="2"/>
  <c r="U57" i="2"/>
  <c r="V57" i="2"/>
  <c r="W57" i="2"/>
  <c r="X57" i="2"/>
  <c r="Y57" i="2"/>
  <c r="Z57" i="2"/>
  <c r="AA57" i="2"/>
  <c r="AB57" i="2"/>
  <c r="S58" i="2"/>
  <c r="T58" i="2"/>
  <c r="U58" i="2"/>
  <c r="V58" i="2"/>
  <c r="W58" i="2"/>
  <c r="X58" i="2"/>
  <c r="Y58" i="2"/>
  <c r="Z58" i="2"/>
  <c r="AA58" i="2"/>
  <c r="AB58" i="2"/>
  <c r="S59" i="2"/>
  <c r="T59" i="2"/>
  <c r="U59" i="2"/>
  <c r="V59" i="2"/>
  <c r="W59" i="2"/>
  <c r="X59" i="2"/>
  <c r="Y59" i="2"/>
  <c r="Z59" i="2"/>
  <c r="AA59" i="2"/>
  <c r="AB59" i="2"/>
  <c r="S60" i="2"/>
  <c r="T60" i="2"/>
  <c r="U60" i="2"/>
  <c r="V60" i="2"/>
  <c r="W60" i="2"/>
  <c r="X60" i="2"/>
  <c r="Y60" i="2"/>
  <c r="Z60" i="2"/>
  <c r="AA60" i="2"/>
  <c r="AB60" i="2"/>
  <c r="S61" i="2"/>
  <c r="T61" i="2"/>
  <c r="U61" i="2"/>
  <c r="V61" i="2"/>
  <c r="W61" i="2"/>
  <c r="X61" i="2"/>
  <c r="Y61" i="2"/>
  <c r="Z61" i="2"/>
  <c r="AA61" i="2"/>
  <c r="AB61" i="2"/>
  <c r="S62" i="2"/>
  <c r="T62" i="2"/>
  <c r="U62" i="2"/>
  <c r="V62" i="2"/>
  <c r="W62" i="2"/>
  <c r="X62" i="2"/>
  <c r="Y62" i="2"/>
  <c r="Z62" i="2"/>
  <c r="AA62" i="2"/>
  <c r="AB62" i="2"/>
  <c r="S63" i="2"/>
  <c r="T63" i="2"/>
  <c r="U63" i="2"/>
  <c r="V63" i="2"/>
  <c r="W63" i="2"/>
  <c r="X63" i="2"/>
  <c r="Y63" i="2"/>
  <c r="Z63" i="2"/>
  <c r="AA63" i="2"/>
  <c r="AB63" i="2"/>
  <c r="S64" i="2"/>
  <c r="T64" i="2"/>
  <c r="U64" i="2"/>
  <c r="V64" i="2"/>
  <c r="W64" i="2"/>
  <c r="X64" i="2"/>
  <c r="Y64" i="2"/>
  <c r="Z64" i="2"/>
  <c r="AA64" i="2"/>
  <c r="AB64" i="2"/>
  <c r="S65" i="2"/>
  <c r="T65" i="2"/>
  <c r="U65" i="2"/>
  <c r="V65" i="2"/>
  <c r="W65" i="2"/>
  <c r="X65" i="2"/>
  <c r="Y65" i="2"/>
  <c r="Z65" i="2"/>
  <c r="AA65" i="2"/>
  <c r="AB65" i="2"/>
  <c r="S66" i="2"/>
  <c r="T66" i="2"/>
  <c r="U66" i="2"/>
  <c r="V66" i="2"/>
  <c r="W66" i="2"/>
  <c r="X66" i="2"/>
  <c r="Y66" i="2"/>
  <c r="Z66" i="2"/>
  <c r="AA66" i="2"/>
  <c r="AB66" i="2"/>
  <c r="S67" i="2"/>
  <c r="T67" i="2"/>
  <c r="U67" i="2"/>
  <c r="V67" i="2"/>
  <c r="W67" i="2"/>
  <c r="X67" i="2"/>
  <c r="Y67" i="2"/>
  <c r="Z67" i="2"/>
  <c r="AA67" i="2"/>
  <c r="AB67" i="2"/>
  <c r="S68" i="2"/>
  <c r="T68" i="2"/>
  <c r="U68" i="2"/>
  <c r="V68" i="2"/>
  <c r="W68" i="2"/>
  <c r="X68" i="2"/>
  <c r="Y68" i="2"/>
  <c r="Z68" i="2"/>
  <c r="AA68" i="2"/>
  <c r="AB68" i="2"/>
  <c r="S69" i="2"/>
  <c r="T69" i="2"/>
  <c r="U69" i="2"/>
  <c r="V69" i="2"/>
  <c r="W69" i="2"/>
  <c r="X69" i="2"/>
  <c r="Y69" i="2"/>
  <c r="Z69" i="2"/>
  <c r="AA69" i="2"/>
  <c r="AB69" i="2"/>
  <c r="S70" i="2"/>
  <c r="T70" i="2"/>
  <c r="U70" i="2"/>
  <c r="V70" i="2"/>
  <c r="W70" i="2"/>
  <c r="X70" i="2"/>
  <c r="Y70" i="2"/>
  <c r="Z70" i="2"/>
  <c r="AA70" i="2"/>
  <c r="AB70" i="2"/>
  <c r="S71" i="2"/>
  <c r="T71" i="2"/>
  <c r="U71" i="2"/>
  <c r="V71" i="2"/>
  <c r="W71" i="2"/>
  <c r="X71" i="2"/>
  <c r="Y71" i="2"/>
  <c r="Z71" i="2"/>
  <c r="AA71" i="2"/>
  <c r="AB71" i="2"/>
  <c r="S72" i="2"/>
  <c r="T72" i="2"/>
  <c r="U72" i="2"/>
  <c r="V72" i="2"/>
  <c r="W72" i="2"/>
  <c r="X72" i="2"/>
  <c r="Y72" i="2"/>
  <c r="Z72" i="2"/>
  <c r="AA72" i="2"/>
  <c r="AB72" i="2"/>
  <c r="S73" i="2"/>
  <c r="T73" i="2"/>
  <c r="U73" i="2"/>
  <c r="V73" i="2"/>
  <c r="W73" i="2"/>
  <c r="X73" i="2"/>
  <c r="Y73" i="2"/>
  <c r="Z73" i="2"/>
  <c r="AA73" i="2"/>
  <c r="AB73" i="2"/>
  <c r="S74" i="2"/>
  <c r="T74" i="2"/>
  <c r="U74" i="2"/>
  <c r="V74" i="2"/>
  <c r="W74" i="2"/>
  <c r="X74" i="2"/>
  <c r="Y74" i="2"/>
  <c r="Z74" i="2"/>
  <c r="AA74" i="2"/>
  <c r="AB74" i="2"/>
  <c r="S75" i="2"/>
  <c r="T75" i="2"/>
  <c r="U75" i="2"/>
  <c r="V75" i="2"/>
  <c r="W75" i="2"/>
  <c r="X75" i="2"/>
  <c r="Y75" i="2"/>
  <c r="Z75" i="2"/>
  <c r="AA75" i="2"/>
  <c r="AB75" i="2"/>
  <c r="S76" i="2"/>
  <c r="T76" i="2"/>
  <c r="U76" i="2"/>
  <c r="V76" i="2"/>
  <c r="W76" i="2"/>
  <c r="X76" i="2"/>
  <c r="Y76" i="2"/>
  <c r="Z76" i="2"/>
  <c r="AA76" i="2"/>
  <c r="AB76" i="2"/>
  <c r="S77" i="2"/>
  <c r="T77" i="2"/>
  <c r="U77" i="2"/>
  <c r="V77" i="2"/>
  <c r="W77" i="2"/>
  <c r="X77" i="2"/>
  <c r="Y77" i="2"/>
  <c r="Z77" i="2"/>
  <c r="AA77" i="2"/>
  <c r="AB77" i="2"/>
  <c r="S78" i="2"/>
  <c r="T78" i="2"/>
  <c r="U78" i="2"/>
  <c r="V78" i="2"/>
  <c r="W78" i="2"/>
  <c r="X78" i="2"/>
  <c r="Y78" i="2"/>
  <c r="Z78" i="2"/>
  <c r="AA78" i="2"/>
  <c r="AB78" i="2"/>
  <c r="S79" i="2"/>
  <c r="T79" i="2"/>
  <c r="U79" i="2"/>
  <c r="V79" i="2"/>
  <c r="W79" i="2"/>
  <c r="X79" i="2"/>
  <c r="Y79" i="2"/>
  <c r="Z79" i="2"/>
  <c r="AA79" i="2"/>
  <c r="AB79" i="2"/>
  <c r="S80" i="2"/>
  <c r="T80" i="2"/>
  <c r="U80" i="2"/>
  <c r="V80" i="2"/>
  <c r="W80" i="2"/>
  <c r="X80" i="2"/>
  <c r="Y80" i="2"/>
  <c r="Z80" i="2"/>
  <c r="AA80" i="2"/>
  <c r="AB80" i="2"/>
  <c r="S81" i="2"/>
  <c r="T81" i="2"/>
  <c r="U81" i="2"/>
  <c r="V81" i="2"/>
  <c r="W81" i="2"/>
  <c r="X81" i="2"/>
  <c r="Y81" i="2"/>
  <c r="Z81" i="2"/>
  <c r="AA81" i="2"/>
  <c r="AB81" i="2"/>
  <c r="S82" i="2"/>
  <c r="T82" i="2"/>
  <c r="U82" i="2"/>
  <c r="V82" i="2"/>
  <c r="W82" i="2"/>
  <c r="X82" i="2"/>
  <c r="Y82" i="2"/>
  <c r="Z82" i="2"/>
  <c r="AA82" i="2"/>
  <c r="AB82" i="2"/>
  <c r="S83" i="2"/>
  <c r="T83" i="2"/>
  <c r="U83" i="2"/>
  <c r="V83" i="2"/>
  <c r="W83" i="2"/>
  <c r="X83" i="2"/>
  <c r="Y83" i="2"/>
  <c r="Z83" i="2"/>
  <c r="AA83" i="2"/>
  <c r="AB83" i="2"/>
  <c r="S84" i="2"/>
  <c r="T84" i="2"/>
  <c r="U84" i="2"/>
  <c r="V84" i="2"/>
  <c r="W84" i="2"/>
  <c r="X84" i="2"/>
  <c r="Y84" i="2"/>
  <c r="Z84" i="2"/>
  <c r="AA84" i="2"/>
  <c r="AB84" i="2"/>
  <c r="S85" i="2"/>
  <c r="T85" i="2"/>
  <c r="U85" i="2"/>
  <c r="V85" i="2"/>
  <c r="W85" i="2"/>
  <c r="X85" i="2"/>
  <c r="Y85" i="2"/>
  <c r="Z85" i="2"/>
  <c r="AA85" i="2"/>
  <c r="AB85" i="2"/>
  <c r="S86" i="2"/>
  <c r="T86" i="2"/>
  <c r="U86" i="2"/>
  <c r="V86" i="2"/>
  <c r="W86" i="2"/>
  <c r="X86" i="2"/>
  <c r="Y86" i="2"/>
  <c r="Z86" i="2"/>
  <c r="AA86" i="2"/>
  <c r="AB86" i="2"/>
  <c r="S87" i="2"/>
  <c r="T87" i="2"/>
  <c r="U87" i="2"/>
  <c r="V87" i="2"/>
  <c r="W87" i="2"/>
  <c r="X87" i="2"/>
  <c r="Y87" i="2"/>
  <c r="Z87" i="2"/>
  <c r="AA87" i="2"/>
  <c r="AB87" i="2"/>
  <c r="S88" i="2"/>
  <c r="T88" i="2"/>
  <c r="U88" i="2"/>
  <c r="V88" i="2"/>
  <c r="W88" i="2"/>
  <c r="X88" i="2"/>
  <c r="Y88" i="2"/>
  <c r="Z88" i="2"/>
  <c r="AA88" i="2"/>
  <c r="AB88" i="2"/>
  <c r="S89" i="2"/>
  <c r="T89" i="2"/>
  <c r="U89" i="2"/>
  <c r="V89" i="2"/>
  <c r="W89" i="2"/>
  <c r="X89" i="2"/>
  <c r="Y89" i="2"/>
  <c r="Z89" i="2"/>
  <c r="AA89" i="2"/>
  <c r="AB89" i="2"/>
  <c r="S90" i="2"/>
  <c r="T90" i="2"/>
  <c r="U90" i="2"/>
  <c r="V90" i="2"/>
  <c r="W90" i="2"/>
  <c r="X90" i="2"/>
  <c r="Y90" i="2"/>
  <c r="Z90" i="2"/>
  <c r="AA90" i="2"/>
  <c r="AB90" i="2"/>
  <c r="S91" i="2"/>
  <c r="T91" i="2"/>
  <c r="U91" i="2"/>
  <c r="V91" i="2"/>
  <c r="W91" i="2"/>
  <c r="X91" i="2"/>
  <c r="Y91" i="2"/>
  <c r="Z91" i="2"/>
  <c r="AA91" i="2"/>
  <c r="AB91" i="2"/>
  <c r="S92" i="2"/>
  <c r="T92" i="2"/>
  <c r="U92" i="2"/>
  <c r="V92" i="2"/>
  <c r="W92" i="2"/>
  <c r="X92" i="2"/>
  <c r="Y92" i="2"/>
  <c r="Z92" i="2"/>
  <c r="AA92" i="2"/>
  <c r="AB92" i="2"/>
  <c r="S93" i="2"/>
  <c r="T93" i="2"/>
  <c r="U93" i="2"/>
  <c r="V93" i="2"/>
  <c r="W93" i="2"/>
  <c r="X93" i="2"/>
  <c r="Y93" i="2"/>
  <c r="Z93" i="2"/>
  <c r="AA93" i="2"/>
  <c r="AB93" i="2"/>
  <c r="S94" i="2"/>
  <c r="T94" i="2"/>
  <c r="U94" i="2"/>
  <c r="V94" i="2"/>
  <c r="W94" i="2"/>
  <c r="X94" i="2"/>
  <c r="Y94" i="2"/>
  <c r="Z94" i="2"/>
  <c r="AA94" i="2"/>
  <c r="AB94" i="2"/>
  <c r="S95" i="2"/>
  <c r="T95" i="2"/>
  <c r="U95" i="2"/>
  <c r="V95" i="2"/>
  <c r="W95" i="2"/>
  <c r="X95" i="2"/>
  <c r="Y95" i="2"/>
  <c r="Z95" i="2"/>
  <c r="AA95" i="2"/>
  <c r="AB95" i="2"/>
  <c r="S96" i="2"/>
  <c r="T96" i="2"/>
  <c r="U96" i="2"/>
  <c r="V96" i="2"/>
  <c r="W96" i="2"/>
  <c r="X96" i="2"/>
  <c r="Y96" i="2"/>
  <c r="Z96" i="2"/>
  <c r="AA96" i="2"/>
  <c r="AB96" i="2"/>
  <c r="S97" i="2"/>
  <c r="T97" i="2"/>
  <c r="U97" i="2"/>
  <c r="V97" i="2"/>
  <c r="W97" i="2"/>
  <c r="X97" i="2"/>
  <c r="Y97" i="2"/>
  <c r="Z97" i="2"/>
  <c r="AA97" i="2"/>
  <c r="AB97" i="2"/>
  <c r="S98" i="2"/>
  <c r="T98" i="2"/>
  <c r="U98" i="2"/>
  <c r="V98" i="2"/>
  <c r="W98" i="2"/>
  <c r="X98" i="2"/>
  <c r="Y98" i="2"/>
  <c r="Z98" i="2"/>
  <c r="AA98" i="2"/>
  <c r="AB98" i="2"/>
  <c r="S99" i="2"/>
  <c r="T99" i="2"/>
  <c r="U99" i="2"/>
  <c r="V99" i="2"/>
  <c r="W99" i="2"/>
  <c r="X99" i="2"/>
  <c r="Y99" i="2"/>
  <c r="Z99" i="2"/>
  <c r="AA99" i="2"/>
  <c r="AB99" i="2"/>
  <c r="S100" i="2"/>
  <c r="T100" i="2"/>
  <c r="U100" i="2"/>
  <c r="V100" i="2"/>
  <c r="W100" i="2"/>
  <c r="X100" i="2"/>
  <c r="Y100" i="2"/>
  <c r="Z100" i="2"/>
  <c r="AA100" i="2"/>
  <c r="AB100" i="2"/>
  <c r="S101" i="2"/>
  <c r="T101" i="2"/>
  <c r="U101" i="2"/>
  <c r="V101" i="2"/>
  <c r="W101" i="2"/>
  <c r="X101" i="2"/>
  <c r="Y101" i="2"/>
  <c r="Z101" i="2"/>
  <c r="AA101" i="2"/>
  <c r="AB101" i="2"/>
  <c r="S102" i="2"/>
  <c r="T102" i="2"/>
  <c r="U102" i="2"/>
  <c r="V102" i="2"/>
  <c r="W102" i="2"/>
  <c r="X102" i="2"/>
  <c r="Y102" i="2"/>
  <c r="Z102" i="2"/>
  <c r="AA102" i="2"/>
  <c r="AB102" i="2"/>
  <c r="S103" i="2"/>
  <c r="T103" i="2"/>
  <c r="U103" i="2"/>
  <c r="V103" i="2"/>
  <c r="W103" i="2"/>
  <c r="X103" i="2"/>
  <c r="Y103" i="2"/>
  <c r="Z103" i="2"/>
  <c r="AA103" i="2"/>
  <c r="AB103" i="2"/>
  <c r="S104" i="2"/>
  <c r="T104" i="2"/>
  <c r="U104" i="2"/>
  <c r="V104" i="2"/>
  <c r="W104" i="2"/>
  <c r="X104" i="2"/>
  <c r="Y104" i="2"/>
  <c r="Z104" i="2"/>
  <c r="AA104" i="2"/>
  <c r="AB104" i="2"/>
  <c r="S105" i="2"/>
  <c r="T105" i="2"/>
  <c r="U105" i="2"/>
  <c r="V105" i="2"/>
  <c r="W105" i="2"/>
  <c r="X105" i="2"/>
  <c r="Y105" i="2"/>
  <c r="Z105" i="2"/>
  <c r="AA105" i="2"/>
  <c r="AB105" i="2"/>
  <c r="S106" i="2"/>
  <c r="T106" i="2"/>
  <c r="U106" i="2"/>
  <c r="V106" i="2"/>
  <c r="W106" i="2"/>
  <c r="X106" i="2"/>
  <c r="Y106" i="2"/>
  <c r="Z106" i="2"/>
  <c r="AA106" i="2"/>
  <c r="AB106" i="2"/>
  <c r="S107" i="2"/>
  <c r="T107" i="2"/>
  <c r="U107" i="2"/>
  <c r="V107" i="2"/>
  <c r="W107" i="2"/>
  <c r="X107" i="2"/>
  <c r="Y107" i="2"/>
  <c r="Z107" i="2"/>
  <c r="AA107" i="2"/>
  <c r="AB107" i="2"/>
  <c r="S108" i="2"/>
  <c r="T108" i="2"/>
  <c r="U108" i="2"/>
  <c r="V108" i="2"/>
  <c r="W108" i="2"/>
  <c r="X108" i="2"/>
  <c r="Y108" i="2"/>
  <c r="Z108" i="2"/>
  <c r="AA108" i="2"/>
  <c r="AB108" i="2"/>
  <c r="S109" i="2"/>
  <c r="T109" i="2"/>
  <c r="U109" i="2"/>
  <c r="V109" i="2"/>
  <c r="W109" i="2"/>
  <c r="X109" i="2"/>
  <c r="Y109" i="2"/>
  <c r="Z109" i="2"/>
  <c r="AA109" i="2"/>
  <c r="AB109" i="2"/>
  <c r="S110" i="2"/>
  <c r="T110" i="2"/>
  <c r="U110" i="2"/>
  <c r="V110" i="2"/>
  <c r="W110" i="2"/>
  <c r="X110" i="2"/>
  <c r="Y110" i="2"/>
  <c r="Z110" i="2"/>
  <c r="AA110" i="2"/>
  <c r="AB110" i="2"/>
  <c r="S111" i="2"/>
  <c r="T111" i="2"/>
  <c r="U111" i="2"/>
  <c r="V111" i="2"/>
  <c r="W111" i="2"/>
  <c r="X111" i="2"/>
  <c r="Y111" i="2"/>
  <c r="Z111" i="2"/>
  <c r="AA111" i="2"/>
  <c r="AB111" i="2"/>
  <c r="S112" i="2"/>
  <c r="T112" i="2"/>
  <c r="U112" i="2"/>
  <c r="V112" i="2"/>
  <c r="W112" i="2"/>
  <c r="X112" i="2"/>
  <c r="Y112" i="2"/>
  <c r="Z112" i="2"/>
  <c r="AA112" i="2"/>
  <c r="AB112" i="2"/>
  <c r="S113" i="2"/>
  <c r="T113" i="2"/>
  <c r="U113" i="2"/>
  <c r="V113" i="2"/>
  <c r="W113" i="2"/>
  <c r="X113" i="2"/>
  <c r="Y113" i="2"/>
  <c r="Z113" i="2"/>
  <c r="AA113" i="2"/>
  <c r="AB113" i="2"/>
  <c r="S114" i="2"/>
  <c r="T114" i="2"/>
  <c r="U114" i="2"/>
  <c r="V114" i="2"/>
  <c r="W114" i="2"/>
  <c r="X114" i="2"/>
  <c r="Y114" i="2"/>
  <c r="Z114" i="2"/>
  <c r="AA114" i="2"/>
  <c r="AB114" i="2"/>
  <c r="S115" i="2"/>
  <c r="T115" i="2"/>
  <c r="U115" i="2"/>
  <c r="V115" i="2"/>
  <c r="W115" i="2"/>
  <c r="X115" i="2"/>
  <c r="Y115" i="2"/>
  <c r="Z115" i="2"/>
  <c r="AA115" i="2"/>
  <c r="AB115" i="2"/>
  <c r="S116" i="2"/>
  <c r="T116" i="2"/>
  <c r="U116" i="2"/>
  <c r="V116" i="2"/>
  <c r="W116" i="2"/>
  <c r="X116" i="2"/>
  <c r="Y116" i="2"/>
  <c r="Z116" i="2"/>
  <c r="AA116" i="2"/>
  <c r="AB116" i="2"/>
  <c r="S117" i="2"/>
  <c r="T117" i="2"/>
  <c r="U117" i="2"/>
  <c r="V117" i="2"/>
  <c r="W117" i="2"/>
  <c r="X117" i="2"/>
  <c r="Y117" i="2"/>
  <c r="Z117" i="2"/>
  <c r="AA117" i="2"/>
  <c r="AB117" i="2"/>
  <c r="S118" i="2"/>
  <c r="T118" i="2"/>
  <c r="U118" i="2"/>
  <c r="V118" i="2"/>
  <c r="W118" i="2"/>
  <c r="X118" i="2"/>
  <c r="Y118" i="2"/>
  <c r="Z118" i="2"/>
  <c r="AA118" i="2"/>
  <c r="AB118" i="2"/>
  <c r="S119" i="2"/>
  <c r="T119" i="2"/>
  <c r="U119" i="2"/>
  <c r="V119" i="2"/>
  <c r="W119" i="2"/>
  <c r="X119" i="2"/>
  <c r="Y119" i="2"/>
  <c r="Z119" i="2"/>
  <c r="AA119" i="2"/>
  <c r="AB119" i="2"/>
  <c r="S120" i="2"/>
  <c r="T120" i="2"/>
  <c r="U120" i="2"/>
  <c r="V120" i="2"/>
  <c r="W120" i="2"/>
  <c r="X120" i="2"/>
  <c r="Y120" i="2"/>
  <c r="Z120" i="2"/>
  <c r="AA120" i="2"/>
  <c r="AB120" i="2"/>
  <c r="S121" i="2"/>
  <c r="T121" i="2"/>
  <c r="U121" i="2"/>
  <c r="V121" i="2"/>
  <c r="W121" i="2"/>
  <c r="X121" i="2"/>
  <c r="Y121" i="2"/>
  <c r="Z121" i="2"/>
  <c r="AA121" i="2"/>
  <c r="AB121" i="2"/>
  <c r="S122" i="2"/>
  <c r="T122" i="2"/>
  <c r="U122" i="2"/>
  <c r="V122" i="2"/>
  <c r="W122" i="2"/>
  <c r="X122" i="2"/>
  <c r="Y122" i="2"/>
  <c r="Z122" i="2"/>
  <c r="AA122" i="2"/>
  <c r="AB122" i="2"/>
  <c r="S123" i="2"/>
  <c r="T123" i="2"/>
  <c r="U123" i="2"/>
  <c r="V123" i="2"/>
  <c r="W123" i="2"/>
  <c r="X123" i="2"/>
  <c r="Y123" i="2"/>
  <c r="Z123" i="2"/>
  <c r="AA123" i="2"/>
  <c r="AB123" i="2"/>
  <c r="S124" i="2"/>
  <c r="T124" i="2"/>
  <c r="U124" i="2"/>
  <c r="V124" i="2"/>
  <c r="W124" i="2"/>
  <c r="X124" i="2"/>
  <c r="Y124" i="2"/>
  <c r="Z124" i="2"/>
  <c r="AA124" i="2"/>
  <c r="AB124" i="2"/>
  <c r="S125" i="2"/>
  <c r="T125" i="2"/>
  <c r="U125" i="2"/>
  <c r="V125" i="2"/>
  <c r="W125" i="2"/>
  <c r="X125" i="2"/>
  <c r="Y125" i="2"/>
  <c r="Z125" i="2"/>
  <c r="AA125" i="2"/>
  <c r="AB125" i="2"/>
  <c r="S126" i="2"/>
  <c r="T126" i="2"/>
  <c r="U126" i="2"/>
  <c r="V126" i="2"/>
  <c r="W126" i="2"/>
  <c r="X126" i="2"/>
  <c r="Y126" i="2"/>
  <c r="Z126" i="2"/>
  <c r="AA126" i="2"/>
  <c r="AB126" i="2"/>
  <c r="S127" i="2"/>
  <c r="T127" i="2"/>
  <c r="U127" i="2"/>
  <c r="V127" i="2"/>
  <c r="W127" i="2"/>
  <c r="X127" i="2"/>
  <c r="Y127" i="2"/>
  <c r="Z127" i="2"/>
  <c r="AA127" i="2"/>
  <c r="AB127" i="2"/>
  <c r="S128" i="2"/>
  <c r="T128" i="2"/>
  <c r="U128" i="2"/>
  <c r="V128" i="2"/>
  <c r="W128" i="2"/>
  <c r="X128" i="2"/>
  <c r="Y128" i="2"/>
  <c r="Z128" i="2"/>
  <c r="AA128" i="2"/>
  <c r="AB128" i="2"/>
  <c r="S129" i="2"/>
  <c r="T129" i="2"/>
  <c r="U129" i="2"/>
  <c r="V129" i="2"/>
  <c r="W129" i="2"/>
  <c r="X129" i="2"/>
  <c r="Y129" i="2"/>
  <c r="Z129" i="2"/>
  <c r="AA129" i="2"/>
  <c r="AB129" i="2"/>
  <c r="S130" i="2"/>
  <c r="T130" i="2"/>
  <c r="U130" i="2"/>
  <c r="V130" i="2"/>
  <c r="W130" i="2"/>
  <c r="X130" i="2"/>
  <c r="Y130" i="2"/>
  <c r="Z130" i="2"/>
  <c r="AA130" i="2"/>
  <c r="AB130" i="2"/>
  <c r="S131" i="2"/>
  <c r="T131" i="2"/>
  <c r="U131" i="2"/>
  <c r="V131" i="2"/>
  <c r="W131" i="2"/>
  <c r="X131" i="2"/>
  <c r="Y131" i="2"/>
  <c r="Z131" i="2"/>
  <c r="AA131" i="2"/>
  <c r="AB131" i="2"/>
  <c r="S132" i="2"/>
  <c r="T132" i="2"/>
  <c r="U132" i="2"/>
  <c r="V132" i="2"/>
  <c r="W132" i="2"/>
  <c r="X132" i="2"/>
  <c r="Y132" i="2"/>
  <c r="Z132" i="2"/>
  <c r="AA132" i="2"/>
  <c r="AB132" i="2"/>
  <c r="S133" i="2"/>
  <c r="T133" i="2"/>
  <c r="U133" i="2"/>
  <c r="V133" i="2"/>
  <c r="W133" i="2"/>
  <c r="X133" i="2"/>
  <c r="Y133" i="2"/>
  <c r="Z133" i="2"/>
  <c r="AA133" i="2"/>
  <c r="AB133" i="2"/>
  <c r="S134" i="2"/>
  <c r="T134" i="2"/>
  <c r="U134" i="2"/>
  <c r="V134" i="2"/>
  <c r="W134" i="2"/>
  <c r="X134" i="2"/>
  <c r="Y134" i="2"/>
  <c r="Z134" i="2"/>
  <c r="AA134" i="2"/>
  <c r="AB134" i="2"/>
  <c r="S135" i="2"/>
  <c r="T135" i="2"/>
  <c r="U135" i="2"/>
  <c r="V135" i="2"/>
  <c r="W135" i="2"/>
  <c r="X135" i="2"/>
  <c r="Y135" i="2"/>
  <c r="Z135" i="2"/>
  <c r="AA135" i="2"/>
  <c r="AB135" i="2"/>
  <c r="S136" i="2"/>
  <c r="T136" i="2"/>
  <c r="U136" i="2"/>
  <c r="V136" i="2"/>
  <c r="W136" i="2"/>
  <c r="X136" i="2"/>
  <c r="Y136" i="2"/>
  <c r="Z136" i="2"/>
  <c r="AA136" i="2"/>
  <c r="AB136" i="2"/>
  <c r="S137" i="2"/>
  <c r="T137" i="2"/>
  <c r="U137" i="2"/>
  <c r="V137" i="2"/>
  <c r="W137" i="2"/>
  <c r="X137" i="2"/>
  <c r="Y137" i="2"/>
  <c r="Z137" i="2"/>
  <c r="AA137" i="2"/>
  <c r="AB137" i="2"/>
  <c r="S138" i="2"/>
  <c r="T138" i="2"/>
  <c r="U138" i="2"/>
  <c r="V138" i="2"/>
  <c r="W138" i="2"/>
  <c r="X138" i="2"/>
  <c r="Y138" i="2"/>
  <c r="Z138" i="2"/>
  <c r="AA138" i="2"/>
  <c r="AB138" i="2"/>
  <c r="S139" i="2"/>
  <c r="T139" i="2"/>
  <c r="U139" i="2"/>
  <c r="V139" i="2"/>
  <c r="W139" i="2"/>
  <c r="X139" i="2"/>
  <c r="Y139" i="2"/>
  <c r="Z139" i="2"/>
  <c r="AA139" i="2"/>
  <c r="AB139" i="2"/>
  <c r="S140" i="2"/>
  <c r="T140" i="2"/>
  <c r="U140" i="2"/>
  <c r="V140" i="2"/>
  <c r="W140" i="2"/>
  <c r="X140" i="2"/>
  <c r="Y140" i="2"/>
  <c r="Z140" i="2"/>
  <c r="AA140" i="2"/>
  <c r="AB140" i="2"/>
  <c r="S141" i="2"/>
  <c r="T141" i="2"/>
  <c r="U141" i="2"/>
  <c r="V141" i="2"/>
  <c r="W141" i="2"/>
  <c r="X141" i="2"/>
  <c r="Y141" i="2"/>
  <c r="Z141" i="2"/>
  <c r="AA141" i="2"/>
  <c r="AB141" i="2"/>
  <c r="S142" i="2"/>
  <c r="T142" i="2"/>
  <c r="U142" i="2"/>
  <c r="V142" i="2"/>
  <c r="W142" i="2"/>
  <c r="X142" i="2"/>
  <c r="Y142" i="2"/>
  <c r="Z142" i="2"/>
  <c r="AA142" i="2"/>
  <c r="AB142" i="2"/>
  <c r="S143" i="2"/>
  <c r="T143" i="2"/>
  <c r="U143" i="2"/>
  <c r="V143" i="2"/>
  <c r="W143" i="2"/>
  <c r="X143" i="2"/>
  <c r="Y143" i="2"/>
  <c r="Z143" i="2"/>
  <c r="AA143" i="2"/>
  <c r="AB143" i="2"/>
  <c r="S144" i="2"/>
  <c r="T144" i="2"/>
  <c r="U144" i="2"/>
  <c r="V144" i="2"/>
  <c r="W144" i="2"/>
  <c r="X144" i="2"/>
  <c r="Y144" i="2"/>
  <c r="Z144" i="2"/>
  <c r="AA144" i="2"/>
  <c r="AB144" i="2"/>
  <c r="S145" i="2"/>
  <c r="T145" i="2"/>
  <c r="U145" i="2"/>
  <c r="V145" i="2"/>
  <c r="W145" i="2"/>
  <c r="X145" i="2"/>
  <c r="Y145" i="2"/>
  <c r="Z145" i="2"/>
  <c r="AA145" i="2"/>
  <c r="AB145" i="2"/>
  <c r="S146" i="2"/>
  <c r="T146" i="2"/>
  <c r="U146" i="2"/>
  <c r="V146" i="2"/>
  <c r="W146" i="2"/>
  <c r="X146" i="2"/>
  <c r="Y146" i="2"/>
  <c r="Z146" i="2"/>
  <c r="AA146" i="2"/>
  <c r="AB146" i="2"/>
  <c r="S147" i="2"/>
  <c r="T147" i="2"/>
  <c r="U147" i="2"/>
  <c r="V147" i="2"/>
  <c r="W147" i="2"/>
  <c r="X147" i="2"/>
  <c r="Y147" i="2"/>
  <c r="Z147" i="2"/>
  <c r="AA147" i="2"/>
  <c r="AB147" i="2"/>
  <c r="S148" i="2"/>
  <c r="T148" i="2"/>
  <c r="U148" i="2"/>
  <c r="V148" i="2"/>
  <c r="W148" i="2"/>
  <c r="X148" i="2"/>
  <c r="Y148" i="2"/>
  <c r="Z148" i="2"/>
  <c r="AA148" i="2"/>
  <c r="AB148" i="2"/>
  <c r="S149" i="2"/>
  <c r="T149" i="2"/>
  <c r="U149" i="2"/>
  <c r="V149" i="2"/>
  <c r="W149" i="2"/>
  <c r="X149" i="2"/>
  <c r="Y149" i="2"/>
  <c r="Z149" i="2"/>
  <c r="AA149" i="2"/>
  <c r="AB149" i="2"/>
  <c r="S150" i="2"/>
  <c r="T150" i="2"/>
  <c r="U150" i="2"/>
  <c r="V150" i="2"/>
  <c r="W150" i="2"/>
  <c r="X150" i="2"/>
  <c r="Y150" i="2"/>
  <c r="Z150" i="2"/>
  <c r="AA150" i="2"/>
  <c r="AB150" i="2"/>
  <c r="S151" i="2"/>
  <c r="T151" i="2"/>
  <c r="U151" i="2"/>
  <c r="V151" i="2"/>
  <c r="W151" i="2"/>
  <c r="X151" i="2"/>
  <c r="Y151" i="2"/>
  <c r="Z151" i="2"/>
  <c r="AA151" i="2"/>
  <c r="AB151" i="2"/>
  <c r="S152" i="2"/>
  <c r="T152" i="2"/>
  <c r="U152" i="2"/>
  <c r="V152" i="2"/>
  <c r="W152" i="2"/>
  <c r="X152" i="2"/>
  <c r="Y152" i="2"/>
  <c r="Z152" i="2"/>
  <c r="AA152" i="2"/>
  <c r="AB152" i="2"/>
  <c r="S153" i="2"/>
  <c r="T153" i="2"/>
  <c r="U153" i="2"/>
  <c r="V153" i="2"/>
  <c r="W153" i="2"/>
  <c r="X153" i="2"/>
  <c r="Y153" i="2"/>
  <c r="Z153" i="2"/>
  <c r="AA153" i="2"/>
  <c r="AB153" i="2"/>
  <c r="S154" i="2"/>
  <c r="T154" i="2"/>
  <c r="U154" i="2"/>
  <c r="V154" i="2"/>
  <c r="W154" i="2"/>
  <c r="X154" i="2"/>
  <c r="Y154" i="2"/>
  <c r="Z154" i="2"/>
  <c r="AA154" i="2"/>
  <c r="AB154" i="2"/>
  <c r="S155" i="2"/>
  <c r="T155" i="2"/>
  <c r="U155" i="2"/>
  <c r="V155" i="2"/>
  <c r="W155" i="2"/>
  <c r="X155" i="2"/>
  <c r="Y155" i="2"/>
  <c r="Z155" i="2"/>
  <c r="AA155" i="2"/>
  <c r="AB155" i="2"/>
  <c r="S156" i="2"/>
  <c r="T156" i="2"/>
  <c r="U156" i="2"/>
  <c r="V156" i="2"/>
  <c r="W156" i="2"/>
  <c r="X156" i="2"/>
  <c r="Y156" i="2"/>
  <c r="Z156" i="2"/>
  <c r="AA156" i="2"/>
  <c r="AB156" i="2"/>
  <c r="S157" i="2"/>
  <c r="T157" i="2"/>
  <c r="U157" i="2"/>
  <c r="V157" i="2"/>
  <c r="W157" i="2"/>
  <c r="X157" i="2"/>
  <c r="Y157" i="2"/>
  <c r="Z157" i="2"/>
  <c r="AA157" i="2"/>
  <c r="AB157" i="2"/>
  <c r="S158" i="2"/>
  <c r="T158" i="2"/>
  <c r="U158" i="2"/>
  <c r="V158" i="2"/>
  <c r="W158" i="2"/>
  <c r="X158" i="2"/>
  <c r="Y158" i="2"/>
  <c r="Z158" i="2"/>
  <c r="AA158" i="2"/>
  <c r="AB158" i="2"/>
  <c r="S159" i="2"/>
  <c r="T159" i="2"/>
  <c r="U159" i="2"/>
  <c r="V159" i="2"/>
  <c r="W159" i="2"/>
  <c r="X159" i="2"/>
  <c r="Y159" i="2"/>
  <c r="Z159" i="2"/>
  <c r="AA159" i="2"/>
  <c r="AB159" i="2"/>
  <c r="S160" i="2"/>
  <c r="T160" i="2"/>
  <c r="U160" i="2"/>
  <c r="V160" i="2"/>
  <c r="W160" i="2"/>
  <c r="X160" i="2"/>
  <c r="Y160" i="2"/>
  <c r="Z160" i="2"/>
  <c r="AA160" i="2"/>
  <c r="AB160" i="2"/>
  <c r="S161" i="2"/>
  <c r="T161" i="2"/>
  <c r="U161" i="2"/>
  <c r="V161" i="2"/>
  <c r="W161" i="2"/>
  <c r="X161" i="2"/>
  <c r="Y161" i="2"/>
  <c r="Z161" i="2"/>
  <c r="AA161" i="2"/>
  <c r="AB161" i="2"/>
  <c r="S162" i="2"/>
  <c r="T162" i="2"/>
  <c r="U162" i="2"/>
  <c r="V162" i="2"/>
  <c r="W162" i="2"/>
  <c r="X162" i="2"/>
  <c r="Y162" i="2"/>
  <c r="Z162" i="2"/>
  <c r="AA162" i="2"/>
  <c r="AB162" i="2"/>
  <c r="S163" i="2"/>
  <c r="T163" i="2"/>
  <c r="U163" i="2"/>
  <c r="V163" i="2"/>
  <c r="W163" i="2"/>
  <c r="X163" i="2"/>
  <c r="Y163" i="2"/>
  <c r="Z163" i="2"/>
  <c r="AA163" i="2"/>
  <c r="AB163" i="2"/>
  <c r="S164" i="2"/>
  <c r="T164" i="2"/>
  <c r="U164" i="2"/>
  <c r="V164" i="2"/>
  <c r="W164" i="2"/>
  <c r="X164" i="2"/>
  <c r="Y164" i="2"/>
  <c r="Z164" i="2"/>
  <c r="AA164" i="2"/>
  <c r="AB164" i="2"/>
  <c r="S165" i="2"/>
  <c r="T165" i="2"/>
  <c r="U165" i="2"/>
  <c r="V165" i="2"/>
  <c r="W165" i="2"/>
  <c r="X165" i="2"/>
  <c r="Y165" i="2"/>
  <c r="Z165" i="2"/>
  <c r="AA165" i="2"/>
  <c r="AB165" i="2"/>
  <c r="S166" i="2"/>
  <c r="T166" i="2"/>
  <c r="U166" i="2"/>
  <c r="V166" i="2"/>
  <c r="W166" i="2"/>
  <c r="X166" i="2"/>
  <c r="Y166" i="2"/>
  <c r="Z166" i="2"/>
  <c r="AA166" i="2"/>
  <c r="AB166" i="2"/>
  <c r="S167" i="2"/>
  <c r="T167" i="2"/>
  <c r="U167" i="2"/>
  <c r="V167" i="2"/>
  <c r="W167" i="2"/>
  <c r="X167" i="2"/>
  <c r="Y167" i="2"/>
  <c r="Z167" i="2"/>
  <c r="AA167" i="2"/>
  <c r="AB167" i="2"/>
  <c r="S168" i="2"/>
  <c r="T168" i="2"/>
  <c r="U168" i="2"/>
  <c r="V168" i="2"/>
  <c r="W168" i="2"/>
  <c r="X168" i="2"/>
  <c r="Y168" i="2"/>
  <c r="Z168" i="2"/>
  <c r="AA168" i="2"/>
  <c r="AB168" i="2"/>
  <c r="S169" i="2"/>
  <c r="T169" i="2"/>
  <c r="U169" i="2"/>
  <c r="V169" i="2"/>
  <c r="W169" i="2"/>
  <c r="X169" i="2"/>
  <c r="Y169" i="2"/>
  <c r="Z169" i="2"/>
  <c r="AA169" i="2"/>
  <c r="AB169" i="2"/>
  <c r="S170" i="2"/>
  <c r="T170" i="2"/>
  <c r="U170" i="2"/>
  <c r="V170" i="2"/>
  <c r="W170" i="2"/>
  <c r="X170" i="2"/>
  <c r="Y170" i="2"/>
  <c r="Z170" i="2"/>
  <c r="AA170" i="2"/>
  <c r="AB170" i="2"/>
  <c r="S171" i="2"/>
  <c r="T171" i="2"/>
  <c r="U171" i="2"/>
  <c r="V171" i="2"/>
  <c r="W171" i="2"/>
  <c r="X171" i="2"/>
  <c r="Y171" i="2"/>
  <c r="Z171" i="2"/>
  <c r="AA171" i="2"/>
  <c r="AB171" i="2"/>
  <c r="S172" i="2"/>
  <c r="T172" i="2"/>
  <c r="U172" i="2"/>
  <c r="V172" i="2"/>
  <c r="W172" i="2"/>
  <c r="X172" i="2"/>
  <c r="Y172" i="2"/>
  <c r="Z172" i="2"/>
  <c r="AA172" i="2"/>
  <c r="AB172" i="2"/>
  <c r="S173" i="2"/>
  <c r="T173" i="2"/>
  <c r="U173" i="2"/>
  <c r="V173" i="2"/>
  <c r="W173" i="2"/>
  <c r="X173" i="2"/>
  <c r="Y173" i="2"/>
  <c r="Z173" i="2"/>
  <c r="AA173" i="2"/>
  <c r="AB173" i="2"/>
  <c r="S174" i="2"/>
  <c r="T174" i="2"/>
  <c r="U174" i="2"/>
  <c r="V174" i="2"/>
  <c r="W174" i="2"/>
  <c r="X174" i="2"/>
  <c r="Y174" i="2"/>
  <c r="Z174" i="2"/>
  <c r="AA174" i="2"/>
  <c r="AB174" i="2"/>
  <c r="S175" i="2"/>
  <c r="T175" i="2"/>
  <c r="U175" i="2"/>
  <c r="V175" i="2"/>
  <c r="W175" i="2"/>
  <c r="X175" i="2"/>
  <c r="Y175" i="2"/>
  <c r="Z175" i="2"/>
  <c r="AA175" i="2"/>
  <c r="AB175" i="2"/>
  <c r="S176" i="2"/>
  <c r="T176" i="2"/>
  <c r="U176" i="2"/>
  <c r="V176" i="2"/>
  <c r="W176" i="2"/>
  <c r="X176" i="2"/>
  <c r="Y176" i="2"/>
  <c r="Z176" i="2"/>
  <c r="AA176" i="2"/>
  <c r="AB176" i="2"/>
  <c r="S177" i="2"/>
  <c r="T177" i="2"/>
  <c r="U177" i="2"/>
  <c r="V177" i="2"/>
  <c r="W177" i="2"/>
  <c r="X177" i="2"/>
  <c r="Y177" i="2"/>
  <c r="Z177" i="2"/>
  <c r="AA177" i="2"/>
  <c r="AB177" i="2"/>
  <c r="S178" i="2"/>
  <c r="T178" i="2"/>
  <c r="U178" i="2"/>
  <c r="V178" i="2"/>
  <c r="W178" i="2"/>
  <c r="X178" i="2"/>
  <c r="Y178" i="2"/>
  <c r="Z178" i="2"/>
  <c r="AA178" i="2"/>
  <c r="AB178" i="2"/>
  <c r="S179" i="2"/>
  <c r="T179" i="2"/>
  <c r="U179" i="2"/>
  <c r="V179" i="2"/>
  <c r="W179" i="2"/>
  <c r="X179" i="2"/>
  <c r="Y179" i="2"/>
  <c r="Z179" i="2"/>
  <c r="AA179" i="2"/>
  <c r="AB179" i="2"/>
  <c r="S180" i="2"/>
  <c r="T180" i="2"/>
  <c r="U180" i="2"/>
  <c r="V180" i="2"/>
  <c r="W180" i="2"/>
  <c r="X180" i="2"/>
  <c r="Y180" i="2"/>
  <c r="Z180" i="2"/>
  <c r="AA180" i="2"/>
  <c r="AB180" i="2"/>
  <c r="S181" i="2"/>
  <c r="T181" i="2"/>
  <c r="U181" i="2"/>
  <c r="V181" i="2"/>
  <c r="W181" i="2"/>
  <c r="X181" i="2"/>
  <c r="Y181" i="2"/>
  <c r="Z181" i="2"/>
  <c r="AA181" i="2"/>
  <c r="AB181" i="2"/>
  <c r="S182" i="2"/>
  <c r="T182" i="2"/>
  <c r="U182" i="2"/>
  <c r="V182" i="2"/>
  <c r="W182" i="2"/>
  <c r="X182" i="2"/>
  <c r="Y182" i="2"/>
  <c r="Z182" i="2"/>
  <c r="AA182" i="2"/>
  <c r="AB182" i="2"/>
  <c r="S183" i="2"/>
  <c r="T183" i="2"/>
  <c r="U183" i="2"/>
  <c r="V183" i="2"/>
  <c r="W183" i="2"/>
  <c r="X183" i="2"/>
  <c r="Y183" i="2"/>
  <c r="Z183" i="2"/>
  <c r="AA183" i="2"/>
  <c r="AB183" i="2"/>
  <c r="S184" i="2"/>
  <c r="T184" i="2"/>
  <c r="U184" i="2"/>
  <c r="V184" i="2"/>
  <c r="W184" i="2"/>
  <c r="X184" i="2"/>
  <c r="Y184" i="2"/>
  <c r="Z184" i="2"/>
  <c r="AA184" i="2"/>
  <c r="AB184" i="2"/>
  <c r="S185" i="2"/>
  <c r="T185" i="2"/>
  <c r="U185" i="2"/>
  <c r="V185" i="2"/>
  <c r="W185" i="2"/>
  <c r="X185" i="2"/>
  <c r="Y185" i="2"/>
  <c r="Z185" i="2"/>
  <c r="AA185" i="2"/>
  <c r="AB185" i="2"/>
  <c r="S186" i="2"/>
  <c r="T186" i="2"/>
  <c r="U186" i="2"/>
  <c r="V186" i="2"/>
  <c r="W186" i="2"/>
  <c r="X186" i="2"/>
  <c r="Y186" i="2"/>
  <c r="Z186" i="2"/>
  <c r="AA186" i="2"/>
  <c r="AB186" i="2"/>
  <c r="S187" i="2"/>
  <c r="T187" i="2"/>
  <c r="U187" i="2"/>
  <c r="V187" i="2"/>
  <c r="W187" i="2"/>
  <c r="X187" i="2"/>
  <c r="Y187" i="2"/>
  <c r="Z187" i="2"/>
  <c r="AA187" i="2"/>
  <c r="AB187" i="2"/>
  <c r="S188" i="2"/>
  <c r="T188" i="2"/>
  <c r="U188" i="2"/>
  <c r="V188" i="2"/>
  <c r="W188" i="2"/>
  <c r="X188" i="2"/>
  <c r="Y188" i="2"/>
  <c r="Z188" i="2"/>
  <c r="AA188" i="2"/>
  <c r="AB188" i="2"/>
  <c r="S189" i="2"/>
  <c r="T189" i="2"/>
  <c r="U189" i="2"/>
  <c r="V189" i="2"/>
  <c r="W189" i="2"/>
  <c r="X189" i="2"/>
  <c r="Y189" i="2"/>
  <c r="Z189" i="2"/>
  <c r="AA189" i="2"/>
  <c r="AB189" i="2"/>
  <c r="S190" i="2"/>
  <c r="T190" i="2"/>
  <c r="U190" i="2"/>
  <c r="V190" i="2"/>
  <c r="W190" i="2"/>
  <c r="X190" i="2"/>
  <c r="Y190" i="2"/>
  <c r="Z190" i="2"/>
  <c r="AA190" i="2"/>
  <c r="AB190" i="2"/>
  <c r="S191" i="2"/>
  <c r="T191" i="2"/>
  <c r="U191" i="2"/>
  <c r="V191" i="2"/>
  <c r="W191" i="2"/>
  <c r="X191" i="2"/>
  <c r="Y191" i="2"/>
  <c r="Z191" i="2"/>
  <c r="AA191" i="2"/>
  <c r="AB191" i="2"/>
  <c r="S192" i="2"/>
  <c r="T192" i="2"/>
  <c r="U192" i="2"/>
  <c r="V192" i="2"/>
  <c r="W192" i="2"/>
  <c r="X192" i="2"/>
  <c r="Y192" i="2"/>
  <c r="Z192" i="2"/>
  <c r="AA192" i="2"/>
  <c r="AB192" i="2"/>
  <c r="S193" i="2"/>
  <c r="T193" i="2"/>
  <c r="U193" i="2"/>
  <c r="V193" i="2"/>
  <c r="W193" i="2"/>
  <c r="X193" i="2"/>
  <c r="Y193" i="2"/>
  <c r="Z193" i="2"/>
  <c r="AA193" i="2"/>
  <c r="AB193" i="2"/>
  <c r="S194" i="2"/>
  <c r="T194" i="2"/>
  <c r="U194" i="2"/>
  <c r="V194" i="2"/>
  <c r="W194" i="2"/>
  <c r="X194" i="2"/>
  <c r="Y194" i="2"/>
  <c r="Z194" i="2"/>
  <c r="AA194" i="2"/>
  <c r="AB194" i="2"/>
  <c r="S195" i="2"/>
  <c r="T195" i="2"/>
  <c r="U195" i="2"/>
  <c r="V195" i="2"/>
  <c r="W195" i="2"/>
  <c r="X195" i="2"/>
  <c r="Y195" i="2"/>
  <c r="Z195" i="2"/>
  <c r="AA195" i="2"/>
  <c r="AB195" i="2"/>
  <c r="S196" i="2"/>
  <c r="T196" i="2"/>
  <c r="U196" i="2"/>
  <c r="V196" i="2"/>
  <c r="W196" i="2"/>
  <c r="X196" i="2"/>
  <c r="Y196" i="2"/>
  <c r="Z196" i="2"/>
  <c r="AA196" i="2"/>
  <c r="AB196" i="2"/>
  <c r="S197" i="2"/>
  <c r="T197" i="2"/>
  <c r="U197" i="2"/>
  <c r="V197" i="2"/>
  <c r="W197" i="2"/>
  <c r="X197" i="2"/>
  <c r="Y197" i="2"/>
  <c r="Z197" i="2"/>
  <c r="AA197" i="2"/>
  <c r="AB197" i="2"/>
  <c r="S198" i="2"/>
  <c r="T198" i="2"/>
  <c r="U198" i="2"/>
  <c r="V198" i="2"/>
  <c r="W198" i="2"/>
  <c r="X198" i="2"/>
  <c r="Y198" i="2"/>
  <c r="Z198" i="2"/>
  <c r="AA198" i="2"/>
  <c r="AB198" i="2"/>
  <c r="S199" i="2"/>
  <c r="T199" i="2"/>
  <c r="U199" i="2"/>
  <c r="V199" i="2"/>
  <c r="W199" i="2"/>
  <c r="X199" i="2"/>
  <c r="Y199" i="2"/>
  <c r="Z199" i="2"/>
  <c r="AA199" i="2"/>
  <c r="AB199" i="2"/>
  <c r="S200" i="2"/>
  <c r="T200" i="2"/>
  <c r="U200" i="2"/>
  <c r="V200" i="2"/>
  <c r="W200" i="2"/>
  <c r="X200" i="2"/>
  <c r="Y200" i="2"/>
  <c r="Z200" i="2"/>
  <c r="AA200" i="2"/>
  <c r="AB200" i="2"/>
  <c r="S201" i="2"/>
  <c r="T201" i="2"/>
  <c r="U201" i="2"/>
  <c r="V201" i="2"/>
  <c r="W201" i="2"/>
  <c r="X201" i="2"/>
  <c r="Y201" i="2"/>
  <c r="Z201" i="2"/>
  <c r="AA201" i="2"/>
  <c r="AB201" i="2"/>
  <c r="S202" i="2"/>
  <c r="T202" i="2"/>
  <c r="U202" i="2"/>
  <c r="V202" i="2"/>
  <c r="W202" i="2"/>
  <c r="X202" i="2"/>
  <c r="Y202" i="2"/>
  <c r="Z202" i="2"/>
  <c r="AA202" i="2"/>
  <c r="AB202" i="2"/>
  <c r="S203" i="2"/>
  <c r="T203" i="2"/>
  <c r="U203" i="2"/>
  <c r="V203" i="2"/>
  <c r="W203" i="2"/>
  <c r="X203" i="2"/>
  <c r="Y203" i="2"/>
  <c r="Z203" i="2"/>
  <c r="AA203" i="2"/>
  <c r="AB203" i="2"/>
  <c r="S204" i="2"/>
  <c r="T204" i="2"/>
  <c r="U204" i="2"/>
  <c r="V204" i="2"/>
  <c r="W204" i="2"/>
  <c r="X204" i="2"/>
  <c r="Y204" i="2"/>
  <c r="Z204" i="2"/>
  <c r="AA204" i="2"/>
  <c r="AB204" i="2"/>
  <c r="S205" i="2"/>
  <c r="T205" i="2"/>
  <c r="U205" i="2"/>
  <c r="V205" i="2"/>
  <c r="W205" i="2"/>
  <c r="X205" i="2"/>
  <c r="Y205" i="2"/>
  <c r="Z205" i="2"/>
  <c r="AA205" i="2"/>
  <c r="AB205" i="2"/>
  <c r="S206" i="2"/>
  <c r="T206" i="2"/>
  <c r="U206" i="2"/>
  <c r="V206" i="2"/>
  <c r="W206" i="2"/>
  <c r="X206" i="2"/>
  <c r="Y206" i="2"/>
  <c r="Z206" i="2"/>
  <c r="AA206" i="2"/>
  <c r="AB206" i="2"/>
  <c r="S207" i="2"/>
  <c r="T207" i="2"/>
  <c r="U207" i="2"/>
  <c r="V207" i="2"/>
  <c r="W207" i="2"/>
  <c r="X207" i="2"/>
  <c r="Y207" i="2"/>
  <c r="Z207" i="2"/>
  <c r="AA207" i="2"/>
  <c r="AB207" i="2"/>
  <c r="S208" i="2"/>
  <c r="T208" i="2"/>
  <c r="U208" i="2"/>
  <c r="V208" i="2"/>
  <c r="W208" i="2"/>
  <c r="X208" i="2"/>
  <c r="Y208" i="2"/>
  <c r="Z208" i="2"/>
  <c r="AA208" i="2"/>
  <c r="AB208" i="2"/>
  <c r="S209" i="2"/>
  <c r="T209" i="2"/>
  <c r="U209" i="2"/>
  <c r="V209" i="2"/>
  <c r="W209" i="2"/>
  <c r="X209" i="2"/>
  <c r="Y209" i="2"/>
  <c r="Z209" i="2"/>
  <c r="AA209" i="2"/>
  <c r="AB209" i="2"/>
  <c r="S210" i="2"/>
  <c r="T210" i="2"/>
  <c r="U210" i="2"/>
  <c r="V210" i="2"/>
  <c r="W210" i="2"/>
  <c r="X210" i="2"/>
  <c r="Y210" i="2"/>
  <c r="Z210" i="2"/>
  <c r="AA210" i="2"/>
  <c r="AB210" i="2"/>
  <c r="S211" i="2"/>
  <c r="T211" i="2"/>
  <c r="U211" i="2"/>
  <c r="V211" i="2"/>
  <c r="W211" i="2"/>
  <c r="X211" i="2"/>
  <c r="Y211" i="2"/>
  <c r="Z211" i="2"/>
  <c r="AA211" i="2"/>
  <c r="AB211" i="2"/>
  <c r="S212" i="2"/>
  <c r="T212" i="2"/>
  <c r="U212" i="2"/>
  <c r="V212" i="2"/>
  <c r="W212" i="2"/>
  <c r="X212" i="2"/>
  <c r="Y212" i="2"/>
  <c r="Z212" i="2"/>
  <c r="AA212" i="2"/>
  <c r="AB212" i="2"/>
  <c r="S213" i="2"/>
  <c r="T213" i="2"/>
  <c r="U213" i="2"/>
  <c r="V213" i="2"/>
  <c r="W213" i="2"/>
  <c r="X213" i="2"/>
  <c r="Y213" i="2"/>
  <c r="Z213" i="2"/>
  <c r="AA213" i="2"/>
  <c r="AB213" i="2"/>
  <c r="S214" i="2"/>
  <c r="T214" i="2"/>
  <c r="U214" i="2"/>
  <c r="V214" i="2"/>
  <c r="W214" i="2"/>
  <c r="X214" i="2"/>
  <c r="Y214" i="2"/>
  <c r="Z214" i="2"/>
  <c r="AA214" i="2"/>
  <c r="AB214" i="2"/>
  <c r="S215" i="2"/>
  <c r="T215" i="2"/>
  <c r="U215" i="2"/>
  <c r="V215" i="2"/>
  <c r="W215" i="2"/>
  <c r="X215" i="2"/>
  <c r="Y215" i="2"/>
  <c r="Z215" i="2"/>
  <c r="AA215" i="2"/>
  <c r="AB215" i="2"/>
  <c r="S216" i="2"/>
  <c r="T216" i="2"/>
  <c r="U216" i="2"/>
  <c r="V216" i="2"/>
  <c r="W216" i="2"/>
  <c r="X216" i="2"/>
  <c r="Y216" i="2"/>
  <c r="Z216" i="2"/>
  <c r="AA216" i="2"/>
  <c r="AB216" i="2"/>
  <c r="S217" i="2"/>
  <c r="T217" i="2"/>
  <c r="U217" i="2"/>
  <c r="V217" i="2"/>
  <c r="W217" i="2"/>
  <c r="X217" i="2"/>
  <c r="Y217" i="2"/>
  <c r="Z217" i="2"/>
  <c r="AA217" i="2"/>
  <c r="AB217" i="2"/>
  <c r="S218" i="2"/>
  <c r="T218" i="2"/>
  <c r="U218" i="2"/>
  <c r="V218" i="2"/>
  <c r="W218" i="2"/>
  <c r="X218" i="2"/>
  <c r="Y218" i="2"/>
  <c r="Z218" i="2"/>
  <c r="AA218" i="2"/>
  <c r="AB218" i="2"/>
  <c r="S219" i="2"/>
  <c r="T219" i="2"/>
  <c r="U219" i="2"/>
  <c r="V219" i="2"/>
  <c r="W219" i="2"/>
  <c r="X219" i="2"/>
  <c r="Y219" i="2"/>
  <c r="Z219" i="2"/>
  <c r="AA219" i="2"/>
  <c r="AB219" i="2"/>
  <c r="S220" i="2"/>
  <c r="T220" i="2"/>
  <c r="U220" i="2"/>
  <c r="V220" i="2"/>
  <c r="W220" i="2"/>
  <c r="X220" i="2"/>
  <c r="Y220" i="2"/>
  <c r="Z220" i="2"/>
  <c r="AA220" i="2"/>
  <c r="AB220" i="2"/>
  <c r="S221" i="2"/>
  <c r="T221" i="2"/>
  <c r="U221" i="2"/>
  <c r="V221" i="2"/>
  <c r="W221" i="2"/>
  <c r="X221" i="2"/>
  <c r="Y221" i="2"/>
  <c r="Z221" i="2"/>
  <c r="AA221" i="2"/>
  <c r="AB221" i="2"/>
  <c r="S222" i="2"/>
  <c r="T222" i="2"/>
  <c r="U222" i="2"/>
  <c r="V222" i="2"/>
  <c r="W222" i="2"/>
  <c r="X222" i="2"/>
  <c r="Y222" i="2"/>
  <c r="Z222" i="2"/>
  <c r="AA222" i="2"/>
  <c r="AB222" i="2"/>
  <c r="S223" i="2"/>
  <c r="T223" i="2"/>
  <c r="U223" i="2"/>
  <c r="V223" i="2"/>
  <c r="W223" i="2"/>
  <c r="X223" i="2"/>
  <c r="Y223" i="2"/>
  <c r="Z223" i="2"/>
  <c r="AA223" i="2"/>
  <c r="AB223" i="2"/>
  <c r="S224" i="2"/>
  <c r="T224" i="2"/>
  <c r="U224" i="2"/>
  <c r="V224" i="2"/>
  <c r="W224" i="2"/>
  <c r="X224" i="2"/>
  <c r="Y224" i="2"/>
  <c r="Z224" i="2"/>
  <c r="AA224" i="2"/>
  <c r="AB224" i="2"/>
  <c r="S225" i="2"/>
  <c r="T225" i="2"/>
  <c r="U225" i="2"/>
  <c r="V225" i="2"/>
  <c r="W225" i="2"/>
  <c r="X225" i="2"/>
  <c r="Y225" i="2"/>
  <c r="Z225" i="2"/>
  <c r="AA225" i="2"/>
  <c r="AB225" i="2"/>
  <c r="S226" i="2"/>
  <c r="T226" i="2"/>
  <c r="U226" i="2"/>
  <c r="V226" i="2"/>
  <c r="W226" i="2"/>
  <c r="X226" i="2"/>
  <c r="Y226" i="2"/>
  <c r="Z226" i="2"/>
  <c r="AA226" i="2"/>
  <c r="AB226" i="2"/>
  <c r="S227" i="2"/>
  <c r="T227" i="2"/>
  <c r="U227" i="2"/>
  <c r="V227" i="2"/>
  <c r="W227" i="2"/>
  <c r="X227" i="2"/>
  <c r="Y227" i="2"/>
  <c r="Z227" i="2"/>
  <c r="AA227" i="2"/>
  <c r="AB227" i="2"/>
  <c r="S228" i="2"/>
  <c r="T228" i="2"/>
  <c r="U228" i="2"/>
  <c r="V228" i="2"/>
  <c r="W228" i="2"/>
  <c r="X228" i="2"/>
  <c r="Y228" i="2"/>
  <c r="Z228" i="2"/>
  <c r="AA228" i="2"/>
  <c r="AB228" i="2"/>
  <c r="S229" i="2"/>
  <c r="T229" i="2"/>
  <c r="U229" i="2"/>
  <c r="V229" i="2"/>
  <c r="W229" i="2"/>
  <c r="X229" i="2"/>
  <c r="Y229" i="2"/>
  <c r="Z229" i="2"/>
  <c r="AA229" i="2"/>
  <c r="AB229" i="2"/>
  <c r="S230" i="2"/>
  <c r="T230" i="2"/>
  <c r="U230" i="2"/>
  <c r="V230" i="2"/>
  <c r="W230" i="2"/>
  <c r="X230" i="2"/>
  <c r="Y230" i="2"/>
  <c r="Z230" i="2"/>
  <c r="AA230" i="2"/>
  <c r="AB230" i="2"/>
  <c r="S231" i="2"/>
  <c r="T231" i="2"/>
  <c r="U231" i="2"/>
  <c r="V231" i="2"/>
  <c r="W231" i="2"/>
  <c r="X231" i="2"/>
  <c r="Y231" i="2"/>
  <c r="Z231" i="2"/>
  <c r="AA231" i="2"/>
  <c r="AB231" i="2"/>
  <c r="S232" i="2"/>
  <c r="T232" i="2"/>
  <c r="U232" i="2"/>
  <c r="V232" i="2"/>
  <c r="W232" i="2"/>
  <c r="X232" i="2"/>
  <c r="Y232" i="2"/>
  <c r="Z232" i="2"/>
  <c r="AA232" i="2"/>
  <c r="AB232" i="2"/>
  <c r="S233" i="2"/>
  <c r="T233" i="2"/>
  <c r="U233" i="2"/>
  <c r="V233" i="2"/>
  <c r="W233" i="2"/>
  <c r="X233" i="2"/>
  <c r="Y233" i="2"/>
  <c r="Z233" i="2"/>
  <c r="AA233" i="2"/>
  <c r="AB233" i="2"/>
  <c r="S234" i="2"/>
  <c r="T234" i="2"/>
  <c r="U234" i="2"/>
  <c r="V234" i="2"/>
  <c r="W234" i="2"/>
  <c r="X234" i="2"/>
  <c r="Y234" i="2"/>
  <c r="Z234" i="2"/>
  <c r="AA234" i="2"/>
  <c r="AB234" i="2"/>
  <c r="S235" i="2"/>
  <c r="T235" i="2"/>
  <c r="U235" i="2"/>
  <c r="V235" i="2"/>
  <c r="W235" i="2"/>
  <c r="X235" i="2"/>
  <c r="Y235" i="2"/>
  <c r="Z235" i="2"/>
  <c r="AA235" i="2"/>
  <c r="AB235" i="2"/>
  <c r="S236" i="2"/>
  <c r="T236" i="2"/>
  <c r="U236" i="2"/>
  <c r="V236" i="2"/>
  <c r="W236" i="2"/>
  <c r="X236" i="2"/>
  <c r="Y236" i="2"/>
  <c r="Z236" i="2"/>
  <c r="AA236" i="2"/>
  <c r="AB236" i="2"/>
  <c r="S237" i="2"/>
  <c r="T237" i="2"/>
  <c r="U237" i="2"/>
  <c r="V237" i="2"/>
  <c r="W237" i="2"/>
  <c r="X237" i="2"/>
  <c r="Y237" i="2"/>
  <c r="Z237" i="2"/>
  <c r="AA237" i="2"/>
  <c r="AB237" i="2"/>
  <c r="S238" i="2"/>
  <c r="T238" i="2"/>
  <c r="U238" i="2"/>
  <c r="V238" i="2"/>
  <c r="W238" i="2"/>
  <c r="X238" i="2"/>
  <c r="Y238" i="2"/>
  <c r="Z238" i="2"/>
  <c r="AA238" i="2"/>
  <c r="AB238" i="2"/>
  <c r="S239" i="2"/>
  <c r="T239" i="2"/>
  <c r="U239" i="2"/>
  <c r="V239" i="2"/>
  <c r="W239" i="2"/>
  <c r="X239" i="2"/>
  <c r="Y239" i="2"/>
  <c r="Z239" i="2"/>
  <c r="AA239" i="2"/>
  <c r="AB239" i="2"/>
  <c r="S240" i="2"/>
  <c r="T240" i="2"/>
  <c r="U240" i="2"/>
  <c r="V240" i="2"/>
  <c r="W240" i="2"/>
  <c r="X240" i="2"/>
  <c r="Y240" i="2"/>
  <c r="Z240" i="2"/>
  <c r="AA240" i="2"/>
  <c r="AB240" i="2"/>
  <c r="S241" i="2"/>
  <c r="T241" i="2"/>
  <c r="U241" i="2"/>
  <c r="V241" i="2"/>
  <c r="W241" i="2"/>
  <c r="X241" i="2"/>
  <c r="Y241" i="2"/>
  <c r="Z241" i="2"/>
  <c r="AA241" i="2"/>
  <c r="AB241" i="2"/>
  <c r="S242" i="2"/>
  <c r="T242" i="2"/>
  <c r="U242" i="2"/>
  <c r="V242" i="2"/>
  <c r="W242" i="2"/>
  <c r="X242" i="2"/>
  <c r="Y242" i="2"/>
  <c r="Z242" i="2"/>
  <c r="AA242" i="2"/>
  <c r="AB242" i="2"/>
  <c r="S243" i="2"/>
  <c r="T243" i="2"/>
  <c r="U243" i="2"/>
  <c r="V243" i="2"/>
  <c r="W243" i="2"/>
  <c r="X243" i="2"/>
  <c r="Y243" i="2"/>
  <c r="Z243" i="2"/>
  <c r="AA243" i="2"/>
  <c r="AB243" i="2"/>
  <c r="S244" i="2"/>
  <c r="T244" i="2"/>
  <c r="U244" i="2"/>
  <c r="V244" i="2"/>
  <c r="W244" i="2"/>
  <c r="X244" i="2"/>
  <c r="Y244" i="2"/>
  <c r="Z244" i="2"/>
  <c r="AA244" i="2"/>
  <c r="AB244" i="2"/>
  <c r="S245" i="2"/>
  <c r="T245" i="2"/>
  <c r="U245" i="2"/>
  <c r="V245" i="2"/>
  <c r="W245" i="2"/>
  <c r="X245" i="2"/>
  <c r="Y245" i="2"/>
  <c r="Z245" i="2"/>
  <c r="AA245" i="2"/>
  <c r="AB245" i="2"/>
  <c r="S246" i="2"/>
  <c r="T246" i="2"/>
  <c r="U246" i="2"/>
  <c r="V246" i="2"/>
  <c r="W246" i="2"/>
  <c r="X246" i="2"/>
  <c r="Y246" i="2"/>
  <c r="Z246" i="2"/>
  <c r="AA246" i="2"/>
  <c r="AB246" i="2"/>
  <c r="S247" i="2"/>
  <c r="T247" i="2"/>
  <c r="U247" i="2"/>
  <c r="V247" i="2"/>
  <c r="W247" i="2"/>
  <c r="X247" i="2"/>
  <c r="Y247" i="2"/>
  <c r="Z247" i="2"/>
  <c r="AA247" i="2"/>
  <c r="AB247" i="2"/>
  <c r="S248" i="2"/>
  <c r="T248" i="2"/>
  <c r="U248" i="2"/>
  <c r="V248" i="2"/>
  <c r="W248" i="2"/>
  <c r="X248" i="2"/>
  <c r="Y248" i="2"/>
  <c r="Z248" i="2"/>
  <c r="AA248" i="2"/>
  <c r="AB248" i="2"/>
  <c r="S249" i="2"/>
  <c r="T249" i="2"/>
  <c r="U249" i="2"/>
  <c r="V249" i="2"/>
  <c r="W249" i="2"/>
  <c r="X249" i="2"/>
  <c r="Y249" i="2"/>
  <c r="Z249" i="2"/>
  <c r="AA249" i="2"/>
  <c r="AB249" i="2"/>
  <c r="S250" i="2"/>
  <c r="T250" i="2"/>
  <c r="U250" i="2"/>
  <c r="V250" i="2"/>
  <c r="W250" i="2"/>
  <c r="X250" i="2"/>
  <c r="Y250" i="2"/>
  <c r="Z250" i="2"/>
  <c r="AA250" i="2"/>
  <c r="AB250" i="2"/>
  <c r="S251" i="2"/>
  <c r="T251" i="2"/>
  <c r="U251" i="2"/>
  <c r="V251" i="2"/>
  <c r="W251" i="2"/>
  <c r="X251" i="2"/>
  <c r="Y251" i="2"/>
  <c r="Z251" i="2"/>
  <c r="AA251" i="2"/>
  <c r="AB251" i="2"/>
  <c r="S252" i="2"/>
  <c r="T252" i="2"/>
  <c r="U252" i="2"/>
  <c r="V252" i="2"/>
  <c r="W252" i="2"/>
  <c r="X252" i="2"/>
  <c r="Y252" i="2"/>
  <c r="Z252" i="2"/>
  <c r="AA252" i="2"/>
  <c r="AB252" i="2"/>
  <c r="S253" i="2"/>
  <c r="T253" i="2"/>
  <c r="U253" i="2"/>
  <c r="V253" i="2"/>
  <c r="W253" i="2"/>
  <c r="X253" i="2"/>
  <c r="Y253" i="2"/>
  <c r="Z253" i="2"/>
  <c r="AA253" i="2"/>
  <c r="AB253" i="2"/>
  <c r="S254" i="2"/>
  <c r="T254" i="2"/>
  <c r="U254" i="2"/>
  <c r="V254" i="2"/>
  <c r="W254" i="2"/>
  <c r="X254" i="2"/>
  <c r="Y254" i="2"/>
  <c r="Z254" i="2"/>
  <c r="AA254" i="2"/>
  <c r="AB254" i="2"/>
  <c r="S255" i="2"/>
  <c r="T255" i="2"/>
  <c r="U255" i="2"/>
  <c r="V255" i="2"/>
  <c r="W255" i="2"/>
  <c r="X255" i="2"/>
  <c r="Y255" i="2"/>
  <c r="Z255" i="2"/>
  <c r="AA255" i="2"/>
  <c r="AB255" i="2"/>
  <c r="S256" i="2"/>
  <c r="T256" i="2"/>
  <c r="U256" i="2"/>
  <c r="V256" i="2"/>
  <c r="W256" i="2"/>
  <c r="X256" i="2"/>
  <c r="Y256" i="2"/>
  <c r="Z256" i="2"/>
  <c r="AA256" i="2"/>
  <c r="AB256" i="2"/>
  <c r="S257" i="2"/>
  <c r="T257" i="2"/>
  <c r="U257" i="2"/>
  <c r="V257" i="2"/>
  <c r="W257" i="2"/>
  <c r="X257" i="2"/>
  <c r="Y257" i="2"/>
  <c r="Z257" i="2"/>
  <c r="AA257" i="2"/>
  <c r="AB257" i="2"/>
  <c r="S258" i="2"/>
  <c r="T258" i="2"/>
  <c r="U258" i="2"/>
  <c r="V258" i="2"/>
  <c r="W258" i="2"/>
  <c r="X258" i="2"/>
  <c r="Y258" i="2"/>
  <c r="Z258" i="2"/>
  <c r="AA258" i="2"/>
  <c r="AB258" i="2"/>
  <c r="S259" i="2"/>
  <c r="T259" i="2"/>
  <c r="U259" i="2"/>
  <c r="V259" i="2"/>
  <c r="W259" i="2"/>
  <c r="X259" i="2"/>
  <c r="Y259" i="2"/>
  <c r="Z259" i="2"/>
  <c r="AA259" i="2"/>
  <c r="AB259" i="2"/>
  <c r="S260" i="2"/>
  <c r="T260" i="2"/>
  <c r="U260" i="2"/>
  <c r="V260" i="2"/>
  <c r="W260" i="2"/>
  <c r="X260" i="2"/>
  <c r="Y260" i="2"/>
  <c r="Z260" i="2"/>
  <c r="AA260" i="2"/>
  <c r="AB260" i="2"/>
  <c r="S261" i="2"/>
  <c r="T261" i="2"/>
  <c r="U261" i="2"/>
  <c r="V261" i="2"/>
  <c r="W261" i="2"/>
  <c r="X261" i="2"/>
  <c r="Y261" i="2"/>
  <c r="Z261" i="2"/>
  <c r="AA261" i="2"/>
  <c r="AB261" i="2"/>
  <c r="S262" i="2"/>
  <c r="T262" i="2"/>
  <c r="U262" i="2"/>
  <c r="V262" i="2"/>
  <c r="W262" i="2"/>
  <c r="X262" i="2"/>
  <c r="Y262" i="2"/>
  <c r="Z262" i="2"/>
  <c r="AA262" i="2"/>
  <c r="AB262" i="2"/>
  <c r="S263" i="2"/>
  <c r="T263" i="2"/>
  <c r="U263" i="2"/>
  <c r="V263" i="2"/>
  <c r="W263" i="2"/>
  <c r="X263" i="2"/>
  <c r="Y263" i="2"/>
  <c r="Z263" i="2"/>
  <c r="AA263" i="2"/>
  <c r="AB263" i="2"/>
  <c r="S264" i="2"/>
  <c r="T264" i="2"/>
  <c r="U264" i="2"/>
  <c r="V264" i="2"/>
  <c r="W264" i="2"/>
  <c r="X264" i="2"/>
  <c r="Y264" i="2"/>
  <c r="Z264" i="2"/>
  <c r="AA264" i="2"/>
  <c r="AB264" i="2"/>
  <c r="S265" i="2"/>
  <c r="T265" i="2"/>
  <c r="U265" i="2"/>
  <c r="V265" i="2"/>
  <c r="W265" i="2"/>
  <c r="X265" i="2"/>
  <c r="Y265" i="2"/>
  <c r="Z265" i="2"/>
  <c r="AA265" i="2"/>
  <c r="AB265" i="2"/>
  <c r="S266" i="2"/>
  <c r="T266" i="2"/>
  <c r="U266" i="2"/>
  <c r="V266" i="2"/>
  <c r="W266" i="2"/>
  <c r="X266" i="2"/>
  <c r="Y266" i="2"/>
  <c r="Z266" i="2"/>
  <c r="AA266" i="2"/>
  <c r="AB266" i="2"/>
  <c r="S267" i="2"/>
  <c r="T267" i="2"/>
  <c r="U267" i="2"/>
  <c r="V267" i="2"/>
  <c r="W267" i="2"/>
  <c r="X267" i="2"/>
  <c r="Y267" i="2"/>
  <c r="Z267" i="2"/>
  <c r="AA267" i="2"/>
  <c r="AB267" i="2"/>
  <c r="S268" i="2"/>
  <c r="T268" i="2"/>
  <c r="U268" i="2"/>
  <c r="V268" i="2"/>
  <c r="W268" i="2"/>
  <c r="X268" i="2"/>
  <c r="Y268" i="2"/>
  <c r="Z268" i="2"/>
  <c r="AA268" i="2"/>
  <c r="AB268" i="2"/>
  <c r="S269" i="2"/>
  <c r="T269" i="2"/>
  <c r="U269" i="2"/>
  <c r="V269" i="2"/>
  <c r="W269" i="2"/>
  <c r="X269" i="2"/>
  <c r="Y269" i="2"/>
  <c r="Z269" i="2"/>
  <c r="AA269" i="2"/>
  <c r="AB269" i="2"/>
  <c r="S270" i="2"/>
  <c r="T270" i="2"/>
  <c r="U270" i="2"/>
  <c r="V270" i="2"/>
  <c r="W270" i="2"/>
  <c r="X270" i="2"/>
  <c r="Y270" i="2"/>
  <c r="Z270" i="2"/>
  <c r="AA270" i="2"/>
  <c r="AB270" i="2"/>
  <c r="S271" i="2"/>
  <c r="T271" i="2"/>
  <c r="U271" i="2"/>
  <c r="V271" i="2"/>
  <c r="W271" i="2"/>
  <c r="X271" i="2"/>
  <c r="Y271" i="2"/>
  <c r="Z271" i="2"/>
  <c r="AA271" i="2"/>
  <c r="AB271" i="2"/>
  <c r="S272" i="2"/>
  <c r="T272" i="2"/>
  <c r="U272" i="2"/>
  <c r="V272" i="2"/>
  <c r="W272" i="2"/>
  <c r="X272" i="2"/>
  <c r="Y272" i="2"/>
  <c r="Z272" i="2"/>
  <c r="AA272" i="2"/>
  <c r="AB272" i="2"/>
  <c r="S273" i="2"/>
  <c r="T273" i="2"/>
  <c r="U273" i="2"/>
  <c r="V273" i="2"/>
  <c r="W273" i="2"/>
  <c r="X273" i="2"/>
  <c r="Y273" i="2"/>
  <c r="Z273" i="2"/>
  <c r="AA273" i="2"/>
  <c r="AB273" i="2"/>
  <c r="S274" i="2"/>
  <c r="T274" i="2"/>
  <c r="U274" i="2"/>
  <c r="V274" i="2"/>
  <c r="W274" i="2"/>
  <c r="X274" i="2"/>
  <c r="Y274" i="2"/>
  <c r="Z274" i="2"/>
  <c r="AA274" i="2"/>
  <c r="AB274" i="2"/>
  <c r="S275" i="2"/>
  <c r="T275" i="2"/>
  <c r="U275" i="2"/>
  <c r="V275" i="2"/>
  <c r="W275" i="2"/>
  <c r="X275" i="2"/>
  <c r="Y275" i="2"/>
  <c r="Z275" i="2"/>
  <c r="AA275" i="2"/>
  <c r="AB275" i="2"/>
  <c r="S276" i="2"/>
  <c r="T276" i="2"/>
  <c r="U276" i="2"/>
  <c r="V276" i="2"/>
  <c r="W276" i="2"/>
  <c r="X276" i="2"/>
  <c r="Y276" i="2"/>
  <c r="Z276" i="2"/>
  <c r="AA276" i="2"/>
  <c r="AB276" i="2"/>
  <c r="S277" i="2"/>
  <c r="T277" i="2"/>
  <c r="U277" i="2"/>
  <c r="V277" i="2"/>
  <c r="W277" i="2"/>
  <c r="X277" i="2"/>
  <c r="Y277" i="2"/>
  <c r="Z277" i="2"/>
  <c r="AA277" i="2"/>
  <c r="AB277" i="2"/>
  <c r="S278" i="2"/>
  <c r="T278" i="2"/>
  <c r="U278" i="2"/>
  <c r="V278" i="2"/>
  <c r="W278" i="2"/>
  <c r="X278" i="2"/>
  <c r="Y278" i="2"/>
  <c r="Z278" i="2"/>
  <c r="AA278" i="2"/>
  <c r="AB278" i="2"/>
  <c r="S279" i="2"/>
  <c r="T279" i="2"/>
  <c r="U279" i="2"/>
  <c r="V279" i="2"/>
  <c r="W279" i="2"/>
  <c r="X279" i="2"/>
  <c r="Y279" i="2"/>
  <c r="Z279" i="2"/>
  <c r="AA279" i="2"/>
  <c r="AB279" i="2"/>
  <c r="S280" i="2"/>
  <c r="T280" i="2"/>
  <c r="U280" i="2"/>
  <c r="V280" i="2"/>
  <c r="W280" i="2"/>
  <c r="X280" i="2"/>
  <c r="Y280" i="2"/>
  <c r="Z280" i="2"/>
  <c r="AA280" i="2"/>
  <c r="AB280" i="2"/>
  <c r="S281" i="2"/>
  <c r="T281" i="2"/>
  <c r="U281" i="2"/>
  <c r="V281" i="2"/>
  <c r="W281" i="2"/>
  <c r="X281" i="2"/>
  <c r="Y281" i="2"/>
  <c r="Z281" i="2"/>
  <c r="AA281" i="2"/>
  <c r="AB281" i="2"/>
  <c r="S282" i="2"/>
  <c r="T282" i="2"/>
  <c r="U282" i="2"/>
  <c r="V282" i="2"/>
  <c r="W282" i="2"/>
  <c r="X282" i="2"/>
  <c r="Y282" i="2"/>
  <c r="Z282" i="2"/>
  <c r="AA282" i="2"/>
  <c r="AB282" i="2"/>
  <c r="S283" i="2"/>
  <c r="T283" i="2"/>
  <c r="U283" i="2"/>
  <c r="V283" i="2"/>
  <c r="W283" i="2"/>
  <c r="X283" i="2"/>
  <c r="Y283" i="2"/>
  <c r="Z283" i="2"/>
  <c r="AA283" i="2"/>
  <c r="AB283" i="2"/>
  <c r="S284" i="2"/>
  <c r="T284" i="2"/>
  <c r="U284" i="2"/>
  <c r="V284" i="2"/>
  <c r="W284" i="2"/>
  <c r="X284" i="2"/>
  <c r="Y284" i="2"/>
  <c r="Z284" i="2"/>
  <c r="AA284" i="2"/>
  <c r="AB284" i="2"/>
  <c r="S285" i="2"/>
  <c r="T285" i="2"/>
  <c r="U285" i="2"/>
  <c r="V285" i="2"/>
  <c r="W285" i="2"/>
  <c r="X285" i="2"/>
  <c r="Y285" i="2"/>
  <c r="Z285" i="2"/>
  <c r="AA285" i="2"/>
  <c r="AB285" i="2"/>
  <c r="S286" i="2"/>
  <c r="T286" i="2"/>
  <c r="U286" i="2"/>
  <c r="V286" i="2"/>
  <c r="W286" i="2"/>
  <c r="X286" i="2"/>
  <c r="Y286" i="2"/>
  <c r="Z286" i="2"/>
  <c r="AA286" i="2"/>
  <c r="AB286" i="2"/>
  <c r="S287" i="2"/>
  <c r="T287" i="2"/>
  <c r="U287" i="2"/>
  <c r="V287" i="2"/>
  <c r="W287" i="2"/>
  <c r="X287" i="2"/>
  <c r="Y287" i="2"/>
  <c r="Z287" i="2"/>
  <c r="AA287" i="2"/>
  <c r="AB287" i="2"/>
  <c r="S288" i="2"/>
  <c r="T288" i="2"/>
  <c r="U288" i="2"/>
  <c r="V288" i="2"/>
  <c r="W288" i="2"/>
  <c r="X288" i="2"/>
  <c r="Y288" i="2"/>
  <c r="Z288" i="2"/>
  <c r="AA288" i="2"/>
  <c r="AB288" i="2"/>
  <c r="S289" i="2"/>
  <c r="T289" i="2"/>
  <c r="U289" i="2"/>
  <c r="V289" i="2"/>
  <c r="W289" i="2"/>
  <c r="X289" i="2"/>
  <c r="Y289" i="2"/>
  <c r="Z289" i="2"/>
  <c r="AA289" i="2"/>
  <c r="AB289" i="2"/>
  <c r="S290" i="2"/>
  <c r="T290" i="2"/>
  <c r="U290" i="2"/>
  <c r="V290" i="2"/>
  <c r="W290" i="2"/>
  <c r="X290" i="2"/>
  <c r="Y290" i="2"/>
  <c r="Z290" i="2"/>
  <c r="AA290" i="2"/>
  <c r="AB290" i="2"/>
  <c r="S291" i="2"/>
  <c r="T291" i="2"/>
  <c r="U291" i="2"/>
  <c r="V291" i="2"/>
  <c r="W291" i="2"/>
  <c r="X291" i="2"/>
  <c r="Y291" i="2"/>
  <c r="Z291" i="2"/>
  <c r="AA291" i="2"/>
  <c r="AB291" i="2"/>
  <c r="S292" i="2"/>
  <c r="T292" i="2"/>
  <c r="U292" i="2"/>
  <c r="V292" i="2"/>
  <c r="W292" i="2"/>
  <c r="X292" i="2"/>
  <c r="Y292" i="2"/>
  <c r="Z292" i="2"/>
  <c r="AA292" i="2"/>
  <c r="AB292" i="2"/>
  <c r="S293" i="2"/>
  <c r="T293" i="2"/>
  <c r="U293" i="2"/>
  <c r="V293" i="2"/>
  <c r="W293" i="2"/>
  <c r="X293" i="2"/>
  <c r="Y293" i="2"/>
  <c r="Z293" i="2"/>
  <c r="AA293" i="2"/>
  <c r="AB293" i="2"/>
  <c r="S294" i="2"/>
  <c r="T294" i="2"/>
  <c r="U294" i="2"/>
  <c r="V294" i="2"/>
  <c r="W294" i="2"/>
  <c r="X294" i="2"/>
  <c r="Y294" i="2"/>
  <c r="Z294" i="2"/>
  <c r="AA294" i="2"/>
  <c r="AB294" i="2"/>
  <c r="S295" i="2"/>
  <c r="T295" i="2"/>
  <c r="U295" i="2"/>
  <c r="V295" i="2"/>
  <c r="W295" i="2"/>
  <c r="X295" i="2"/>
  <c r="Y295" i="2"/>
  <c r="Z295" i="2"/>
  <c r="AA295" i="2"/>
  <c r="AB295" i="2"/>
  <c r="S296" i="2"/>
  <c r="T296" i="2"/>
  <c r="U296" i="2"/>
  <c r="V296" i="2"/>
  <c r="W296" i="2"/>
  <c r="X296" i="2"/>
  <c r="Y296" i="2"/>
  <c r="Z296" i="2"/>
  <c r="AA296" i="2"/>
  <c r="AB296" i="2"/>
  <c r="S297" i="2"/>
  <c r="T297" i="2"/>
  <c r="U297" i="2"/>
  <c r="V297" i="2"/>
  <c r="W297" i="2"/>
  <c r="X297" i="2"/>
  <c r="Y297" i="2"/>
  <c r="Z297" i="2"/>
  <c r="AA297" i="2"/>
  <c r="AB297" i="2"/>
  <c r="S298" i="2"/>
  <c r="T298" i="2"/>
  <c r="U298" i="2"/>
  <c r="V298" i="2"/>
  <c r="W298" i="2"/>
  <c r="X298" i="2"/>
  <c r="Y298" i="2"/>
  <c r="Z298" i="2"/>
  <c r="AA298" i="2"/>
  <c r="AB298" i="2"/>
  <c r="S299" i="2"/>
  <c r="T299" i="2"/>
  <c r="U299" i="2"/>
  <c r="V299" i="2"/>
  <c r="W299" i="2"/>
  <c r="X299" i="2"/>
  <c r="Y299" i="2"/>
  <c r="Z299" i="2"/>
  <c r="AA299" i="2"/>
  <c r="AB299" i="2"/>
  <c r="S300" i="2"/>
  <c r="T300" i="2"/>
  <c r="U300" i="2"/>
  <c r="V300" i="2"/>
  <c r="W300" i="2"/>
  <c r="X300" i="2"/>
  <c r="Y300" i="2"/>
  <c r="Z300" i="2"/>
  <c r="AA300" i="2"/>
  <c r="AB300" i="2"/>
  <c r="S301" i="2"/>
  <c r="T301" i="2"/>
  <c r="U301" i="2"/>
  <c r="V301" i="2"/>
  <c r="W301" i="2"/>
  <c r="X301" i="2"/>
  <c r="Y301" i="2"/>
  <c r="Z301" i="2"/>
  <c r="AA301" i="2"/>
  <c r="AB301" i="2"/>
  <c r="S302" i="2"/>
  <c r="T302" i="2"/>
  <c r="U302" i="2"/>
  <c r="V302" i="2"/>
  <c r="W302" i="2"/>
  <c r="X302" i="2"/>
  <c r="Y302" i="2"/>
  <c r="Z302" i="2"/>
  <c r="AA302" i="2"/>
  <c r="AB302" i="2"/>
  <c r="S303" i="2"/>
  <c r="T303" i="2"/>
  <c r="U303" i="2"/>
  <c r="V303" i="2"/>
  <c r="W303" i="2"/>
  <c r="X303" i="2"/>
  <c r="Y303" i="2"/>
  <c r="Z303" i="2"/>
  <c r="AA303" i="2"/>
  <c r="AB303" i="2"/>
  <c r="S304" i="2"/>
  <c r="T304" i="2"/>
  <c r="U304" i="2"/>
  <c r="V304" i="2"/>
  <c r="W304" i="2"/>
  <c r="X304" i="2"/>
  <c r="Y304" i="2"/>
  <c r="Z304" i="2"/>
  <c r="AA304" i="2"/>
  <c r="AB304" i="2"/>
  <c r="S305" i="2"/>
  <c r="T305" i="2"/>
  <c r="U305" i="2"/>
  <c r="V305" i="2"/>
  <c r="W305" i="2"/>
  <c r="X305" i="2"/>
  <c r="Y305" i="2"/>
  <c r="Z305" i="2"/>
  <c r="AA305" i="2"/>
  <c r="AB305" i="2"/>
  <c r="S306" i="2"/>
  <c r="T306" i="2"/>
  <c r="U306" i="2"/>
  <c r="V306" i="2"/>
  <c r="W306" i="2"/>
  <c r="X306" i="2"/>
  <c r="Y306" i="2"/>
  <c r="Z306" i="2"/>
  <c r="AA306" i="2"/>
  <c r="AB306" i="2"/>
  <c r="S307" i="2"/>
  <c r="T307" i="2"/>
  <c r="U307" i="2"/>
  <c r="V307" i="2"/>
  <c r="W307" i="2"/>
  <c r="X307" i="2"/>
  <c r="Y307" i="2"/>
  <c r="Z307" i="2"/>
  <c r="AA307" i="2"/>
  <c r="AB307" i="2"/>
  <c r="S308" i="2"/>
  <c r="T308" i="2"/>
  <c r="U308" i="2"/>
  <c r="V308" i="2"/>
  <c r="W308" i="2"/>
  <c r="X308" i="2"/>
  <c r="Y308" i="2"/>
  <c r="Z308" i="2"/>
  <c r="AA308" i="2"/>
  <c r="AB308" i="2"/>
  <c r="S309" i="2"/>
  <c r="T309" i="2"/>
  <c r="U309" i="2"/>
  <c r="V309" i="2"/>
  <c r="W309" i="2"/>
  <c r="X309" i="2"/>
  <c r="Y309" i="2"/>
  <c r="Z309" i="2"/>
  <c r="AA309" i="2"/>
  <c r="AB309" i="2"/>
  <c r="S310" i="2"/>
  <c r="T310" i="2"/>
  <c r="U310" i="2"/>
  <c r="V310" i="2"/>
  <c r="W310" i="2"/>
  <c r="X310" i="2"/>
  <c r="Y310" i="2"/>
  <c r="Z310" i="2"/>
  <c r="AA310" i="2"/>
  <c r="AB310" i="2"/>
  <c r="S311" i="2"/>
  <c r="T311" i="2"/>
  <c r="U311" i="2"/>
  <c r="V311" i="2"/>
  <c r="W311" i="2"/>
  <c r="X311" i="2"/>
  <c r="Y311" i="2"/>
  <c r="Z311" i="2"/>
  <c r="AA311" i="2"/>
  <c r="AB311" i="2"/>
  <c r="S312" i="2"/>
  <c r="T312" i="2"/>
  <c r="U312" i="2"/>
  <c r="V312" i="2"/>
  <c r="W312" i="2"/>
  <c r="X312" i="2"/>
  <c r="Y312" i="2"/>
  <c r="Z312" i="2"/>
  <c r="AA312" i="2"/>
  <c r="AB312" i="2"/>
  <c r="S313" i="2"/>
  <c r="T313" i="2"/>
  <c r="U313" i="2"/>
  <c r="V313" i="2"/>
  <c r="W313" i="2"/>
  <c r="X313" i="2"/>
  <c r="Y313" i="2"/>
  <c r="Z313" i="2"/>
  <c r="AA313" i="2"/>
  <c r="AB313" i="2"/>
  <c r="S314" i="2"/>
  <c r="T314" i="2"/>
  <c r="U314" i="2"/>
  <c r="V314" i="2"/>
  <c r="W314" i="2"/>
  <c r="X314" i="2"/>
  <c r="Y314" i="2"/>
  <c r="Z314" i="2"/>
  <c r="AA314" i="2"/>
  <c r="AB314" i="2"/>
  <c r="S315" i="2"/>
  <c r="T315" i="2"/>
  <c r="U315" i="2"/>
  <c r="V315" i="2"/>
  <c r="W315" i="2"/>
  <c r="X315" i="2"/>
  <c r="Y315" i="2"/>
  <c r="Z315" i="2"/>
  <c r="AA315" i="2"/>
  <c r="AB315" i="2"/>
  <c r="S316" i="2"/>
  <c r="T316" i="2"/>
  <c r="U316" i="2"/>
  <c r="V316" i="2"/>
  <c r="W316" i="2"/>
  <c r="X316" i="2"/>
  <c r="Y316" i="2"/>
  <c r="Z316" i="2"/>
  <c r="AA316" i="2"/>
  <c r="AB316" i="2"/>
  <c r="S317" i="2"/>
  <c r="T317" i="2"/>
  <c r="U317" i="2"/>
  <c r="V317" i="2"/>
  <c r="W317" i="2"/>
  <c r="X317" i="2"/>
  <c r="Y317" i="2"/>
  <c r="Z317" i="2"/>
  <c r="AA317" i="2"/>
  <c r="AB317" i="2"/>
  <c r="S318" i="2"/>
  <c r="T318" i="2"/>
  <c r="U318" i="2"/>
  <c r="V318" i="2"/>
  <c r="W318" i="2"/>
  <c r="X318" i="2"/>
  <c r="Y318" i="2"/>
  <c r="Z318" i="2"/>
  <c r="AA318" i="2"/>
  <c r="AB318" i="2"/>
  <c r="S319" i="2"/>
  <c r="T319" i="2"/>
  <c r="U319" i="2"/>
  <c r="V319" i="2"/>
  <c r="W319" i="2"/>
  <c r="X319" i="2"/>
  <c r="Y319" i="2"/>
  <c r="Z319" i="2"/>
  <c r="AA319" i="2"/>
  <c r="AB319" i="2"/>
  <c r="S320" i="2"/>
  <c r="T320" i="2"/>
  <c r="U320" i="2"/>
  <c r="V320" i="2"/>
  <c r="W320" i="2"/>
  <c r="X320" i="2"/>
  <c r="Y320" i="2"/>
  <c r="Z320" i="2"/>
  <c r="AA320" i="2"/>
  <c r="AB320" i="2"/>
  <c r="S321" i="2"/>
  <c r="T321" i="2"/>
  <c r="U321" i="2"/>
  <c r="V321" i="2"/>
  <c r="W321" i="2"/>
  <c r="X321" i="2"/>
  <c r="Y321" i="2"/>
  <c r="Z321" i="2"/>
  <c r="AA321" i="2"/>
  <c r="AB321" i="2"/>
  <c r="S322" i="2"/>
  <c r="T322" i="2"/>
  <c r="U322" i="2"/>
  <c r="V322" i="2"/>
  <c r="W322" i="2"/>
  <c r="X322" i="2"/>
  <c r="Y322" i="2"/>
  <c r="Z322" i="2"/>
  <c r="AA322" i="2"/>
  <c r="AB322" i="2"/>
  <c r="S323" i="2"/>
  <c r="T323" i="2"/>
  <c r="U323" i="2"/>
  <c r="V323" i="2"/>
  <c r="W323" i="2"/>
  <c r="X323" i="2"/>
  <c r="Y323" i="2"/>
  <c r="Z323" i="2"/>
  <c r="AA323" i="2"/>
  <c r="AB323" i="2"/>
  <c r="S324" i="2"/>
  <c r="T324" i="2"/>
  <c r="U324" i="2"/>
  <c r="V324" i="2"/>
  <c r="W324" i="2"/>
  <c r="X324" i="2"/>
  <c r="Y324" i="2"/>
  <c r="Z324" i="2"/>
  <c r="AA324" i="2"/>
  <c r="AB324" i="2"/>
  <c r="S325" i="2"/>
  <c r="T325" i="2"/>
  <c r="U325" i="2"/>
  <c r="V325" i="2"/>
  <c r="W325" i="2"/>
  <c r="X325" i="2"/>
  <c r="Y325" i="2"/>
  <c r="Z325" i="2"/>
  <c r="AA325" i="2"/>
  <c r="AB325" i="2"/>
  <c r="S326" i="2"/>
  <c r="T326" i="2"/>
  <c r="U326" i="2"/>
  <c r="V326" i="2"/>
  <c r="W326" i="2"/>
  <c r="X326" i="2"/>
  <c r="Y326" i="2"/>
  <c r="Z326" i="2"/>
  <c r="AA326" i="2"/>
  <c r="AB326" i="2"/>
  <c r="S327" i="2"/>
  <c r="T327" i="2"/>
  <c r="U327" i="2"/>
  <c r="V327" i="2"/>
  <c r="W327" i="2"/>
  <c r="X327" i="2"/>
  <c r="Y327" i="2"/>
  <c r="Z327" i="2"/>
  <c r="AA327" i="2"/>
  <c r="AB327" i="2"/>
  <c r="S328" i="2"/>
  <c r="T328" i="2"/>
  <c r="U328" i="2"/>
  <c r="V328" i="2"/>
  <c r="W328" i="2"/>
  <c r="X328" i="2"/>
  <c r="Y328" i="2"/>
  <c r="Z328" i="2"/>
  <c r="AA328" i="2"/>
  <c r="AB328" i="2"/>
  <c r="S329" i="2"/>
  <c r="T329" i="2"/>
  <c r="U329" i="2"/>
  <c r="V329" i="2"/>
  <c r="W329" i="2"/>
  <c r="X329" i="2"/>
  <c r="Y329" i="2"/>
  <c r="Z329" i="2"/>
  <c r="AA329" i="2"/>
  <c r="AB329" i="2"/>
  <c r="S330" i="2"/>
  <c r="T330" i="2"/>
  <c r="U330" i="2"/>
  <c r="V330" i="2"/>
  <c r="W330" i="2"/>
  <c r="X330" i="2"/>
  <c r="Y330" i="2"/>
  <c r="Z330" i="2"/>
  <c r="AA330" i="2"/>
  <c r="AB330" i="2"/>
  <c r="S331" i="2"/>
  <c r="T331" i="2"/>
  <c r="U331" i="2"/>
  <c r="V331" i="2"/>
  <c r="W331" i="2"/>
  <c r="X331" i="2"/>
  <c r="Y331" i="2"/>
  <c r="Z331" i="2"/>
  <c r="AA331" i="2"/>
  <c r="AB331" i="2"/>
  <c r="S332" i="2"/>
  <c r="T332" i="2"/>
  <c r="U332" i="2"/>
  <c r="V332" i="2"/>
  <c r="W332" i="2"/>
  <c r="X332" i="2"/>
  <c r="Y332" i="2"/>
  <c r="Z332" i="2"/>
  <c r="AA332" i="2"/>
  <c r="AB332" i="2"/>
  <c r="S333" i="2"/>
  <c r="T333" i="2"/>
  <c r="U333" i="2"/>
  <c r="V333" i="2"/>
  <c r="W333" i="2"/>
  <c r="X333" i="2"/>
  <c r="Y333" i="2"/>
  <c r="Z333" i="2"/>
  <c r="AA333" i="2"/>
  <c r="AB333" i="2"/>
  <c r="S334" i="2"/>
  <c r="T334" i="2"/>
  <c r="U334" i="2"/>
  <c r="V334" i="2"/>
  <c r="W334" i="2"/>
  <c r="X334" i="2"/>
  <c r="Y334" i="2"/>
  <c r="Z334" i="2"/>
  <c r="AA334" i="2"/>
  <c r="AB334" i="2"/>
  <c r="S335" i="2"/>
  <c r="T335" i="2"/>
  <c r="U335" i="2"/>
  <c r="V335" i="2"/>
  <c r="W335" i="2"/>
  <c r="X335" i="2"/>
  <c r="Y335" i="2"/>
  <c r="Z335" i="2"/>
  <c r="AA335" i="2"/>
  <c r="AB335" i="2"/>
  <c r="S336" i="2"/>
  <c r="T336" i="2"/>
  <c r="U336" i="2"/>
  <c r="V336" i="2"/>
  <c r="W336" i="2"/>
  <c r="X336" i="2"/>
  <c r="Y336" i="2"/>
  <c r="Z336" i="2"/>
  <c r="AA336" i="2"/>
  <c r="AB336" i="2"/>
  <c r="S337" i="2"/>
  <c r="T337" i="2"/>
  <c r="U337" i="2"/>
  <c r="V337" i="2"/>
  <c r="W337" i="2"/>
  <c r="X337" i="2"/>
  <c r="Y337" i="2"/>
  <c r="Z337" i="2"/>
  <c r="AA337" i="2"/>
  <c r="AB337" i="2"/>
  <c r="S338" i="2"/>
  <c r="T338" i="2"/>
  <c r="U338" i="2"/>
  <c r="V338" i="2"/>
  <c r="W338" i="2"/>
  <c r="X338" i="2"/>
  <c r="Y338" i="2"/>
  <c r="Z338" i="2"/>
  <c r="AA338" i="2"/>
  <c r="AB338" i="2"/>
  <c r="S339" i="2"/>
  <c r="T339" i="2"/>
  <c r="U339" i="2"/>
  <c r="V339" i="2"/>
  <c r="W339" i="2"/>
  <c r="X339" i="2"/>
  <c r="Y339" i="2"/>
  <c r="Z339" i="2"/>
  <c r="AA339" i="2"/>
  <c r="AB339" i="2"/>
  <c r="S340" i="2"/>
  <c r="T340" i="2"/>
  <c r="U340" i="2"/>
  <c r="V340" i="2"/>
  <c r="W340" i="2"/>
  <c r="X340" i="2"/>
  <c r="Y340" i="2"/>
  <c r="Z340" i="2"/>
  <c r="AA340" i="2"/>
  <c r="AB340" i="2"/>
  <c r="S341" i="2"/>
  <c r="T341" i="2"/>
  <c r="U341" i="2"/>
  <c r="V341" i="2"/>
  <c r="W341" i="2"/>
  <c r="X341" i="2"/>
  <c r="Y341" i="2"/>
  <c r="Z341" i="2"/>
  <c r="AA341" i="2"/>
  <c r="AB341" i="2"/>
  <c r="S342" i="2"/>
  <c r="T342" i="2"/>
  <c r="U342" i="2"/>
  <c r="V342" i="2"/>
  <c r="W342" i="2"/>
  <c r="X342" i="2"/>
  <c r="Y342" i="2"/>
  <c r="Z342" i="2"/>
  <c r="AA342" i="2"/>
  <c r="AB342" i="2"/>
  <c r="S343" i="2"/>
  <c r="T343" i="2"/>
  <c r="U343" i="2"/>
  <c r="V343" i="2"/>
  <c r="W343" i="2"/>
  <c r="X343" i="2"/>
  <c r="Y343" i="2"/>
  <c r="Z343" i="2"/>
  <c r="AA343" i="2"/>
  <c r="AB343" i="2"/>
  <c r="S344" i="2"/>
  <c r="T344" i="2"/>
  <c r="U344" i="2"/>
  <c r="V344" i="2"/>
  <c r="W344" i="2"/>
  <c r="X344" i="2"/>
  <c r="Y344" i="2"/>
  <c r="Z344" i="2"/>
  <c r="AA344" i="2"/>
  <c r="AB344" i="2"/>
  <c r="S345" i="2"/>
  <c r="T345" i="2"/>
  <c r="U345" i="2"/>
  <c r="V345" i="2"/>
  <c r="W345" i="2"/>
  <c r="X345" i="2"/>
  <c r="Y345" i="2"/>
  <c r="Z345" i="2"/>
  <c r="AA345" i="2"/>
  <c r="AB345" i="2"/>
  <c r="S346" i="2"/>
  <c r="T346" i="2"/>
  <c r="U346" i="2"/>
  <c r="V346" i="2"/>
  <c r="W346" i="2"/>
  <c r="X346" i="2"/>
  <c r="Y346" i="2"/>
  <c r="Z346" i="2"/>
  <c r="AA346" i="2"/>
  <c r="AB346" i="2"/>
  <c r="S347" i="2"/>
  <c r="T347" i="2"/>
  <c r="U347" i="2"/>
  <c r="V347" i="2"/>
  <c r="W347" i="2"/>
  <c r="X347" i="2"/>
  <c r="Y347" i="2"/>
  <c r="Z347" i="2"/>
  <c r="AA347" i="2"/>
  <c r="AB347" i="2"/>
  <c r="S348" i="2"/>
  <c r="T348" i="2"/>
  <c r="U348" i="2"/>
  <c r="V348" i="2"/>
  <c r="W348" i="2"/>
  <c r="X348" i="2"/>
  <c r="Y348" i="2"/>
  <c r="Z348" i="2"/>
  <c r="AA348" i="2"/>
  <c r="AB348" i="2"/>
  <c r="S349" i="2"/>
  <c r="T349" i="2"/>
  <c r="U349" i="2"/>
  <c r="V349" i="2"/>
  <c r="W349" i="2"/>
  <c r="X349" i="2"/>
  <c r="Y349" i="2"/>
  <c r="Z349" i="2"/>
  <c r="AA349" i="2"/>
  <c r="AB349" i="2"/>
  <c r="S350" i="2"/>
  <c r="T350" i="2"/>
  <c r="U350" i="2"/>
  <c r="V350" i="2"/>
  <c r="W350" i="2"/>
  <c r="X350" i="2"/>
  <c r="Y350" i="2"/>
  <c r="Z350" i="2"/>
  <c r="AA350" i="2"/>
  <c r="AB350" i="2"/>
  <c r="S351" i="2"/>
  <c r="T351" i="2"/>
  <c r="U351" i="2"/>
  <c r="V351" i="2"/>
  <c r="W351" i="2"/>
  <c r="X351" i="2"/>
  <c r="Y351" i="2"/>
  <c r="Z351" i="2"/>
  <c r="AA351" i="2"/>
  <c r="AB351" i="2"/>
  <c r="S352" i="2"/>
  <c r="T352" i="2"/>
  <c r="U352" i="2"/>
  <c r="V352" i="2"/>
  <c r="W352" i="2"/>
  <c r="X352" i="2"/>
  <c r="Y352" i="2"/>
  <c r="Z352" i="2"/>
  <c r="AA352" i="2"/>
  <c r="AB352" i="2"/>
  <c r="S353" i="2"/>
  <c r="T353" i="2"/>
  <c r="U353" i="2"/>
  <c r="V353" i="2"/>
  <c r="W353" i="2"/>
  <c r="X353" i="2"/>
  <c r="Y353" i="2"/>
  <c r="Z353" i="2"/>
  <c r="AA353" i="2"/>
  <c r="AB353" i="2"/>
  <c r="S354" i="2"/>
  <c r="T354" i="2"/>
  <c r="U354" i="2"/>
  <c r="V354" i="2"/>
  <c r="W354" i="2"/>
  <c r="X354" i="2"/>
  <c r="Y354" i="2"/>
  <c r="Z354" i="2"/>
  <c r="AA354" i="2"/>
  <c r="AB354" i="2"/>
  <c r="S355" i="2"/>
  <c r="T355" i="2"/>
  <c r="U355" i="2"/>
  <c r="V355" i="2"/>
  <c r="W355" i="2"/>
  <c r="X355" i="2"/>
  <c r="Y355" i="2"/>
  <c r="Z355" i="2"/>
  <c r="AA355" i="2"/>
  <c r="AB355" i="2"/>
  <c r="S356" i="2"/>
  <c r="T356" i="2"/>
  <c r="U356" i="2"/>
  <c r="V356" i="2"/>
  <c r="W356" i="2"/>
  <c r="X356" i="2"/>
  <c r="Y356" i="2"/>
  <c r="Z356" i="2"/>
  <c r="AA356" i="2"/>
  <c r="AB356" i="2"/>
  <c r="S357" i="2"/>
  <c r="T357" i="2"/>
  <c r="U357" i="2"/>
  <c r="V357" i="2"/>
  <c r="W357" i="2"/>
  <c r="X357" i="2"/>
  <c r="Y357" i="2"/>
  <c r="Z357" i="2"/>
  <c r="AA357" i="2"/>
  <c r="AB357" i="2"/>
  <c r="S358" i="2"/>
  <c r="T358" i="2"/>
  <c r="U358" i="2"/>
  <c r="V358" i="2"/>
  <c r="W358" i="2"/>
  <c r="X358" i="2"/>
  <c r="Y358" i="2"/>
  <c r="Z358" i="2"/>
  <c r="AA358" i="2"/>
  <c r="AB358" i="2"/>
  <c r="S359" i="2"/>
  <c r="T359" i="2"/>
  <c r="U359" i="2"/>
  <c r="V359" i="2"/>
  <c r="W359" i="2"/>
  <c r="X359" i="2"/>
  <c r="Y359" i="2"/>
  <c r="Z359" i="2"/>
  <c r="AA359" i="2"/>
  <c r="AB359" i="2"/>
  <c r="S360" i="2"/>
  <c r="T360" i="2"/>
  <c r="U360" i="2"/>
  <c r="V360" i="2"/>
  <c r="W360" i="2"/>
  <c r="X360" i="2"/>
  <c r="Y360" i="2"/>
  <c r="Z360" i="2"/>
  <c r="AA360" i="2"/>
  <c r="AB360" i="2"/>
  <c r="S361" i="2"/>
  <c r="T361" i="2"/>
  <c r="U361" i="2"/>
  <c r="V361" i="2"/>
  <c r="W361" i="2"/>
  <c r="X361" i="2"/>
  <c r="Y361" i="2"/>
  <c r="Z361" i="2"/>
  <c r="AA361" i="2"/>
  <c r="AB361" i="2"/>
  <c r="S362" i="2"/>
  <c r="T362" i="2"/>
  <c r="U362" i="2"/>
  <c r="V362" i="2"/>
  <c r="W362" i="2"/>
  <c r="X362" i="2"/>
  <c r="Y362" i="2"/>
  <c r="Z362" i="2"/>
  <c r="AA362" i="2"/>
  <c r="AB362" i="2"/>
  <c r="S363" i="2"/>
  <c r="T363" i="2"/>
  <c r="U363" i="2"/>
  <c r="V363" i="2"/>
  <c r="W363" i="2"/>
  <c r="X363" i="2"/>
  <c r="Y363" i="2"/>
  <c r="Z363" i="2"/>
  <c r="AA363" i="2"/>
  <c r="AB363" i="2"/>
  <c r="S364" i="2"/>
  <c r="T364" i="2"/>
  <c r="U364" i="2"/>
  <c r="V364" i="2"/>
  <c r="W364" i="2"/>
  <c r="X364" i="2"/>
  <c r="Y364" i="2"/>
  <c r="Z364" i="2"/>
  <c r="AA364" i="2"/>
  <c r="AB364" i="2"/>
  <c r="S365" i="2"/>
  <c r="T365" i="2"/>
  <c r="U365" i="2"/>
  <c r="V365" i="2"/>
  <c r="W365" i="2"/>
  <c r="X365" i="2"/>
  <c r="Y365" i="2"/>
  <c r="Z365" i="2"/>
  <c r="AA365" i="2"/>
  <c r="AB365" i="2"/>
  <c r="S366" i="2"/>
  <c r="T366" i="2"/>
  <c r="U366" i="2"/>
  <c r="V366" i="2"/>
  <c r="W366" i="2"/>
  <c r="X366" i="2"/>
  <c r="Y366" i="2"/>
  <c r="Z366" i="2"/>
  <c r="AA366" i="2"/>
  <c r="AB366" i="2"/>
  <c r="S367" i="2"/>
  <c r="T367" i="2"/>
  <c r="U367" i="2"/>
  <c r="V367" i="2"/>
  <c r="W367" i="2"/>
  <c r="X367" i="2"/>
  <c r="Y367" i="2"/>
  <c r="Z367" i="2"/>
  <c r="AA367" i="2"/>
  <c r="AB367" i="2"/>
  <c r="S368" i="2"/>
  <c r="T368" i="2"/>
  <c r="U368" i="2"/>
  <c r="V368" i="2"/>
  <c r="W368" i="2"/>
  <c r="X368" i="2"/>
  <c r="Y368" i="2"/>
  <c r="Z368" i="2"/>
  <c r="AA368" i="2"/>
  <c r="AB368" i="2"/>
  <c r="S369" i="2"/>
  <c r="T369" i="2"/>
  <c r="U369" i="2"/>
  <c r="V369" i="2"/>
  <c r="W369" i="2"/>
  <c r="X369" i="2"/>
  <c r="Y369" i="2"/>
  <c r="Z369" i="2"/>
  <c r="AA369" i="2"/>
  <c r="AB369" i="2"/>
  <c r="S370" i="2"/>
  <c r="T370" i="2"/>
  <c r="U370" i="2"/>
  <c r="V370" i="2"/>
  <c r="W370" i="2"/>
  <c r="X370" i="2"/>
  <c r="Y370" i="2"/>
  <c r="Z370" i="2"/>
  <c r="AA370" i="2"/>
  <c r="AB370" i="2"/>
  <c r="S371" i="2"/>
  <c r="T371" i="2"/>
  <c r="U371" i="2"/>
  <c r="V371" i="2"/>
  <c r="W371" i="2"/>
  <c r="X371" i="2"/>
  <c r="Y371" i="2"/>
  <c r="Z371" i="2"/>
  <c r="AA371" i="2"/>
  <c r="AB371" i="2"/>
  <c r="S372" i="2"/>
  <c r="T372" i="2"/>
  <c r="U372" i="2"/>
  <c r="V372" i="2"/>
  <c r="W372" i="2"/>
  <c r="X372" i="2"/>
  <c r="Y372" i="2"/>
  <c r="Z372" i="2"/>
  <c r="AA372" i="2"/>
  <c r="AB372" i="2"/>
  <c r="S373" i="2"/>
  <c r="T373" i="2"/>
  <c r="U373" i="2"/>
  <c r="V373" i="2"/>
  <c r="W373" i="2"/>
  <c r="X373" i="2"/>
  <c r="Y373" i="2"/>
  <c r="Z373" i="2"/>
  <c r="AA373" i="2"/>
  <c r="AB373" i="2"/>
  <c r="S374" i="2"/>
  <c r="T374" i="2"/>
  <c r="U374" i="2"/>
  <c r="V374" i="2"/>
  <c r="W374" i="2"/>
  <c r="X374" i="2"/>
  <c r="Y374" i="2"/>
  <c r="Z374" i="2"/>
  <c r="AA374" i="2"/>
  <c r="AB374" i="2"/>
  <c r="S375" i="2"/>
  <c r="T375" i="2"/>
  <c r="U375" i="2"/>
  <c r="V375" i="2"/>
  <c r="W375" i="2"/>
  <c r="X375" i="2"/>
  <c r="Y375" i="2"/>
  <c r="Z375" i="2"/>
  <c r="AA375" i="2"/>
  <c r="AB375" i="2"/>
  <c r="S376" i="2"/>
  <c r="T376" i="2"/>
  <c r="U376" i="2"/>
  <c r="V376" i="2"/>
  <c r="W376" i="2"/>
  <c r="X376" i="2"/>
  <c r="Y376" i="2"/>
  <c r="Z376" i="2"/>
  <c r="AA376" i="2"/>
  <c r="AB376" i="2"/>
  <c r="S377" i="2"/>
  <c r="T377" i="2"/>
  <c r="U377" i="2"/>
  <c r="V377" i="2"/>
  <c r="W377" i="2"/>
  <c r="X377" i="2"/>
  <c r="Y377" i="2"/>
  <c r="Z377" i="2"/>
  <c r="AA377" i="2"/>
  <c r="AB377" i="2"/>
  <c r="S378" i="2"/>
  <c r="T378" i="2"/>
  <c r="U378" i="2"/>
  <c r="V378" i="2"/>
  <c r="W378" i="2"/>
  <c r="X378" i="2"/>
  <c r="Y378" i="2"/>
  <c r="Z378" i="2"/>
  <c r="AA378" i="2"/>
  <c r="AB378" i="2"/>
  <c r="S379" i="2"/>
  <c r="T379" i="2"/>
  <c r="U379" i="2"/>
  <c r="V379" i="2"/>
  <c r="W379" i="2"/>
  <c r="X379" i="2"/>
  <c r="Y379" i="2"/>
  <c r="Z379" i="2"/>
  <c r="AA379" i="2"/>
  <c r="AB379" i="2"/>
  <c r="S380" i="2"/>
  <c r="T380" i="2"/>
  <c r="U380" i="2"/>
  <c r="V380" i="2"/>
  <c r="W380" i="2"/>
  <c r="X380" i="2"/>
  <c r="Y380" i="2"/>
  <c r="Z380" i="2"/>
  <c r="AA380" i="2"/>
  <c r="AB380" i="2"/>
  <c r="S381" i="2"/>
  <c r="T381" i="2"/>
  <c r="U381" i="2"/>
  <c r="V381" i="2"/>
  <c r="W381" i="2"/>
  <c r="X381" i="2"/>
  <c r="Y381" i="2"/>
  <c r="Z381" i="2"/>
  <c r="AA381" i="2"/>
  <c r="AB381" i="2"/>
  <c r="S382" i="2"/>
  <c r="T382" i="2"/>
  <c r="U382" i="2"/>
  <c r="V382" i="2"/>
  <c r="W382" i="2"/>
  <c r="X382" i="2"/>
  <c r="Y382" i="2"/>
  <c r="Z382" i="2"/>
  <c r="AA382" i="2"/>
  <c r="AB382" i="2"/>
  <c r="S383" i="2"/>
  <c r="T383" i="2"/>
  <c r="U383" i="2"/>
  <c r="V383" i="2"/>
  <c r="W383" i="2"/>
  <c r="X383" i="2"/>
  <c r="Y383" i="2"/>
  <c r="Z383" i="2"/>
  <c r="AA383" i="2"/>
  <c r="AB383" i="2"/>
  <c r="S384" i="2"/>
  <c r="T384" i="2"/>
  <c r="U384" i="2"/>
  <c r="V384" i="2"/>
  <c r="W384" i="2"/>
  <c r="X384" i="2"/>
  <c r="Y384" i="2"/>
  <c r="Z384" i="2"/>
  <c r="AA384" i="2"/>
  <c r="AB384" i="2"/>
  <c r="S385" i="2"/>
  <c r="T385" i="2"/>
  <c r="U385" i="2"/>
  <c r="V385" i="2"/>
  <c r="W385" i="2"/>
  <c r="X385" i="2"/>
  <c r="Y385" i="2"/>
  <c r="Z385" i="2"/>
  <c r="AA385" i="2"/>
  <c r="AB385" i="2"/>
  <c r="S386" i="2"/>
  <c r="T386" i="2"/>
  <c r="U386" i="2"/>
  <c r="V386" i="2"/>
  <c r="W386" i="2"/>
  <c r="X386" i="2"/>
  <c r="Y386" i="2"/>
  <c r="Z386" i="2"/>
  <c r="AA386" i="2"/>
  <c r="AB386" i="2"/>
  <c r="S387" i="2"/>
  <c r="T387" i="2"/>
  <c r="U387" i="2"/>
  <c r="V387" i="2"/>
  <c r="W387" i="2"/>
  <c r="X387" i="2"/>
  <c r="Y387" i="2"/>
  <c r="Z387" i="2"/>
  <c r="AA387" i="2"/>
  <c r="AB387" i="2"/>
  <c r="S388" i="2"/>
  <c r="T388" i="2"/>
  <c r="U388" i="2"/>
  <c r="V388" i="2"/>
  <c r="W388" i="2"/>
  <c r="X388" i="2"/>
  <c r="Y388" i="2"/>
  <c r="Z388" i="2"/>
  <c r="AA388" i="2"/>
  <c r="AB388" i="2"/>
  <c r="AB2" i="2"/>
  <c r="T2" i="2"/>
  <c r="U2" i="2"/>
  <c r="V2" i="2"/>
  <c r="W2" i="2"/>
  <c r="X2" i="2"/>
  <c r="Y2" i="2"/>
  <c r="Z2" i="2"/>
  <c r="AA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H388" i="2"/>
  <c r="G388" i="2"/>
  <c r="F388" i="2"/>
  <c r="E388" i="2"/>
  <c r="D388" i="2"/>
  <c r="C388" i="2"/>
  <c r="H387" i="2"/>
  <c r="G387" i="2"/>
  <c r="F387" i="2"/>
  <c r="E387" i="2"/>
  <c r="D387" i="2"/>
  <c r="C387" i="2"/>
  <c r="H386" i="2"/>
  <c r="G386" i="2"/>
  <c r="F386" i="2"/>
  <c r="E386" i="2"/>
  <c r="D386" i="2"/>
  <c r="C386" i="2"/>
  <c r="H385" i="2"/>
  <c r="G385" i="2"/>
  <c r="F385" i="2"/>
  <c r="E385" i="2"/>
  <c r="D385" i="2"/>
  <c r="C385" i="2"/>
  <c r="H384" i="2"/>
  <c r="G384" i="2"/>
  <c r="F384" i="2"/>
  <c r="E384" i="2"/>
  <c r="D384" i="2"/>
  <c r="C384" i="2"/>
  <c r="H383" i="2"/>
  <c r="G383" i="2"/>
  <c r="F383" i="2"/>
  <c r="E383" i="2"/>
  <c r="D383" i="2"/>
  <c r="C383" i="2"/>
  <c r="H382" i="2"/>
  <c r="G382" i="2"/>
  <c r="F382" i="2"/>
  <c r="E382" i="2"/>
  <c r="D382" i="2"/>
  <c r="C382" i="2"/>
  <c r="H381" i="2"/>
  <c r="G381" i="2"/>
  <c r="F381" i="2"/>
  <c r="E381" i="2"/>
  <c r="D381" i="2"/>
  <c r="C381" i="2"/>
  <c r="H380" i="2"/>
  <c r="G380" i="2"/>
  <c r="F380" i="2"/>
  <c r="E380" i="2"/>
  <c r="D380" i="2"/>
  <c r="C380" i="2"/>
  <c r="H379" i="2"/>
  <c r="G379" i="2"/>
  <c r="F379" i="2"/>
  <c r="E379" i="2"/>
  <c r="D379" i="2"/>
  <c r="C379" i="2"/>
  <c r="H378" i="2"/>
  <c r="G378" i="2"/>
  <c r="F378" i="2"/>
  <c r="E378" i="2"/>
  <c r="D378" i="2"/>
  <c r="C378" i="2"/>
  <c r="H377" i="2"/>
  <c r="G377" i="2"/>
  <c r="F377" i="2"/>
  <c r="E377" i="2"/>
  <c r="D377" i="2"/>
  <c r="C377" i="2"/>
  <c r="H376" i="2"/>
  <c r="G376" i="2"/>
  <c r="F376" i="2"/>
  <c r="E376" i="2"/>
  <c r="D376" i="2"/>
  <c r="C376" i="2"/>
  <c r="H375" i="2"/>
  <c r="G375" i="2"/>
  <c r="F375" i="2"/>
  <c r="E375" i="2"/>
  <c r="D375" i="2"/>
  <c r="C375" i="2"/>
  <c r="H374" i="2"/>
  <c r="G374" i="2"/>
  <c r="F374" i="2"/>
  <c r="E374" i="2"/>
  <c r="D374" i="2"/>
  <c r="C374" i="2"/>
  <c r="H373" i="2"/>
  <c r="G373" i="2"/>
  <c r="F373" i="2"/>
  <c r="E373" i="2"/>
  <c r="D373" i="2"/>
  <c r="C373" i="2"/>
  <c r="H372" i="2"/>
  <c r="G372" i="2"/>
  <c r="F372" i="2"/>
  <c r="E372" i="2"/>
  <c r="D372" i="2"/>
  <c r="C372" i="2"/>
  <c r="H371" i="2"/>
  <c r="G371" i="2"/>
  <c r="F371" i="2"/>
  <c r="E371" i="2"/>
  <c r="D371" i="2"/>
  <c r="C371" i="2"/>
  <c r="H370" i="2"/>
  <c r="G370" i="2"/>
  <c r="F370" i="2"/>
  <c r="E370" i="2"/>
  <c r="D370" i="2"/>
  <c r="C370" i="2"/>
  <c r="H369" i="2"/>
  <c r="G369" i="2"/>
  <c r="F369" i="2"/>
  <c r="E369" i="2"/>
  <c r="D369" i="2"/>
  <c r="C369" i="2"/>
  <c r="H368" i="2"/>
  <c r="G368" i="2"/>
  <c r="F368" i="2"/>
  <c r="E368" i="2"/>
  <c r="D368" i="2"/>
  <c r="C368" i="2"/>
  <c r="H367" i="2"/>
  <c r="G367" i="2"/>
  <c r="F367" i="2"/>
  <c r="E367" i="2"/>
  <c r="D367" i="2"/>
  <c r="C367" i="2"/>
  <c r="H366" i="2"/>
  <c r="G366" i="2"/>
  <c r="F366" i="2"/>
  <c r="E366" i="2"/>
  <c r="D366" i="2"/>
  <c r="C366" i="2"/>
  <c r="H365" i="2"/>
  <c r="G365" i="2"/>
  <c r="F365" i="2"/>
  <c r="E365" i="2"/>
  <c r="D365" i="2"/>
  <c r="C365" i="2"/>
  <c r="H364" i="2"/>
  <c r="G364" i="2"/>
  <c r="F364" i="2"/>
  <c r="E364" i="2"/>
  <c r="D364" i="2"/>
  <c r="C364" i="2"/>
  <c r="H363" i="2"/>
  <c r="G363" i="2"/>
  <c r="F363" i="2"/>
  <c r="E363" i="2"/>
  <c r="D363" i="2"/>
  <c r="C363" i="2"/>
  <c r="H362" i="2"/>
  <c r="G362" i="2"/>
  <c r="F362" i="2"/>
  <c r="E362" i="2"/>
  <c r="D362" i="2"/>
  <c r="C362" i="2"/>
  <c r="H361" i="2"/>
  <c r="G361" i="2"/>
  <c r="F361" i="2"/>
  <c r="E361" i="2"/>
  <c r="D361" i="2"/>
  <c r="C361" i="2"/>
  <c r="H360" i="2"/>
  <c r="G360" i="2"/>
  <c r="F360" i="2"/>
  <c r="E360" i="2"/>
  <c r="D360" i="2"/>
  <c r="C360" i="2"/>
  <c r="H359" i="2"/>
  <c r="G359" i="2"/>
  <c r="F359" i="2"/>
  <c r="E359" i="2"/>
  <c r="D359" i="2"/>
  <c r="C359" i="2"/>
  <c r="H358" i="2"/>
  <c r="G358" i="2"/>
  <c r="F358" i="2"/>
  <c r="E358" i="2"/>
  <c r="D358" i="2"/>
  <c r="C358" i="2"/>
  <c r="H357" i="2"/>
  <c r="G357" i="2"/>
  <c r="F357" i="2"/>
  <c r="E357" i="2"/>
  <c r="D357" i="2"/>
  <c r="C357" i="2"/>
  <c r="H356" i="2"/>
  <c r="G356" i="2"/>
  <c r="F356" i="2"/>
  <c r="E356" i="2"/>
  <c r="D356" i="2"/>
  <c r="C356" i="2"/>
  <c r="H355" i="2"/>
  <c r="G355" i="2"/>
  <c r="F355" i="2"/>
  <c r="E355" i="2"/>
  <c r="D355" i="2"/>
  <c r="C355" i="2"/>
  <c r="H354" i="2"/>
  <c r="G354" i="2"/>
  <c r="F354" i="2"/>
  <c r="E354" i="2"/>
  <c r="D354" i="2"/>
  <c r="C354" i="2"/>
  <c r="H353" i="2"/>
  <c r="G353" i="2"/>
  <c r="F353" i="2"/>
  <c r="E353" i="2"/>
  <c r="D353" i="2"/>
  <c r="C353" i="2"/>
  <c r="H352" i="2"/>
  <c r="G352" i="2"/>
  <c r="F352" i="2"/>
  <c r="E352" i="2"/>
  <c r="D352" i="2"/>
  <c r="C352" i="2"/>
  <c r="H351" i="2"/>
  <c r="G351" i="2"/>
  <c r="F351" i="2"/>
  <c r="E351" i="2"/>
  <c r="D351" i="2"/>
  <c r="C351" i="2"/>
  <c r="H350" i="2"/>
  <c r="G350" i="2"/>
  <c r="F350" i="2"/>
  <c r="E350" i="2"/>
  <c r="D350" i="2"/>
  <c r="C350" i="2"/>
  <c r="H349" i="2"/>
  <c r="G349" i="2"/>
  <c r="F349" i="2"/>
  <c r="E349" i="2"/>
  <c r="D349" i="2"/>
  <c r="C349" i="2"/>
  <c r="H348" i="2"/>
  <c r="G348" i="2"/>
  <c r="F348" i="2"/>
  <c r="E348" i="2"/>
  <c r="D348" i="2"/>
  <c r="C348" i="2"/>
  <c r="H347" i="2"/>
  <c r="G347" i="2"/>
  <c r="F347" i="2"/>
  <c r="E347" i="2"/>
  <c r="D347" i="2"/>
  <c r="C347" i="2"/>
  <c r="H346" i="2"/>
  <c r="G346" i="2"/>
  <c r="F346" i="2"/>
  <c r="E346" i="2"/>
  <c r="D346" i="2"/>
  <c r="C346" i="2"/>
  <c r="H345" i="2"/>
  <c r="G345" i="2"/>
  <c r="F345" i="2"/>
  <c r="E345" i="2"/>
  <c r="D345" i="2"/>
  <c r="C345" i="2"/>
  <c r="H344" i="2"/>
  <c r="G344" i="2"/>
  <c r="F344" i="2"/>
  <c r="E344" i="2"/>
  <c r="D344" i="2"/>
  <c r="C344" i="2"/>
  <c r="H343" i="2"/>
  <c r="G343" i="2"/>
  <c r="F343" i="2"/>
  <c r="E343" i="2"/>
  <c r="D343" i="2"/>
  <c r="C343" i="2"/>
  <c r="H342" i="2"/>
  <c r="G342" i="2"/>
  <c r="F342" i="2"/>
  <c r="E342" i="2"/>
  <c r="D342" i="2"/>
  <c r="C342" i="2"/>
  <c r="H341" i="2"/>
  <c r="G341" i="2"/>
  <c r="F341" i="2"/>
  <c r="E341" i="2"/>
  <c r="D341" i="2"/>
  <c r="C341" i="2"/>
  <c r="H340" i="2"/>
  <c r="G340" i="2"/>
  <c r="F340" i="2"/>
  <c r="E340" i="2"/>
  <c r="D340" i="2"/>
  <c r="C340" i="2"/>
  <c r="H339" i="2"/>
  <c r="G339" i="2"/>
  <c r="F339" i="2"/>
  <c r="E339" i="2"/>
  <c r="D339" i="2"/>
  <c r="C339" i="2"/>
  <c r="H338" i="2"/>
  <c r="G338" i="2"/>
  <c r="F338" i="2"/>
  <c r="E338" i="2"/>
  <c r="D338" i="2"/>
  <c r="C338" i="2"/>
  <c r="H337" i="2"/>
  <c r="G337" i="2"/>
  <c r="F337" i="2"/>
  <c r="E337" i="2"/>
  <c r="D337" i="2"/>
  <c r="C337" i="2"/>
  <c r="H336" i="2"/>
  <c r="G336" i="2"/>
  <c r="F336" i="2"/>
  <c r="E336" i="2"/>
  <c r="D336" i="2"/>
  <c r="C336" i="2"/>
  <c r="H335" i="2"/>
  <c r="G335" i="2"/>
  <c r="F335" i="2"/>
  <c r="E335" i="2"/>
  <c r="D335" i="2"/>
  <c r="C335" i="2"/>
  <c r="H334" i="2"/>
  <c r="G334" i="2"/>
  <c r="F334" i="2"/>
  <c r="E334" i="2"/>
  <c r="D334" i="2"/>
  <c r="C334" i="2"/>
  <c r="H333" i="2"/>
  <c r="G333" i="2"/>
  <c r="F333" i="2"/>
  <c r="E333" i="2"/>
  <c r="D333" i="2"/>
  <c r="C333" i="2"/>
  <c r="H332" i="2"/>
  <c r="G332" i="2"/>
  <c r="F332" i="2"/>
  <c r="E332" i="2"/>
  <c r="D332" i="2"/>
  <c r="C332" i="2"/>
  <c r="H331" i="2"/>
  <c r="G331" i="2"/>
  <c r="F331" i="2"/>
  <c r="E331" i="2"/>
  <c r="D331" i="2"/>
  <c r="C331" i="2"/>
  <c r="H330" i="2"/>
  <c r="G330" i="2"/>
  <c r="F330" i="2"/>
  <c r="E330" i="2"/>
  <c r="D330" i="2"/>
  <c r="C330" i="2"/>
  <c r="H329" i="2"/>
  <c r="G329" i="2"/>
  <c r="F329" i="2"/>
  <c r="E329" i="2"/>
  <c r="D329" i="2"/>
  <c r="C329" i="2"/>
  <c r="H328" i="2"/>
  <c r="G328" i="2"/>
  <c r="F328" i="2"/>
  <c r="E328" i="2"/>
  <c r="D328" i="2"/>
  <c r="C328" i="2"/>
  <c r="H327" i="2"/>
  <c r="G327" i="2"/>
  <c r="F327" i="2"/>
  <c r="E327" i="2"/>
  <c r="D327" i="2"/>
  <c r="C327" i="2"/>
  <c r="H326" i="2"/>
  <c r="G326" i="2"/>
  <c r="F326" i="2"/>
  <c r="E326" i="2"/>
  <c r="D326" i="2"/>
  <c r="C326" i="2"/>
  <c r="H325" i="2"/>
  <c r="G325" i="2"/>
  <c r="F325" i="2"/>
  <c r="E325" i="2"/>
  <c r="D325" i="2"/>
  <c r="C325" i="2"/>
  <c r="H324" i="2"/>
  <c r="G324" i="2"/>
  <c r="F324" i="2"/>
  <c r="E324" i="2"/>
  <c r="D324" i="2"/>
  <c r="C324" i="2"/>
  <c r="H323" i="2"/>
  <c r="G323" i="2"/>
  <c r="F323" i="2"/>
  <c r="E323" i="2"/>
  <c r="D323" i="2"/>
  <c r="C323" i="2"/>
  <c r="H322" i="2"/>
  <c r="G322" i="2"/>
  <c r="F322" i="2"/>
  <c r="E322" i="2"/>
  <c r="D322" i="2"/>
  <c r="C322" i="2"/>
  <c r="H321" i="2"/>
  <c r="G321" i="2"/>
  <c r="F321" i="2"/>
  <c r="E321" i="2"/>
  <c r="D321" i="2"/>
  <c r="C321" i="2"/>
  <c r="H320" i="2"/>
  <c r="G320" i="2"/>
  <c r="F320" i="2"/>
  <c r="E320" i="2"/>
  <c r="D320" i="2"/>
  <c r="C320" i="2"/>
  <c r="H319" i="2"/>
  <c r="G319" i="2"/>
  <c r="F319" i="2"/>
  <c r="E319" i="2"/>
  <c r="D319" i="2"/>
  <c r="C319" i="2"/>
  <c r="H318" i="2"/>
  <c r="G318" i="2"/>
  <c r="F318" i="2"/>
  <c r="E318" i="2"/>
  <c r="D318" i="2"/>
  <c r="C318" i="2"/>
  <c r="H317" i="2"/>
  <c r="G317" i="2"/>
  <c r="F317" i="2"/>
  <c r="E317" i="2"/>
  <c r="D317" i="2"/>
  <c r="C317" i="2"/>
  <c r="H316" i="2"/>
  <c r="G316" i="2"/>
  <c r="F316" i="2"/>
  <c r="E316" i="2"/>
  <c r="D316" i="2"/>
  <c r="C316" i="2"/>
  <c r="H315" i="2"/>
  <c r="G315" i="2"/>
  <c r="F315" i="2"/>
  <c r="E315" i="2"/>
  <c r="D315" i="2"/>
  <c r="C315" i="2"/>
  <c r="H314" i="2"/>
  <c r="G314" i="2"/>
  <c r="F314" i="2"/>
  <c r="E314" i="2"/>
  <c r="D314" i="2"/>
  <c r="C314" i="2"/>
  <c r="H313" i="2"/>
  <c r="G313" i="2"/>
  <c r="F313" i="2"/>
  <c r="E313" i="2"/>
  <c r="D313" i="2"/>
  <c r="C313" i="2"/>
  <c r="H312" i="2"/>
  <c r="G312" i="2"/>
  <c r="F312" i="2"/>
  <c r="E312" i="2"/>
  <c r="D312" i="2"/>
  <c r="C312" i="2"/>
  <c r="H311" i="2"/>
  <c r="G311" i="2"/>
  <c r="F311" i="2"/>
  <c r="E311" i="2"/>
  <c r="D311" i="2"/>
  <c r="C311" i="2"/>
  <c r="H310" i="2"/>
  <c r="G310" i="2"/>
  <c r="F310" i="2"/>
  <c r="E310" i="2"/>
  <c r="D310" i="2"/>
  <c r="C310" i="2"/>
  <c r="H309" i="2"/>
  <c r="G309" i="2"/>
  <c r="F309" i="2"/>
  <c r="E309" i="2"/>
  <c r="D309" i="2"/>
  <c r="C309" i="2"/>
  <c r="H308" i="2"/>
  <c r="G308" i="2"/>
  <c r="F308" i="2"/>
  <c r="E308" i="2"/>
  <c r="D308" i="2"/>
  <c r="C308" i="2"/>
  <c r="H307" i="2"/>
  <c r="G307" i="2"/>
  <c r="F307" i="2"/>
  <c r="E307" i="2"/>
  <c r="D307" i="2"/>
  <c r="C307" i="2"/>
  <c r="H306" i="2"/>
  <c r="G306" i="2"/>
  <c r="F306" i="2"/>
  <c r="E306" i="2"/>
  <c r="D306" i="2"/>
  <c r="C306" i="2"/>
  <c r="H305" i="2"/>
  <c r="G305" i="2"/>
  <c r="F305" i="2"/>
  <c r="E305" i="2"/>
  <c r="D305" i="2"/>
  <c r="C305" i="2"/>
  <c r="H304" i="2"/>
  <c r="G304" i="2"/>
  <c r="F304" i="2"/>
  <c r="E304" i="2"/>
  <c r="D304" i="2"/>
  <c r="C304" i="2"/>
  <c r="H303" i="2"/>
  <c r="G303" i="2"/>
  <c r="F303" i="2"/>
  <c r="E303" i="2"/>
  <c r="D303" i="2"/>
  <c r="C303" i="2"/>
  <c r="H302" i="2"/>
  <c r="G302" i="2"/>
  <c r="F302" i="2"/>
  <c r="E302" i="2"/>
  <c r="D302" i="2"/>
  <c r="C302" i="2"/>
  <c r="H301" i="2"/>
  <c r="G301" i="2"/>
  <c r="F301" i="2"/>
  <c r="E301" i="2"/>
  <c r="D301" i="2"/>
  <c r="C301" i="2"/>
  <c r="H300" i="2"/>
  <c r="G300" i="2"/>
  <c r="F300" i="2"/>
  <c r="E300" i="2"/>
  <c r="D300" i="2"/>
  <c r="C300" i="2"/>
  <c r="H299" i="2"/>
  <c r="G299" i="2"/>
  <c r="F299" i="2"/>
  <c r="E299" i="2"/>
  <c r="D299" i="2"/>
  <c r="C299" i="2"/>
  <c r="H298" i="2"/>
  <c r="G298" i="2"/>
  <c r="F298" i="2"/>
  <c r="E298" i="2"/>
  <c r="D298" i="2"/>
  <c r="C298" i="2"/>
  <c r="H297" i="2"/>
  <c r="G297" i="2"/>
  <c r="F297" i="2"/>
  <c r="E297" i="2"/>
  <c r="D297" i="2"/>
  <c r="C297" i="2"/>
  <c r="H296" i="2"/>
  <c r="G296" i="2"/>
  <c r="F296" i="2"/>
  <c r="E296" i="2"/>
  <c r="D296" i="2"/>
  <c r="C296" i="2"/>
  <c r="H295" i="2"/>
  <c r="G295" i="2"/>
  <c r="F295" i="2"/>
  <c r="E295" i="2"/>
  <c r="D295" i="2"/>
  <c r="C295" i="2"/>
  <c r="H294" i="2"/>
  <c r="G294" i="2"/>
  <c r="F294" i="2"/>
  <c r="E294" i="2"/>
  <c r="D294" i="2"/>
  <c r="C294" i="2"/>
  <c r="H293" i="2"/>
  <c r="G293" i="2"/>
  <c r="F293" i="2"/>
  <c r="E293" i="2"/>
  <c r="D293" i="2"/>
  <c r="C293" i="2"/>
  <c r="H292" i="2"/>
  <c r="G292" i="2"/>
  <c r="F292" i="2"/>
  <c r="E292" i="2"/>
  <c r="D292" i="2"/>
  <c r="C292" i="2"/>
  <c r="H291" i="2"/>
  <c r="G291" i="2"/>
  <c r="F291" i="2"/>
  <c r="E291" i="2"/>
  <c r="D291" i="2"/>
  <c r="C291" i="2"/>
  <c r="H290" i="2"/>
  <c r="G290" i="2"/>
  <c r="F290" i="2"/>
  <c r="E290" i="2"/>
  <c r="D290" i="2"/>
  <c r="C290" i="2"/>
  <c r="H289" i="2"/>
  <c r="G289" i="2"/>
  <c r="F289" i="2"/>
  <c r="E289" i="2"/>
  <c r="D289" i="2"/>
  <c r="C289" i="2"/>
  <c r="H288" i="2"/>
  <c r="G288" i="2"/>
  <c r="F288" i="2"/>
  <c r="E288" i="2"/>
  <c r="D288" i="2"/>
  <c r="C288" i="2"/>
  <c r="H287" i="2"/>
  <c r="G287" i="2"/>
  <c r="F287" i="2"/>
  <c r="E287" i="2"/>
  <c r="D287" i="2"/>
  <c r="C287" i="2"/>
  <c r="H286" i="2"/>
  <c r="G286" i="2"/>
  <c r="F286" i="2"/>
  <c r="E286" i="2"/>
  <c r="D286" i="2"/>
  <c r="C286" i="2"/>
  <c r="H285" i="2"/>
  <c r="G285" i="2"/>
  <c r="F285" i="2"/>
  <c r="E285" i="2"/>
  <c r="D285" i="2"/>
  <c r="C285" i="2"/>
  <c r="H284" i="2"/>
  <c r="G284" i="2"/>
  <c r="F284" i="2"/>
  <c r="E284" i="2"/>
  <c r="D284" i="2"/>
  <c r="C284" i="2"/>
  <c r="H283" i="2"/>
  <c r="G283" i="2"/>
  <c r="F283" i="2"/>
  <c r="E283" i="2"/>
  <c r="D283" i="2"/>
  <c r="C283" i="2"/>
  <c r="H282" i="2"/>
  <c r="G282" i="2"/>
  <c r="F282" i="2"/>
  <c r="E282" i="2"/>
  <c r="D282" i="2"/>
  <c r="C282" i="2"/>
  <c r="H281" i="2"/>
  <c r="G281" i="2"/>
  <c r="F281" i="2"/>
  <c r="E281" i="2"/>
  <c r="D281" i="2"/>
  <c r="C281" i="2"/>
  <c r="H280" i="2"/>
  <c r="G280" i="2"/>
  <c r="F280" i="2"/>
  <c r="E280" i="2"/>
  <c r="D280" i="2"/>
  <c r="C280" i="2"/>
  <c r="H279" i="2"/>
  <c r="G279" i="2"/>
  <c r="F279" i="2"/>
  <c r="E279" i="2"/>
  <c r="D279" i="2"/>
  <c r="C279" i="2"/>
  <c r="H278" i="2"/>
  <c r="G278" i="2"/>
  <c r="F278" i="2"/>
  <c r="E278" i="2"/>
  <c r="D278" i="2"/>
  <c r="C278" i="2"/>
  <c r="H277" i="2"/>
  <c r="G277" i="2"/>
  <c r="F277" i="2"/>
  <c r="E277" i="2"/>
  <c r="D277" i="2"/>
  <c r="C277" i="2"/>
  <c r="H276" i="2"/>
  <c r="G276" i="2"/>
  <c r="F276" i="2"/>
  <c r="E276" i="2"/>
  <c r="D276" i="2"/>
  <c r="C276" i="2"/>
  <c r="H275" i="2"/>
  <c r="G275" i="2"/>
  <c r="F275" i="2"/>
  <c r="E275" i="2"/>
  <c r="D275" i="2"/>
  <c r="C275" i="2"/>
  <c r="H274" i="2"/>
  <c r="G274" i="2"/>
  <c r="F274" i="2"/>
  <c r="E274" i="2"/>
  <c r="D274" i="2"/>
  <c r="C274" i="2"/>
  <c r="H273" i="2"/>
  <c r="G273" i="2"/>
  <c r="F273" i="2"/>
  <c r="E273" i="2"/>
  <c r="D273" i="2"/>
  <c r="C273" i="2"/>
  <c r="H272" i="2"/>
  <c r="G272" i="2"/>
  <c r="F272" i="2"/>
  <c r="E272" i="2"/>
  <c r="D272" i="2"/>
  <c r="C272" i="2"/>
  <c r="H271" i="2"/>
  <c r="G271" i="2"/>
  <c r="F271" i="2"/>
  <c r="E271" i="2"/>
  <c r="D271" i="2"/>
  <c r="C271" i="2"/>
  <c r="H270" i="2"/>
  <c r="G270" i="2"/>
  <c r="F270" i="2"/>
  <c r="E270" i="2"/>
  <c r="D270" i="2"/>
  <c r="C270" i="2"/>
  <c r="H269" i="2"/>
  <c r="G269" i="2"/>
  <c r="F269" i="2"/>
  <c r="E269" i="2"/>
  <c r="D269" i="2"/>
  <c r="C269" i="2"/>
  <c r="H268" i="2"/>
  <c r="G268" i="2"/>
  <c r="F268" i="2"/>
  <c r="E268" i="2"/>
  <c r="D268" i="2"/>
  <c r="C268" i="2"/>
  <c r="H267" i="2"/>
  <c r="G267" i="2"/>
  <c r="F267" i="2"/>
  <c r="E267" i="2"/>
  <c r="D267" i="2"/>
  <c r="C267" i="2"/>
  <c r="H266" i="2"/>
  <c r="G266" i="2"/>
  <c r="F266" i="2"/>
  <c r="E266" i="2"/>
  <c r="D266" i="2"/>
  <c r="C266" i="2"/>
  <c r="H265" i="2"/>
  <c r="G265" i="2"/>
  <c r="F265" i="2"/>
  <c r="E265" i="2"/>
  <c r="D265" i="2"/>
  <c r="C265" i="2"/>
  <c r="H264" i="2"/>
  <c r="G264" i="2"/>
  <c r="F264" i="2"/>
  <c r="E264" i="2"/>
  <c r="D264" i="2"/>
  <c r="C264" i="2"/>
  <c r="H263" i="2"/>
  <c r="G263" i="2"/>
  <c r="F263" i="2"/>
  <c r="E263" i="2"/>
  <c r="D263" i="2"/>
  <c r="C263" i="2"/>
  <c r="H262" i="2"/>
  <c r="G262" i="2"/>
  <c r="F262" i="2"/>
  <c r="E262" i="2"/>
  <c r="D262" i="2"/>
  <c r="C262" i="2"/>
  <c r="H261" i="2"/>
  <c r="G261" i="2"/>
  <c r="F261" i="2"/>
  <c r="E261" i="2"/>
  <c r="D261" i="2"/>
  <c r="C261" i="2"/>
  <c r="H260" i="2"/>
  <c r="G260" i="2"/>
  <c r="F260" i="2"/>
  <c r="E260" i="2"/>
  <c r="D260" i="2"/>
  <c r="C260" i="2"/>
  <c r="H259" i="2"/>
  <c r="G259" i="2"/>
  <c r="F259" i="2"/>
  <c r="E259" i="2"/>
  <c r="D259" i="2"/>
  <c r="C259" i="2"/>
  <c r="H258" i="2"/>
  <c r="G258" i="2"/>
  <c r="F258" i="2"/>
  <c r="E258" i="2"/>
  <c r="D258" i="2"/>
  <c r="C258" i="2"/>
  <c r="H257" i="2"/>
  <c r="G257" i="2"/>
  <c r="F257" i="2"/>
  <c r="E257" i="2"/>
  <c r="D257" i="2"/>
  <c r="C257" i="2"/>
  <c r="H256" i="2"/>
  <c r="G256" i="2"/>
  <c r="F256" i="2"/>
  <c r="E256" i="2"/>
  <c r="D256" i="2"/>
  <c r="C256" i="2"/>
  <c r="H255" i="2"/>
  <c r="G255" i="2"/>
  <c r="F255" i="2"/>
  <c r="E255" i="2"/>
  <c r="D255" i="2"/>
  <c r="C255" i="2"/>
  <c r="H254" i="2"/>
  <c r="G254" i="2"/>
  <c r="F254" i="2"/>
  <c r="E254" i="2"/>
  <c r="D254" i="2"/>
  <c r="C254" i="2"/>
  <c r="H253" i="2"/>
  <c r="G253" i="2"/>
  <c r="F253" i="2"/>
  <c r="E253" i="2"/>
  <c r="D253" i="2"/>
  <c r="C253" i="2"/>
  <c r="H252" i="2"/>
  <c r="G252" i="2"/>
  <c r="F252" i="2"/>
  <c r="E252" i="2"/>
  <c r="D252" i="2"/>
  <c r="C252" i="2"/>
  <c r="H251" i="2"/>
  <c r="G251" i="2"/>
  <c r="F251" i="2"/>
  <c r="E251" i="2"/>
  <c r="D251" i="2"/>
  <c r="C251" i="2"/>
  <c r="H250" i="2"/>
  <c r="G250" i="2"/>
  <c r="F250" i="2"/>
  <c r="E250" i="2"/>
  <c r="D250" i="2"/>
  <c r="C250" i="2"/>
  <c r="H249" i="2"/>
  <c r="G249" i="2"/>
  <c r="F249" i="2"/>
  <c r="E249" i="2"/>
  <c r="D249" i="2"/>
  <c r="C249" i="2"/>
  <c r="H248" i="2"/>
  <c r="G248" i="2"/>
  <c r="F248" i="2"/>
  <c r="E248" i="2"/>
  <c r="D248" i="2"/>
  <c r="C248" i="2"/>
  <c r="H247" i="2"/>
  <c r="G247" i="2"/>
  <c r="F247" i="2"/>
  <c r="E247" i="2"/>
  <c r="D247" i="2"/>
  <c r="C247" i="2"/>
  <c r="H246" i="2"/>
  <c r="G246" i="2"/>
  <c r="F246" i="2"/>
  <c r="E246" i="2"/>
  <c r="D246" i="2"/>
  <c r="C246" i="2"/>
  <c r="H245" i="2"/>
  <c r="G245" i="2"/>
  <c r="F245" i="2"/>
  <c r="E245" i="2"/>
  <c r="D245" i="2"/>
  <c r="C245" i="2"/>
  <c r="H244" i="2"/>
  <c r="G244" i="2"/>
  <c r="F244" i="2"/>
  <c r="E244" i="2"/>
  <c r="D244" i="2"/>
  <c r="C244" i="2"/>
  <c r="H243" i="2"/>
  <c r="G243" i="2"/>
  <c r="F243" i="2"/>
  <c r="E243" i="2"/>
  <c r="D243" i="2"/>
  <c r="C243" i="2"/>
  <c r="H242" i="2"/>
  <c r="G242" i="2"/>
  <c r="F242" i="2"/>
  <c r="E242" i="2"/>
  <c r="D242" i="2"/>
  <c r="C242" i="2"/>
  <c r="H241" i="2"/>
  <c r="G241" i="2"/>
  <c r="F241" i="2"/>
  <c r="E241" i="2"/>
  <c r="D241" i="2"/>
  <c r="C241" i="2"/>
  <c r="H240" i="2"/>
  <c r="G240" i="2"/>
  <c r="F240" i="2"/>
  <c r="E240" i="2"/>
  <c r="D240" i="2"/>
  <c r="C240" i="2"/>
  <c r="H239" i="2"/>
  <c r="G239" i="2"/>
  <c r="F239" i="2"/>
  <c r="E239" i="2"/>
  <c r="D239" i="2"/>
  <c r="C239" i="2"/>
  <c r="H238" i="2"/>
  <c r="G238" i="2"/>
  <c r="F238" i="2"/>
  <c r="E238" i="2"/>
  <c r="D238" i="2"/>
  <c r="C238" i="2"/>
  <c r="H237" i="2"/>
  <c r="G237" i="2"/>
  <c r="F237" i="2"/>
  <c r="E237" i="2"/>
  <c r="D237" i="2"/>
  <c r="C237" i="2"/>
  <c r="H236" i="2"/>
  <c r="G236" i="2"/>
  <c r="F236" i="2"/>
  <c r="E236" i="2"/>
  <c r="D236" i="2"/>
  <c r="C236" i="2"/>
  <c r="H235" i="2"/>
  <c r="G235" i="2"/>
  <c r="F235" i="2"/>
  <c r="E235" i="2"/>
  <c r="D235" i="2"/>
  <c r="C235" i="2"/>
  <c r="H234" i="2"/>
  <c r="G234" i="2"/>
  <c r="F234" i="2"/>
  <c r="E234" i="2"/>
  <c r="D234" i="2"/>
  <c r="C234" i="2"/>
  <c r="H233" i="2"/>
  <c r="G233" i="2"/>
  <c r="F233" i="2"/>
  <c r="E233" i="2"/>
  <c r="D233" i="2"/>
  <c r="C233" i="2"/>
  <c r="H232" i="2"/>
  <c r="G232" i="2"/>
  <c r="F232" i="2"/>
  <c r="E232" i="2"/>
  <c r="D232" i="2"/>
  <c r="C232" i="2"/>
  <c r="H231" i="2"/>
  <c r="G231" i="2"/>
  <c r="F231" i="2"/>
  <c r="E231" i="2"/>
  <c r="D231" i="2"/>
  <c r="C231" i="2"/>
  <c r="H230" i="2"/>
  <c r="G230" i="2"/>
  <c r="F230" i="2"/>
  <c r="E230" i="2"/>
  <c r="D230" i="2"/>
  <c r="C230" i="2"/>
  <c r="H229" i="2"/>
  <c r="G229" i="2"/>
  <c r="F229" i="2"/>
  <c r="E229" i="2"/>
  <c r="D229" i="2"/>
  <c r="C229" i="2"/>
  <c r="H228" i="2"/>
  <c r="G228" i="2"/>
  <c r="F228" i="2"/>
  <c r="E228" i="2"/>
  <c r="D228" i="2"/>
  <c r="C228" i="2"/>
  <c r="H227" i="2"/>
  <c r="G227" i="2"/>
  <c r="F227" i="2"/>
  <c r="E227" i="2"/>
  <c r="D227" i="2"/>
  <c r="C227" i="2"/>
  <c r="H226" i="2"/>
  <c r="G226" i="2"/>
  <c r="F226" i="2"/>
  <c r="E226" i="2"/>
  <c r="D226" i="2"/>
  <c r="C226" i="2"/>
  <c r="H225" i="2"/>
  <c r="G225" i="2"/>
  <c r="F225" i="2"/>
  <c r="E225" i="2"/>
  <c r="D225" i="2"/>
  <c r="C225" i="2"/>
  <c r="H224" i="2"/>
  <c r="G224" i="2"/>
  <c r="F224" i="2"/>
  <c r="E224" i="2"/>
  <c r="D224" i="2"/>
  <c r="C224" i="2"/>
  <c r="H223" i="2"/>
  <c r="G223" i="2"/>
  <c r="F223" i="2"/>
  <c r="E223" i="2"/>
  <c r="D223" i="2"/>
  <c r="C223" i="2"/>
  <c r="H222" i="2"/>
  <c r="G222" i="2"/>
  <c r="F222" i="2"/>
  <c r="E222" i="2"/>
  <c r="D222" i="2"/>
  <c r="C222" i="2"/>
  <c r="H221" i="2"/>
  <c r="G221" i="2"/>
  <c r="F221" i="2"/>
  <c r="E221" i="2"/>
  <c r="D221" i="2"/>
  <c r="C221" i="2"/>
  <c r="H220" i="2"/>
  <c r="G220" i="2"/>
  <c r="F220" i="2"/>
  <c r="E220" i="2"/>
  <c r="D220" i="2"/>
  <c r="C220" i="2"/>
  <c r="H219" i="2"/>
  <c r="G219" i="2"/>
  <c r="F219" i="2"/>
  <c r="E219" i="2"/>
  <c r="D219" i="2"/>
  <c r="C219" i="2"/>
  <c r="H218" i="2"/>
  <c r="G218" i="2"/>
  <c r="F218" i="2"/>
  <c r="E218" i="2"/>
  <c r="D218" i="2"/>
  <c r="C218" i="2"/>
  <c r="H217" i="2"/>
  <c r="G217" i="2"/>
  <c r="F217" i="2"/>
  <c r="E217" i="2"/>
  <c r="D217" i="2"/>
  <c r="C217" i="2"/>
  <c r="H216" i="2"/>
  <c r="G216" i="2"/>
  <c r="F216" i="2"/>
  <c r="E216" i="2"/>
  <c r="D216" i="2"/>
  <c r="C216" i="2"/>
  <c r="H215" i="2"/>
  <c r="G215" i="2"/>
  <c r="F215" i="2"/>
  <c r="E215" i="2"/>
  <c r="D215" i="2"/>
  <c r="C215" i="2"/>
  <c r="H214" i="2"/>
  <c r="G214" i="2"/>
  <c r="F214" i="2"/>
  <c r="E214" i="2"/>
  <c r="D214" i="2"/>
  <c r="C214" i="2"/>
  <c r="H213" i="2"/>
  <c r="G213" i="2"/>
  <c r="F213" i="2"/>
  <c r="E213" i="2"/>
  <c r="D213" i="2"/>
  <c r="C213" i="2"/>
  <c r="H212" i="2"/>
  <c r="G212" i="2"/>
  <c r="F212" i="2"/>
  <c r="E212" i="2"/>
  <c r="D212" i="2"/>
  <c r="C212" i="2"/>
  <c r="H211" i="2"/>
  <c r="G211" i="2"/>
  <c r="F211" i="2"/>
  <c r="E211" i="2"/>
  <c r="D211" i="2"/>
  <c r="C211" i="2"/>
  <c r="H210" i="2"/>
  <c r="G210" i="2"/>
  <c r="F210" i="2"/>
  <c r="E210" i="2"/>
  <c r="D210" i="2"/>
  <c r="C210" i="2"/>
  <c r="H209" i="2"/>
  <c r="G209" i="2"/>
  <c r="F209" i="2"/>
  <c r="E209" i="2"/>
  <c r="D209" i="2"/>
  <c r="C209" i="2"/>
  <c r="H208" i="2"/>
  <c r="G208" i="2"/>
  <c r="F208" i="2"/>
  <c r="E208" i="2"/>
  <c r="D208" i="2"/>
  <c r="C208" i="2"/>
  <c r="H207" i="2"/>
  <c r="G207" i="2"/>
  <c r="F207" i="2"/>
  <c r="E207" i="2"/>
  <c r="D207" i="2"/>
  <c r="C207" i="2"/>
  <c r="H206" i="2"/>
  <c r="G206" i="2"/>
  <c r="F206" i="2"/>
  <c r="E206" i="2"/>
  <c r="D206" i="2"/>
  <c r="C206" i="2"/>
  <c r="H205" i="2"/>
  <c r="G205" i="2"/>
  <c r="F205" i="2"/>
  <c r="E205" i="2"/>
  <c r="D205" i="2"/>
  <c r="C205" i="2"/>
  <c r="H204" i="2"/>
  <c r="G204" i="2"/>
  <c r="F204" i="2"/>
  <c r="E204" i="2"/>
  <c r="D204" i="2"/>
  <c r="C204" i="2"/>
  <c r="H203" i="2"/>
  <c r="G203" i="2"/>
  <c r="F203" i="2"/>
  <c r="E203" i="2"/>
  <c r="D203" i="2"/>
  <c r="C203" i="2"/>
  <c r="H202" i="2"/>
  <c r="G202" i="2"/>
  <c r="F202" i="2"/>
  <c r="E202" i="2"/>
  <c r="D202" i="2"/>
  <c r="C202" i="2"/>
  <c r="H201" i="2"/>
  <c r="G201" i="2"/>
  <c r="F201" i="2"/>
  <c r="E201" i="2"/>
  <c r="D201" i="2"/>
  <c r="C201" i="2"/>
  <c r="H200" i="2"/>
  <c r="G200" i="2"/>
  <c r="F200" i="2"/>
  <c r="E200" i="2"/>
  <c r="D200" i="2"/>
  <c r="C200" i="2"/>
  <c r="H199" i="2"/>
  <c r="G199" i="2"/>
  <c r="F199" i="2"/>
  <c r="E199" i="2"/>
  <c r="D199" i="2"/>
  <c r="C199" i="2"/>
  <c r="H198" i="2"/>
  <c r="G198" i="2"/>
  <c r="F198" i="2"/>
  <c r="E198" i="2"/>
  <c r="D198" i="2"/>
  <c r="C198" i="2"/>
  <c r="H197" i="2"/>
  <c r="G197" i="2"/>
  <c r="F197" i="2"/>
  <c r="E197" i="2"/>
  <c r="D197" i="2"/>
  <c r="C197" i="2"/>
  <c r="H196" i="2"/>
  <c r="G196" i="2"/>
  <c r="F196" i="2"/>
  <c r="E196" i="2"/>
  <c r="D196" i="2"/>
  <c r="C196" i="2"/>
  <c r="H195" i="2"/>
  <c r="G195" i="2"/>
  <c r="F195" i="2"/>
  <c r="E195" i="2"/>
  <c r="D195" i="2"/>
  <c r="C195" i="2"/>
  <c r="H194" i="2"/>
  <c r="G194" i="2"/>
  <c r="F194" i="2"/>
  <c r="E194" i="2"/>
  <c r="D194" i="2"/>
  <c r="C194" i="2"/>
  <c r="H193" i="2"/>
  <c r="G193" i="2"/>
  <c r="F193" i="2"/>
  <c r="E193" i="2"/>
  <c r="D193" i="2"/>
  <c r="C193" i="2"/>
  <c r="H192" i="2"/>
  <c r="G192" i="2"/>
  <c r="F192" i="2"/>
  <c r="E192" i="2"/>
  <c r="D192" i="2"/>
  <c r="C192" i="2"/>
  <c r="H191" i="2"/>
  <c r="G191" i="2"/>
  <c r="F191" i="2"/>
  <c r="E191" i="2"/>
  <c r="D191" i="2"/>
  <c r="C191" i="2"/>
  <c r="H190" i="2"/>
  <c r="G190" i="2"/>
  <c r="F190" i="2"/>
  <c r="E190" i="2"/>
  <c r="D190" i="2"/>
  <c r="C190" i="2"/>
  <c r="H189" i="2"/>
  <c r="G189" i="2"/>
  <c r="F189" i="2"/>
  <c r="E189" i="2"/>
  <c r="D189" i="2"/>
  <c r="C189" i="2"/>
  <c r="H188" i="2"/>
  <c r="G188" i="2"/>
  <c r="F188" i="2"/>
  <c r="E188" i="2"/>
  <c r="D188" i="2"/>
  <c r="C188" i="2"/>
  <c r="H187" i="2"/>
  <c r="G187" i="2"/>
  <c r="F187" i="2"/>
  <c r="E187" i="2"/>
  <c r="D187" i="2"/>
  <c r="C187" i="2"/>
  <c r="H186" i="2"/>
  <c r="G186" i="2"/>
  <c r="F186" i="2"/>
  <c r="E186" i="2"/>
  <c r="D186" i="2"/>
  <c r="C186" i="2"/>
  <c r="H185" i="2"/>
  <c r="G185" i="2"/>
  <c r="F185" i="2"/>
  <c r="E185" i="2"/>
  <c r="D185" i="2"/>
  <c r="C185" i="2"/>
  <c r="H184" i="2"/>
  <c r="G184" i="2"/>
  <c r="F184" i="2"/>
  <c r="E184" i="2"/>
  <c r="D184" i="2"/>
  <c r="C184" i="2"/>
  <c r="H183" i="2"/>
  <c r="G183" i="2"/>
  <c r="F183" i="2"/>
  <c r="E183" i="2"/>
  <c r="D183" i="2"/>
  <c r="C183" i="2"/>
  <c r="H182" i="2"/>
  <c r="G182" i="2"/>
  <c r="F182" i="2"/>
  <c r="E182" i="2"/>
  <c r="D182" i="2"/>
  <c r="C182" i="2"/>
  <c r="H181" i="2"/>
  <c r="G181" i="2"/>
  <c r="F181" i="2"/>
  <c r="E181" i="2"/>
  <c r="D181" i="2"/>
  <c r="C181" i="2"/>
  <c r="H180" i="2"/>
  <c r="G180" i="2"/>
  <c r="F180" i="2"/>
  <c r="E180" i="2"/>
  <c r="D180" i="2"/>
  <c r="C180" i="2"/>
  <c r="H179" i="2"/>
  <c r="G179" i="2"/>
  <c r="F179" i="2"/>
  <c r="E179" i="2"/>
  <c r="D179" i="2"/>
  <c r="C179" i="2"/>
  <c r="H178" i="2"/>
  <c r="G178" i="2"/>
  <c r="F178" i="2"/>
  <c r="E178" i="2"/>
  <c r="D178" i="2"/>
  <c r="C178" i="2"/>
  <c r="H177" i="2"/>
  <c r="G177" i="2"/>
  <c r="F177" i="2"/>
  <c r="E177" i="2"/>
  <c r="D177" i="2"/>
  <c r="C177" i="2"/>
  <c r="H176" i="2"/>
  <c r="G176" i="2"/>
  <c r="F176" i="2"/>
  <c r="E176" i="2"/>
  <c r="D176" i="2"/>
  <c r="C176" i="2"/>
  <c r="H175" i="2"/>
  <c r="G175" i="2"/>
  <c r="F175" i="2"/>
  <c r="E175" i="2"/>
  <c r="D175" i="2"/>
  <c r="C175" i="2"/>
  <c r="H174" i="2"/>
  <c r="G174" i="2"/>
  <c r="F174" i="2"/>
  <c r="E174" i="2"/>
  <c r="D174" i="2"/>
  <c r="C174" i="2"/>
  <c r="H173" i="2"/>
  <c r="G173" i="2"/>
  <c r="F173" i="2"/>
  <c r="E173" i="2"/>
  <c r="D173" i="2"/>
  <c r="C173" i="2"/>
  <c r="H172" i="2"/>
  <c r="G172" i="2"/>
  <c r="F172" i="2"/>
  <c r="E172" i="2"/>
  <c r="D172" i="2"/>
  <c r="C172" i="2"/>
  <c r="H171" i="2"/>
  <c r="G171" i="2"/>
  <c r="F171" i="2"/>
  <c r="E171" i="2"/>
  <c r="D171" i="2"/>
  <c r="C171" i="2"/>
  <c r="H170" i="2"/>
  <c r="G170" i="2"/>
  <c r="F170" i="2"/>
  <c r="E170" i="2"/>
  <c r="D170" i="2"/>
  <c r="C170" i="2"/>
  <c r="H169" i="2"/>
  <c r="G169" i="2"/>
  <c r="F169" i="2"/>
  <c r="E169" i="2"/>
  <c r="D169" i="2"/>
  <c r="C169" i="2"/>
  <c r="H168" i="2"/>
  <c r="G168" i="2"/>
  <c r="F168" i="2"/>
  <c r="E168" i="2"/>
  <c r="D168" i="2"/>
  <c r="C168" i="2"/>
  <c r="H167" i="2"/>
  <c r="G167" i="2"/>
  <c r="F167" i="2"/>
  <c r="E167" i="2"/>
  <c r="D167" i="2"/>
  <c r="C167" i="2"/>
  <c r="H166" i="2"/>
  <c r="G166" i="2"/>
  <c r="F166" i="2"/>
  <c r="E166" i="2"/>
  <c r="D166" i="2"/>
  <c r="C166" i="2"/>
  <c r="H165" i="2"/>
  <c r="G165" i="2"/>
  <c r="F165" i="2"/>
  <c r="E165" i="2"/>
  <c r="D165" i="2"/>
  <c r="C165" i="2"/>
  <c r="H164" i="2"/>
  <c r="G164" i="2"/>
  <c r="F164" i="2"/>
  <c r="E164" i="2"/>
  <c r="D164" i="2"/>
  <c r="C164" i="2"/>
  <c r="H163" i="2"/>
  <c r="G163" i="2"/>
  <c r="F163" i="2"/>
  <c r="E163" i="2"/>
  <c r="D163" i="2"/>
  <c r="C163" i="2"/>
  <c r="H162" i="2"/>
  <c r="G162" i="2"/>
  <c r="F162" i="2"/>
  <c r="E162" i="2"/>
  <c r="D162" i="2"/>
  <c r="C162" i="2"/>
  <c r="H161" i="2"/>
  <c r="G161" i="2"/>
  <c r="F161" i="2"/>
  <c r="E161" i="2"/>
  <c r="D161" i="2"/>
  <c r="C161" i="2"/>
  <c r="H160" i="2"/>
  <c r="G160" i="2"/>
  <c r="F160" i="2"/>
  <c r="E160" i="2"/>
  <c r="D160" i="2"/>
  <c r="C160" i="2"/>
  <c r="H159" i="2"/>
  <c r="G159" i="2"/>
  <c r="F159" i="2"/>
  <c r="E159" i="2"/>
  <c r="D159" i="2"/>
  <c r="C159" i="2"/>
  <c r="H158" i="2"/>
  <c r="G158" i="2"/>
  <c r="F158" i="2"/>
  <c r="E158" i="2"/>
  <c r="D158" i="2"/>
  <c r="C158" i="2"/>
  <c r="H157" i="2"/>
  <c r="G157" i="2"/>
  <c r="F157" i="2"/>
  <c r="E157" i="2"/>
  <c r="D157" i="2"/>
  <c r="C157" i="2"/>
  <c r="H156" i="2"/>
  <c r="G156" i="2"/>
  <c r="F156" i="2"/>
  <c r="E156" i="2"/>
  <c r="D156" i="2"/>
  <c r="C156" i="2"/>
  <c r="H155" i="2"/>
  <c r="G155" i="2"/>
  <c r="F155" i="2"/>
  <c r="E155" i="2"/>
  <c r="D155" i="2"/>
  <c r="C155" i="2"/>
  <c r="H154" i="2"/>
  <c r="G154" i="2"/>
  <c r="F154" i="2"/>
  <c r="E154" i="2"/>
  <c r="D154" i="2"/>
  <c r="C154" i="2"/>
  <c r="H153" i="2"/>
  <c r="G153" i="2"/>
  <c r="F153" i="2"/>
  <c r="E153" i="2"/>
  <c r="D153" i="2"/>
  <c r="C153" i="2"/>
  <c r="H152" i="2"/>
  <c r="G152" i="2"/>
  <c r="F152" i="2"/>
  <c r="E152" i="2"/>
  <c r="D152" i="2"/>
  <c r="C152" i="2"/>
  <c r="H151" i="2"/>
  <c r="G151" i="2"/>
  <c r="F151" i="2"/>
  <c r="E151" i="2"/>
  <c r="D151" i="2"/>
  <c r="C151" i="2"/>
  <c r="H150" i="2"/>
  <c r="G150" i="2"/>
  <c r="F150" i="2"/>
  <c r="E150" i="2"/>
  <c r="D150" i="2"/>
  <c r="C150" i="2"/>
  <c r="H149" i="2"/>
  <c r="G149" i="2"/>
  <c r="F149" i="2"/>
  <c r="E149" i="2"/>
  <c r="D149" i="2"/>
  <c r="C149" i="2"/>
  <c r="H148" i="2"/>
  <c r="G148" i="2"/>
  <c r="F148" i="2"/>
  <c r="E148" i="2"/>
  <c r="D148" i="2"/>
  <c r="C148" i="2"/>
  <c r="H147" i="2"/>
  <c r="G147" i="2"/>
  <c r="F147" i="2"/>
  <c r="E147" i="2"/>
  <c r="D147" i="2"/>
  <c r="C147" i="2"/>
  <c r="H146" i="2"/>
  <c r="G146" i="2"/>
  <c r="F146" i="2"/>
  <c r="E146" i="2"/>
  <c r="D146" i="2"/>
  <c r="C146" i="2"/>
  <c r="H145" i="2"/>
  <c r="G145" i="2"/>
  <c r="F145" i="2"/>
  <c r="E145" i="2"/>
  <c r="D145" i="2"/>
  <c r="C145" i="2"/>
  <c r="H144" i="2"/>
  <c r="G144" i="2"/>
  <c r="F144" i="2"/>
  <c r="E144" i="2"/>
  <c r="D144" i="2"/>
  <c r="C144" i="2"/>
  <c r="H143" i="2"/>
  <c r="G143" i="2"/>
  <c r="F143" i="2"/>
  <c r="E143" i="2"/>
  <c r="D143" i="2"/>
  <c r="C143" i="2"/>
  <c r="H142" i="2"/>
  <c r="G142" i="2"/>
  <c r="F142" i="2"/>
  <c r="E142" i="2"/>
  <c r="D142" i="2"/>
  <c r="C142" i="2"/>
  <c r="H141" i="2"/>
  <c r="G141" i="2"/>
  <c r="F141" i="2"/>
  <c r="E141" i="2"/>
  <c r="D141" i="2"/>
  <c r="C141" i="2"/>
  <c r="H140" i="2"/>
  <c r="G140" i="2"/>
  <c r="F140" i="2"/>
  <c r="E140" i="2"/>
  <c r="D140" i="2"/>
  <c r="C140" i="2"/>
  <c r="H139" i="2"/>
  <c r="G139" i="2"/>
  <c r="F139" i="2"/>
  <c r="E139" i="2"/>
  <c r="D139" i="2"/>
  <c r="C139" i="2"/>
  <c r="H138" i="2"/>
  <c r="G138" i="2"/>
  <c r="F138" i="2"/>
  <c r="E138" i="2"/>
  <c r="D138" i="2"/>
  <c r="C138" i="2"/>
  <c r="H137" i="2"/>
  <c r="G137" i="2"/>
  <c r="F137" i="2"/>
  <c r="E137" i="2"/>
  <c r="D137" i="2"/>
  <c r="C137" i="2"/>
  <c r="H136" i="2"/>
  <c r="G136" i="2"/>
  <c r="F136" i="2"/>
  <c r="E136" i="2"/>
  <c r="D136" i="2"/>
  <c r="C136" i="2"/>
  <c r="H135" i="2"/>
  <c r="G135" i="2"/>
  <c r="F135" i="2"/>
  <c r="E135" i="2"/>
  <c r="D135" i="2"/>
  <c r="C135" i="2"/>
  <c r="H134" i="2"/>
  <c r="G134" i="2"/>
  <c r="F134" i="2"/>
  <c r="E134" i="2"/>
  <c r="D134" i="2"/>
  <c r="C134" i="2"/>
  <c r="H133" i="2"/>
  <c r="G133" i="2"/>
  <c r="F133" i="2"/>
  <c r="E133" i="2"/>
  <c r="D133" i="2"/>
  <c r="C133" i="2"/>
  <c r="H132" i="2"/>
  <c r="G132" i="2"/>
  <c r="F132" i="2"/>
  <c r="E132" i="2"/>
  <c r="D132" i="2"/>
  <c r="C132" i="2"/>
  <c r="H131" i="2"/>
  <c r="G131" i="2"/>
  <c r="F131" i="2"/>
  <c r="E131" i="2"/>
  <c r="D131" i="2"/>
  <c r="C131" i="2"/>
  <c r="H130" i="2"/>
  <c r="G130" i="2"/>
  <c r="F130" i="2"/>
  <c r="E130" i="2"/>
  <c r="D130" i="2"/>
  <c r="C130" i="2"/>
  <c r="H129" i="2"/>
  <c r="G129" i="2"/>
  <c r="F129" i="2"/>
  <c r="E129" i="2"/>
  <c r="D129" i="2"/>
  <c r="C129" i="2"/>
  <c r="H128" i="2"/>
  <c r="G128" i="2"/>
  <c r="F128" i="2"/>
  <c r="E128" i="2"/>
  <c r="D128" i="2"/>
  <c r="C128" i="2"/>
  <c r="H127" i="2"/>
  <c r="G127" i="2"/>
  <c r="F127" i="2"/>
  <c r="E127" i="2"/>
  <c r="D127" i="2"/>
  <c r="C127" i="2"/>
  <c r="H126" i="2"/>
  <c r="G126" i="2"/>
  <c r="F126" i="2"/>
  <c r="E126" i="2"/>
  <c r="D126" i="2"/>
  <c r="C126" i="2"/>
  <c r="H125" i="2"/>
  <c r="G125" i="2"/>
  <c r="F125" i="2"/>
  <c r="E125" i="2"/>
  <c r="D125" i="2"/>
  <c r="C125" i="2"/>
  <c r="H124" i="2"/>
  <c r="G124" i="2"/>
  <c r="F124" i="2"/>
  <c r="E124" i="2"/>
  <c r="D124" i="2"/>
  <c r="C124" i="2"/>
  <c r="H123" i="2"/>
  <c r="G123" i="2"/>
  <c r="F123" i="2"/>
  <c r="E123" i="2"/>
  <c r="D123" i="2"/>
  <c r="C123" i="2"/>
  <c r="H122" i="2"/>
  <c r="G122" i="2"/>
  <c r="F122" i="2"/>
  <c r="E122" i="2"/>
  <c r="D122" i="2"/>
  <c r="C122" i="2"/>
  <c r="H121" i="2"/>
  <c r="G121" i="2"/>
  <c r="F121" i="2"/>
  <c r="E121" i="2"/>
  <c r="D121" i="2"/>
  <c r="C121" i="2"/>
  <c r="H120" i="2"/>
  <c r="G120" i="2"/>
  <c r="F120" i="2"/>
  <c r="E120" i="2"/>
  <c r="D120" i="2"/>
  <c r="C120" i="2"/>
  <c r="H119" i="2"/>
  <c r="G119" i="2"/>
  <c r="F119" i="2"/>
  <c r="E119" i="2"/>
  <c r="D119" i="2"/>
  <c r="C119" i="2"/>
  <c r="H118" i="2"/>
  <c r="G118" i="2"/>
  <c r="F118" i="2"/>
  <c r="E118" i="2"/>
  <c r="D118" i="2"/>
  <c r="C118" i="2"/>
  <c r="H117" i="2"/>
  <c r="G117" i="2"/>
  <c r="F117" i="2"/>
  <c r="E117" i="2"/>
  <c r="D117" i="2"/>
  <c r="C117" i="2"/>
  <c r="H116" i="2"/>
  <c r="G116" i="2"/>
  <c r="F116" i="2"/>
  <c r="E116" i="2"/>
  <c r="D116" i="2"/>
  <c r="C116" i="2"/>
  <c r="H115" i="2"/>
  <c r="G115" i="2"/>
  <c r="F115" i="2"/>
  <c r="E115" i="2"/>
  <c r="D115" i="2"/>
  <c r="C115" i="2"/>
  <c r="H114" i="2"/>
  <c r="G114" i="2"/>
  <c r="F114" i="2"/>
  <c r="E114" i="2"/>
  <c r="D114" i="2"/>
  <c r="C114" i="2"/>
  <c r="H113" i="2"/>
  <c r="G113" i="2"/>
  <c r="F113" i="2"/>
  <c r="E113" i="2"/>
  <c r="D113" i="2"/>
  <c r="C113" i="2"/>
  <c r="H112" i="2"/>
  <c r="G112" i="2"/>
  <c r="F112" i="2"/>
  <c r="E112" i="2"/>
  <c r="D112" i="2"/>
  <c r="C112" i="2"/>
  <c r="H111" i="2"/>
  <c r="G111" i="2"/>
  <c r="F111" i="2"/>
  <c r="E111" i="2"/>
  <c r="D111" i="2"/>
  <c r="C111" i="2"/>
  <c r="H110" i="2"/>
  <c r="G110" i="2"/>
  <c r="F110" i="2"/>
  <c r="E110" i="2"/>
  <c r="D110" i="2"/>
  <c r="C110" i="2"/>
  <c r="H109" i="2"/>
  <c r="G109" i="2"/>
  <c r="F109" i="2"/>
  <c r="E109" i="2"/>
  <c r="D109" i="2"/>
  <c r="C109" i="2"/>
  <c r="H108" i="2"/>
  <c r="G108" i="2"/>
  <c r="F108" i="2"/>
  <c r="E108" i="2"/>
  <c r="D108" i="2"/>
  <c r="C108" i="2"/>
  <c r="H107" i="2"/>
  <c r="G107" i="2"/>
  <c r="F107" i="2"/>
  <c r="E107" i="2"/>
  <c r="D107" i="2"/>
  <c r="C107" i="2"/>
  <c r="H106" i="2"/>
  <c r="G106" i="2"/>
  <c r="F106" i="2"/>
  <c r="E106" i="2"/>
  <c r="D106" i="2"/>
  <c r="C106" i="2"/>
  <c r="H105" i="2"/>
  <c r="G105" i="2"/>
  <c r="F105" i="2"/>
  <c r="E105" i="2"/>
  <c r="D105" i="2"/>
  <c r="C105" i="2"/>
  <c r="H104" i="2"/>
  <c r="G104" i="2"/>
  <c r="F104" i="2"/>
  <c r="E104" i="2"/>
  <c r="D104" i="2"/>
  <c r="C104" i="2"/>
  <c r="H103" i="2"/>
  <c r="G103" i="2"/>
  <c r="F103" i="2"/>
  <c r="E103" i="2"/>
  <c r="D103" i="2"/>
  <c r="C103" i="2"/>
  <c r="H102" i="2"/>
  <c r="G102" i="2"/>
  <c r="F102" i="2"/>
  <c r="E102" i="2"/>
  <c r="D102" i="2"/>
  <c r="C102" i="2"/>
  <c r="H101" i="2"/>
  <c r="G101" i="2"/>
  <c r="F101" i="2"/>
  <c r="E101" i="2"/>
  <c r="D101" i="2"/>
  <c r="C101" i="2"/>
  <c r="H100" i="2"/>
  <c r="G100" i="2"/>
  <c r="F100" i="2"/>
  <c r="E100" i="2"/>
  <c r="D100" i="2"/>
  <c r="C100" i="2"/>
  <c r="H99" i="2"/>
  <c r="G99" i="2"/>
  <c r="F99" i="2"/>
  <c r="E99" i="2"/>
  <c r="D99" i="2"/>
  <c r="C99" i="2"/>
  <c r="H98" i="2"/>
  <c r="G98" i="2"/>
  <c r="F98" i="2"/>
  <c r="E98" i="2"/>
  <c r="D98" i="2"/>
  <c r="C98" i="2"/>
  <c r="H97" i="2"/>
  <c r="G97" i="2"/>
  <c r="F97" i="2"/>
  <c r="E97" i="2"/>
  <c r="D97" i="2"/>
  <c r="C97" i="2"/>
  <c r="H96" i="2"/>
  <c r="G96" i="2"/>
  <c r="F96" i="2"/>
  <c r="E96" i="2"/>
  <c r="D96" i="2"/>
  <c r="C96" i="2"/>
  <c r="H95" i="2"/>
  <c r="G95" i="2"/>
  <c r="F95" i="2"/>
  <c r="E95" i="2"/>
  <c r="D95" i="2"/>
  <c r="C95" i="2"/>
  <c r="H94" i="2"/>
  <c r="G94" i="2"/>
  <c r="F94" i="2"/>
  <c r="E94" i="2"/>
  <c r="D94" i="2"/>
  <c r="C94" i="2"/>
  <c r="H93" i="2"/>
  <c r="G93" i="2"/>
  <c r="F93" i="2"/>
  <c r="E93" i="2"/>
  <c r="D93" i="2"/>
  <c r="C93" i="2"/>
  <c r="H92" i="2"/>
  <c r="G92" i="2"/>
  <c r="F92" i="2"/>
  <c r="E92" i="2"/>
  <c r="D92" i="2"/>
  <c r="C92" i="2"/>
  <c r="H91" i="2"/>
  <c r="G91" i="2"/>
  <c r="F91" i="2"/>
  <c r="E91" i="2"/>
  <c r="D91" i="2"/>
  <c r="C91" i="2"/>
  <c r="H90" i="2"/>
  <c r="G90" i="2"/>
  <c r="F90" i="2"/>
  <c r="E90" i="2"/>
  <c r="D90" i="2"/>
  <c r="C90" i="2"/>
  <c r="H89" i="2"/>
  <c r="G89" i="2"/>
  <c r="F89" i="2"/>
  <c r="E89" i="2"/>
  <c r="D89" i="2"/>
  <c r="C89" i="2"/>
  <c r="H88" i="2"/>
  <c r="G88" i="2"/>
  <c r="F88" i="2"/>
  <c r="E88" i="2"/>
  <c r="D88" i="2"/>
  <c r="C88" i="2"/>
  <c r="H87" i="2"/>
  <c r="G87" i="2"/>
  <c r="F87" i="2"/>
  <c r="E87" i="2"/>
  <c r="D87" i="2"/>
  <c r="C87" i="2"/>
  <c r="H86" i="2"/>
  <c r="G86" i="2"/>
  <c r="F86" i="2"/>
  <c r="E86" i="2"/>
  <c r="D86" i="2"/>
  <c r="C86" i="2"/>
  <c r="H85" i="2"/>
  <c r="G85" i="2"/>
  <c r="F85" i="2"/>
  <c r="E85" i="2"/>
  <c r="D85" i="2"/>
  <c r="C85" i="2"/>
  <c r="H84" i="2"/>
  <c r="G84" i="2"/>
  <c r="F84" i="2"/>
  <c r="E84" i="2"/>
  <c r="D84" i="2"/>
  <c r="C84" i="2"/>
  <c r="H83" i="2"/>
  <c r="G83" i="2"/>
  <c r="F83" i="2"/>
  <c r="E83" i="2"/>
  <c r="D83" i="2"/>
  <c r="C83" i="2"/>
  <c r="H82" i="2"/>
  <c r="G82" i="2"/>
  <c r="F82" i="2"/>
  <c r="E82" i="2"/>
  <c r="D82" i="2"/>
  <c r="C82" i="2"/>
  <c r="H81" i="2"/>
  <c r="G81" i="2"/>
  <c r="F81" i="2"/>
  <c r="E81" i="2"/>
  <c r="D81" i="2"/>
  <c r="C81" i="2"/>
  <c r="H80" i="2"/>
  <c r="G80" i="2"/>
  <c r="F80" i="2"/>
  <c r="E80" i="2"/>
  <c r="D80" i="2"/>
  <c r="C80" i="2"/>
  <c r="H79" i="2"/>
  <c r="G79" i="2"/>
  <c r="F79" i="2"/>
  <c r="E79" i="2"/>
  <c r="D79" i="2"/>
  <c r="C79" i="2"/>
  <c r="H78" i="2"/>
  <c r="G78" i="2"/>
  <c r="F78" i="2"/>
  <c r="E78" i="2"/>
  <c r="D78" i="2"/>
  <c r="C78" i="2"/>
  <c r="H77" i="2"/>
  <c r="G77" i="2"/>
  <c r="F77" i="2"/>
  <c r="E77" i="2"/>
  <c r="D77" i="2"/>
  <c r="C77" i="2"/>
  <c r="H76" i="2"/>
  <c r="G76" i="2"/>
  <c r="F76" i="2"/>
  <c r="E76" i="2"/>
  <c r="D76" i="2"/>
  <c r="C76" i="2"/>
  <c r="H75" i="2"/>
  <c r="G75" i="2"/>
  <c r="F75" i="2"/>
  <c r="E75" i="2"/>
  <c r="D75" i="2"/>
  <c r="C75" i="2"/>
  <c r="H74" i="2"/>
  <c r="G74" i="2"/>
  <c r="F74" i="2"/>
  <c r="E74" i="2"/>
  <c r="D74" i="2"/>
  <c r="C74" i="2"/>
  <c r="H73" i="2"/>
  <c r="G73" i="2"/>
  <c r="F73" i="2"/>
  <c r="E73" i="2"/>
  <c r="D73" i="2"/>
  <c r="C73" i="2"/>
  <c r="H72" i="2"/>
  <c r="G72" i="2"/>
  <c r="F72" i="2"/>
  <c r="E72" i="2"/>
  <c r="D72" i="2"/>
  <c r="C72" i="2"/>
  <c r="H71" i="2"/>
  <c r="G71" i="2"/>
  <c r="F71" i="2"/>
  <c r="E71" i="2"/>
  <c r="D71" i="2"/>
  <c r="C71" i="2"/>
  <c r="H70" i="2"/>
  <c r="G70" i="2"/>
  <c r="F70" i="2"/>
  <c r="E70" i="2"/>
  <c r="D70" i="2"/>
  <c r="C70" i="2"/>
  <c r="H69" i="2"/>
  <c r="G69" i="2"/>
  <c r="F69" i="2"/>
  <c r="E69" i="2"/>
  <c r="D69" i="2"/>
  <c r="C69" i="2"/>
  <c r="H68" i="2"/>
  <c r="G68" i="2"/>
  <c r="F68" i="2"/>
  <c r="E68" i="2"/>
  <c r="D68" i="2"/>
  <c r="C68" i="2"/>
  <c r="H67" i="2"/>
  <c r="G67" i="2"/>
  <c r="F67" i="2"/>
  <c r="E67" i="2"/>
  <c r="D67" i="2"/>
  <c r="C67" i="2"/>
  <c r="H66" i="2"/>
  <c r="G66" i="2"/>
  <c r="F66" i="2"/>
  <c r="E66" i="2"/>
  <c r="D66" i="2"/>
  <c r="C66" i="2"/>
  <c r="H65" i="2"/>
  <c r="G65" i="2"/>
  <c r="F65" i="2"/>
  <c r="E65" i="2"/>
  <c r="D65" i="2"/>
  <c r="C65" i="2"/>
  <c r="H64" i="2"/>
  <c r="G64" i="2"/>
  <c r="F64" i="2"/>
  <c r="E64" i="2"/>
  <c r="D64" i="2"/>
  <c r="C64" i="2"/>
  <c r="H63" i="2"/>
  <c r="G63" i="2"/>
  <c r="F63" i="2"/>
  <c r="E63" i="2"/>
  <c r="D63" i="2"/>
  <c r="C63" i="2"/>
  <c r="H62" i="2"/>
  <c r="G62" i="2"/>
  <c r="F62" i="2"/>
  <c r="E62" i="2"/>
  <c r="D62" i="2"/>
  <c r="C62" i="2"/>
  <c r="H61" i="2"/>
  <c r="G61" i="2"/>
  <c r="F61" i="2"/>
  <c r="E61" i="2"/>
  <c r="D61" i="2"/>
  <c r="C61" i="2"/>
  <c r="H60" i="2"/>
  <c r="G60" i="2"/>
  <c r="F60" i="2"/>
  <c r="E60" i="2"/>
  <c r="D60" i="2"/>
  <c r="C60" i="2"/>
  <c r="H59" i="2"/>
  <c r="G59" i="2"/>
  <c r="F59" i="2"/>
  <c r="E59" i="2"/>
  <c r="D59" i="2"/>
  <c r="C59" i="2"/>
  <c r="H58" i="2"/>
  <c r="G58" i="2"/>
  <c r="F58" i="2"/>
  <c r="E58" i="2"/>
  <c r="D58" i="2"/>
  <c r="C58" i="2"/>
  <c r="H57" i="2"/>
  <c r="G57" i="2"/>
  <c r="F57" i="2"/>
  <c r="E57" i="2"/>
  <c r="D57" i="2"/>
  <c r="C57" i="2"/>
  <c r="H56" i="2"/>
  <c r="G56" i="2"/>
  <c r="F56" i="2"/>
  <c r="E56" i="2"/>
  <c r="D56" i="2"/>
  <c r="C56" i="2"/>
  <c r="H55" i="2"/>
  <c r="G55" i="2"/>
  <c r="F55" i="2"/>
  <c r="E55" i="2"/>
  <c r="D55" i="2"/>
  <c r="C55" i="2"/>
  <c r="H54" i="2"/>
  <c r="G54" i="2"/>
  <c r="F54" i="2"/>
  <c r="E54" i="2"/>
  <c r="D54" i="2"/>
  <c r="C54" i="2"/>
  <c r="H53" i="2"/>
  <c r="G53" i="2"/>
  <c r="F53" i="2"/>
  <c r="E53" i="2"/>
  <c r="D53" i="2"/>
  <c r="C53" i="2"/>
  <c r="H52" i="2"/>
  <c r="G52" i="2"/>
  <c r="F52" i="2"/>
  <c r="E52" i="2"/>
  <c r="D52" i="2"/>
  <c r="C52" i="2"/>
  <c r="H51" i="2"/>
  <c r="G51" i="2"/>
  <c r="F51" i="2"/>
  <c r="E51" i="2"/>
  <c r="D51" i="2"/>
  <c r="C51" i="2"/>
  <c r="H50" i="2"/>
  <c r="G50" i="2"/>
  <c r="F50" i="2"/>
  <c r="E50" i="2"/>
  <c r="D50" i="2"/>
  <c r="C50" i="2"/>
  <c r="H49" i="2"/>
  <c r="G49" i="2"/>
  <c r="F49" i="2"/>
  <c r="E49" i="2"/>
  <c r="D49" i="2"/>
  <c r="C49" i="2"/>
  <c r="H48" i="2"/>
  <c r="G48" i="2"/>
  <c r="F48" i="2"/>
  <c r="E48" i="2"/>
  <c r="D48" i="2"/>
  <c r="C48" i="2"/>
  <c r="H47" i="2"/>
  <c r="G47" i="2"/>
  <c r="F47" i="2"/>
  <c r="E47" i="2"/>
  <c r="D47" i="2"/>
  <c r="C47" i="2"/>
  <c r="H46" i="2"/>
  <c r="G46" i="2"/>
  <c r="F46" i="2"/>
  <c r="E46" i="2"/>
  <c r="D46" i="2"/>
  <c r="C46" i="2"/>
  <c r="H45" i="2"/>
  <c r="G45" i="2"/>
  <c r="F45" i="2"/>
  <c r="E45" i="2"/>
  <c r="D45" i="2"/>
  <c r="C45" i="2"/>
  <c r="H44" i="2"/>
  <c r="G44" i="2"/>
  <c r="F44" i="2"/>
  <c r="E44" i="2"/>
  <c r="D44" i="2"/>
  <c r="C44" i="2"/>
  <c r="H43" i="2"/>
  <c r="G43" i="2"/>
  <c r="F43" i="2"/>
  <c r="E43" i="2"/>
  <c r="D43" i="2"/>
  <c r="C43" i="2"/>
  <c r="H42" i="2"/>
  <c r="G42" i="2"/>
  <c r="F42" i="2"/>
  <c r="E42" i="2"/>
  <c r="D42" i="2"/>
  <c r="C42" i="2"/>
  <c r="H41" i="2"/>
  <c r="G41" i="2"/>
  <c r="F41" i="2"/>
  <c r="E41" i="2"/>
  <c r="D41" i="2"/>
  <c r="C41" i="2"/>
  <c r="H40" i="2"/>
  <c r="G40" i="2"/>
  <c r="F40" i="2"/>
  <c r="E40" i="2"/>
  <c r="D40" i="2"/>
  <c r="C40" i="2"/>
  <c r="H39" i="2"/>
  <c r="G39" i="2"/>
  <c r="F39" i="2"/>
  <c r="E39" i="2"/>
  <c r="D39" i="2"/>
  <c r="C39" i="2"/>
  <c r="H38" i="2"/>
  <c r="G38" i="2"/>
  <c r="F38" i="2"/>
  <c r="E38" i="2"/>
  <c r="D38" i="2"/>
  <c r="C38" i="2"/>
  <c r="H37" i="2"/>
  <c r="G37" i="2"/>
  <c r="F37" i="2"/>
  <c r="E37" i="2"/>
  <c r="D37" i="2"/>
  <c r="C37" i="2"/>
  <c r="H36" i="2"/>
  <c r="G36" i="2"/>
  <c r="F36" i="2"/>
  <c r="E36" i="2"/>
  <c r="D36" i="2"/>
  <c r="C36" i="2"/>
  <c r="H35" i="2"/>
  <c r="G35" i="2"/>
  <c r="F35" i="2"/>
  <c r="E35" i="2"/>
  <c r="D35" i="2"/>
  <c r="C35" i="2"/>
  <c r="H34" i="2"/>
  <c r="G34" i="2"/>
  <c r="F34" i="2"/>
  <c r="E34" i="2"/>
  <c r="D34" i="2"/>
  <c r="C34" i="2"/>
  <c r="H33" i="2"/>
  <c r="G33" i="2"/>
  <c r="F33" i="2"/>
  <c r="E33" i="2"/>
  <c r="D33" i="2"/>
  <c r="C33" i="2"/>
  <c r="H32" i="2"/>
  <c r="G32" i="2"/>
  <c r="F32" i="2"/>
  <c r="E32" i="2"/>
  <c r="D32" i="2"/>
  <c r="C32" i="2"/>
  <c r="H31" i="2"/>
  <c r="G31" i="2"/>
  <c r="F31" i="2"/>
  <c r="E31" i="2"/>
  <c r="D31" i="2"/>
  <c r="C31" i="2"/>
  <c r="H30" i="2"/>
  <c r="G30" i="2"/>
  <c r="F30" i="2"/>
  <c r="E30" i="2"/>
  <c r="D30" i="2"/>
  <c r="C30" i="2"/>
  <c r="H29" i="2"/>
  <c r="G29" i="2"/>
  <c r="F29" i="2"/>
  <c r="E29" i="2"/>
  <c r="D29" i="2"/>
  <c r="C29" i="2"/>
  <c r="H28" i="2"/>
  <c r="G28" i="2"/>
  <c r="F28" i="2"/>
  <c r="E28" i="2"/>
  <c r="D28" i="2"/>
  <c r="C28" i="2"/>
  <c r="H27" i="2"/>
  <c r="G27" i="2"/>
  <c r="F27" i="2"/>
  <c r="E27" i="2"/>
  <c r="D27" i="2"/>
  <c r="C27" i="2"/>
  <c r="H26" i="2"/>
  <c r="G26" i="2"/>
  <c r="F26" i="2"/>
  <c r="E26" i="2"/>
  <c r="D26" i="2"/>
  <c r="C26" i="2"/>
  <c r="H25" i="2"/>
  <c r="G25" i="2"/>
  <c r="F25" i="2"/>
  <c r="E25" i="2"/>
  <c r="D25" i="2"/>
  <c r="C25" i="2"/>
  <c r="H24" i="2"/>
  <c r="G24" i="2"/>
  <c r="F24" i="2"/>
  <c r="E24" i="2"/>
  <c r="D24" i="2"/>
  <c r="C24" i="2"/>
  <c r="H23" i="2"/>
  <c r="G23" i="2"/>
  <c r="F23" i="2"/>
  <c r="E23" i="2"/>
  <c r="D23" i="2"/>
  <c r="C23" i="2"/>
  <c r="H22" i="2"/>
  <c r="G22" i="2"/>
  <c r="F22" i="2"/>
  <c r="E22" i="2"/>
  <c r="D22" i="2"/>
  <c r="C22" i="2"/>
  <c r="H21" i="2"/>
  <c r="G21" i="2"/>
  <c r="F21" i="2"/>
  <c r="E21" i="2"/>
  <c r="D21" i="2"/>
  <c r="C21" i="2"/>
  <c r="H20" i="2"/>
  <c r="G20" i="2"/>
  <c r="F20" i="2"/>
  <c r="E20" i="2"/>
  <c r="D20" i="2"/>
  <c r="C20" i="2"/>
  <c r="H19" i="2"/>
  <c r="G19" i="2"/>
  <c r="F19" i="2"/>
  <c r="E19" i="2"/>
  <c r="D19" i="2"/>
  <c r="C19" i="2"/>
  <c r="H18" i="2"/>
  <c r="G18" i="2"/>
  <c r="F18" i="2"/>
  <c r="E18" i="2"/>
  <c r="D18" i="2"/>
  <c r="C18" i="2"/>
  <c r="H17" i="2"/>
  <c r="G17" i="2"/>
  <c r="F17" i="2"/>
  <c r="E17" i="2"/>
  <c r="D17" i="2"/>
  <c r="C17" i="2"/>
  <c r="H16" i="2"/>
  <c r="G16" i="2"/>
  <c r="F16" i="2"/>
  <c r="E16" i="2"/>
  <c r="D16" i="2"/>
  <c r="C16" i="2"/>
  <c r="H15" i="2"/>
  <c r="G15" i="2"/>
  <c r="F15" i="2"/>
  <c r="E15" i="2"/>
  <c r="D15" i="2"/>
  <c r="C15" i="2"/>
  <c r="H14" i="2"/>
  <c r="G14" i="2"/>
  <c r="F14" i="2"/>
  <c r="E14" i="2"/>
  <c r="D14" i="2"/>
  <c r="C14" i="2"/>
  <c r="H13" i="2"/>
  <c r="G13" i="2"/>
  <c r="F13" i="2"/>
  <c r="E13" i="2"/>
  <c r="D13" i="2"/>
  <c r="C13" i="2"/>
  <c r="H12" i="2"/>
  <c r="G12" i="2"/>
  <c r="F12" i="2"/>
  <c r="E12" i="2"/>
  <c r="D12" i="2"/>
  <c r="C12" i="2"/>
  <c r="H11" i="2"/>
  <c r="G11" i="2"/>
  <c r="F11" i="2"/>
  <c r="E11" i="2"/>
  <c r="D11" i="2"/>
  <c r="C11" i="2"/>
  <c r="H10" i="2"/>
  <c r="G10" i="2"/>
  <c r="F10" i="2"/>
  <c r="E10" i="2"/>
  <c r="D10" i="2"/>
  <c r="C10" i="2"/>
  <c r="H9" i="2"/>
  <c r="G9" i="2"/>
  <c r="F9" i="2"/>
  <c r="E9" i="2"/>
  <c r="D9" i="2"/>
  <c r="C9" i="2"/>
  <c r="H8" i="2"/>
  <c r="G8" i="2"/>
  <c r="F8" i="2"/>
  <c r="E8" i="2"/>
  <c r="D8" i="2"/>
  <c r="C8" i="2"/>
  <c r="H7" i="2"/>
  <c r="G7" i="2"/>
  <c r="F7" i="2"/>
  <c r="E7" i="2"/>
  <c r="D7" i="2"/>
  <c r="C7" i="2"/>
  <c r="H6" i="2"/>
  <c r="G6" i="2"/>
  <c r="F6" i="2"/>
  <c r="E6" i="2"/>
  <c r="D6" i="2"/>
  <c r="C6" i="2"/>
  <c r="H5" i="2"/>
  <c r="G5" i="2"/>
  <c r="F5" i="2"/>
  <c r="E5" i="2"/>
  <c r="D5" i="2"/>
  <c r="C5" i="2"/>
  <c r="H4" i="2"/>
  <c r="G4" i="2"/>
  <c r="F4" i="2"/>
  <c r="E4" i="2"/>
  <c r="D4" i="2"/>
  <c r="C4" i="2"/>
  <c r="H3" i="2"/>
  <c r="G3" i="2"/>
  <c r="F3" i="2"/>
  <c r="E3" i="2"/>
  <c r="D3" i="2"/>
  <c r="C3" i="2"/>
  <c r="D2" i="2"/>
  <c r="E2" i="2"/>
  <c r="F2" i="2"/>
  <c r="G2"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76D93D-212E-408B-A590-287B6C262228}" keepAlive="1" name="ThisWorkbookDataModel" description="Model danych"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2BBB867-5803-41C7-9559-083FA4F291E8}" name="WorksheetConnection_Hearing_Welness_Data.xlsx!test" type="102" refreshedVersion="8" minRefreshableVersion="5">
    <extLst>
      <ext xmlns:x15="http://schemas.microsoft.com/office/spreadsheetml/2010/11/main" uri="{DE250136-89BD-433C-8126-D09CA5730AF9}">
        <x15:connection id="test">
          <x15:rangePr sourceName="_xlcn.WorksheetConnection_Hearing_Welness_Data.xlsxtest"/>
        </x15:connection>
      </ext>
    </extLst>
  </connection>
  <connection id="3" xr16:uid="{00AEFE49-FF63-45CA-9B20-048A9A630F26}" name="WorksheetConnection_Hearing_Welness_Data.xlsx!test__2" type="102" refreshedVersion="8" minRefreshableVersion="5">
    <extLst>
      <ext xmlns:x15="http://schemas.microsoft.com/office/spreadsheetml/2010/11/main" uri="{DE250136-89BD-433C-8126-D09CA5730AF9}">
        <x15:connection id="test__2">
          <x15:rangePr sourceName="_xlcn.WorksheetConnection_Hearing_Welness_Data.xlsxtest__2"/>
        </x15:connection>
      </ext>
    </extLst>
  </connection>
  <connection id="4" xr16:uid="{8636CE2B-61EF-4E79-8955-C03CCCEAAF21}" keepAlive="1" name="Zapytanie — Hearing well-being Survey Report" description="Połączenie z zapytaniem „Hearing well-being Survey Report” w skoroszycie." type="5" refreshedVersion="0" background="1" saveData="1">
    <dbPr connection="Provider=Microsoft.Mashup.OleDb.1;Data Source=$Workbook$;Location=&quot;Hearing well-being Survey Report&quot;;Extended Properties=&quot;&quot;" command="SELECT * FROM [Hearing well-being Survey Report]"/>
  </connection>
  <connection id="5" xr16:uid="{61B8F741-0127-4FC0-A98C-19E1AB3767E8}" keepAlive="1" name="Zapytanie — robocza" description="Połączenie z zapytaniem „robocza” w skoroszycie." type="5" refreshedVersion="8" background="1" saveData="1">
    <dbPr connection="Provider=Microsoft.Mashup.OleDb.1;Data Source=$Workbook$;Location=robocza;Extended Properties=&quot;&quot;" command="SELECT * FROM [robocza]"/>
  </connection>
  <connection id="6" xr16:uid="{D673D48E-A5E2-4D4F-85F0-E782A8935A08}" keepAlive="1" name="Zapytanie — test" description="Połączenie z zapytaniem „test” w skoroszycie." type="5" refreshedVersion="0" background="1" saveData="1">
    <dbPr connection="Provider=Microsoft.Mashup.OleDb.1;Data Source=$Workbook$;Location=test;Extended Properties=&quot;&quot;" command="SELECT * FROM [test]"/>
  </connection>
  <connection id="7" xr16:uid="{1B2881BB-C706-4D5C-921B-769E5F0B4ACE}" keepAlive="1" name="Zapytanie — test (2)" description="Połączenie z zapytaniem „test (2)” w skoroszycie." type="5" refreshedVersion="0" background="1" saveData="1">
    <dbPr connection="Provider=Microsoft.Mashup.OleDb.1;Data Source=$Workbook$;Location=&quot;test (2)&quot;;Extended Properties=&quot;&quot;" command="SELECT * FROM [test (2)]"/>
  </connection>
</connections>
</file>

<file path=xl/sharedStrings.xml><?xml version="1.0" encoding="utf-8"?>
<sst xmlns="http://schemas.openxmlformats.org/spreadsheetml/2006/main" count="14540" uniqueCount="358">
  <si>
    <t>Perceived_Hearing_Meaning</t>
  </si>
  <si>
    <t>Hearing_FOMO</t>
  </si>
  <si>
    <t>Hearing_Test_Barrier</t>
  </si>
  <si>
    <t>Missed_Important_Sounds</t>
  </si>
  <si>
    <t>Left_Out_Due_To_Hearing</t>
  </si>
  <si>
    <t>Daily_Headphone_Use</t>
  </si>
  <si>
    <t>Belief_Early_Hearing_Care</t>
  </si>
  <si>
    <t>Last_Hearing_Test_Method</t>
  </si>
  <si>
    <t>Interest_in_Hearing_App</t>
  </si>
  <si>
    <t>Desired_App_Features</t>
  </si>
  <si>
    <t>Awareness_on_hearing_and_Willingness_to_invest</t>
  </si>
  <si>
    <t>Paid_App_Test_Interest</t>
  </si>
  <si>
    <t>Age_group</t>
  </si>
  <si>
    <t>Ear_Discomfort_After_Use</t>
  </si>
  <si>
    <t>Staying independent and alert, Enjoying music, laughter, and life, Staying connected with the world</t>
  </si>
  <si>
    <t>Sometimes</t>
  </si>
  <si>
    <t>Cost</t>
  </si>
  <si>
    <t>Yes, in family conversations</t>
  </si>
  <si>
    <t>Yes, often</t>
  </si>
  <si>
    <t>My parent(s)</t>
  </si>
  <si>
    <t>Self - application, Loved one, AI Support</t>
  </si>
  <si>
    <t>Yes</t>
  </si>
  <si>
    <t>Privacy, Soft guidance, Visuals, Report sharing options</t>
  </si>
  <si>
    <t>Maybe, if it offers good value</t>
  </si>
  <si>
    <t>18 - 24</t>
  </si>
  <si>
    <t>No</t>
  </si>
  <si>
    <t>Staying independent and alert, Staying connected with the world</t>
  </si>
  <si>
    <t>Rarely</t>
  </si>
  <si>
    <t>Never felt the need</t>
  </si>
  <si>
    <t>Yes, in public spaces (trains, shops, announcements)</t>
  </si>
  <si>
    <t>Only in noisy places</t>
  </si>
  <si>
    <t>My child/children</t>
  </si>
  <si>
    <t>Self - application</t>
  </si>
  <si>
    <t>Privacy</t>
  </si>
  <si>
    <t>No, I prefer getting tested at a hospital</t>
  </si>
  <si>
    <t>Staying independent and alert, I havenâ€™t thought about it much</t>
  </si>
  <si>
    <t>Shame</t>
  </si>
  <si>
    <t>Yes, during important work or school meetings</t>
  </si>
  <si>
    <t>Maybe</t>
  </si>
  <si>
    <t>Soft guidance</t>
  </si>
  <si>
    <t>Yes, definitely</t>
  </si>
  <si>
    <t>Staying independent and alert</t>
  </si>
  <si>
    <t>Yes often</t>
  </si>
  <si>
    <t>Lack of awareness</t>
  </si>
  <si>
    <t>1-2 hours</t>
  </si>
  <si>
    <t>I've never taken a hearing test</t>
  </si>
  <si>
    <t>Yes, that would be helpful</t>
  </si>
  <si>
    <t>Game-based interaction</t>
  </si>
  <si>
    <t>Occasionally</t>
  </si>
  <si>
    <t>Never</t>
  </si>
  <si>
    <t>No, I usually hear things well</t>
  </si>
  <si>
    <t>Less than 1 hour</t>
  </si>
  <si>
    <t>No, I don't think it's necessary</t>
  </si>
  <si>
    <t>Quick tests, Game-based interaction, Detailed report generation</t>
  </si>
  <si>
    <t>25 - 34</t>
  </si>
  <si>
    <t>Enjoying music, laughter, and life</t>
  </si>
  <si>
    <t>Quick tests</t>
  </si>
  <si>
    <t>Feeling close to loved ones, Staying independent and alert</t>
  </si>
  <si>
    <t>2-4 hours</t>
  </si>
  <si>
    <t>At a hospital or clinic</t>
  </si>
  <si>
    <t>Quick tests, Game-based interaction</t>
  </si>
  <si>
    <t>Feeling close to loved ones, Staying independent and alert, Enjoying music, laughter, and life, Staying connected with the world</t>
  </si>
  <si>
    <t>Cost, Lack of awareness</t>
  </si>
  <si>
    <t>Maybe, if it's easy to use</t>
  </si>
  <si>
    <t>Quick tests, Game-based interaction, Regular testing reminders, Personalized volume adjustments</t>
  </si>
  <si>
    <t>Quick tests, Game-based interaction, Regular testing reminders, Doctor consultation, Audio amplifier or sound booster</t>
  </si>
  <si>
    <t>Enjoying music, laughter, and life, Staying connected with the world</t>
  </si>
  <si>
    <t>Quick tests, Game-based interaction, Earphone calibration, Regular testing reminders, Detailed report generation, Doctor consultation, Audio amplifier or sound booster, Personalized volume adjustments, Soft guidance, Report sharing options</t>
  </si>
  <si>
    <t>Staying connected with the world</t>
  </si>
  <si>
    <t>Iâ€™m not sure, but I have felt disconnected</t>
  </si>
  <si>
    <t>More than 4 hours</t>
  </si>
  <si>
    <t>Quick tests, Earphone calibration, Regular testing reminders</t>
  </si>
  <si>
    <t>Mobile app</t>
  </si>
  <si>
    <t>Earphone calibration, Regular testing reminders, Doctor consultation</t>
  </si>
  <si>
    <t>Quick tests, Game-based interaction, Doctor consultation</t>
  </si>
  <si>
    <t>Feeling close to loved ones, Enjoying music, laughter, and life, Staying connected with the world</t>
  </si>
  <si>
    <t xml:space="preserve">Not that much required </t>
  </si>
  <si>
    <t xml:space="preserve">Quick tests, Earphone calibration, Regular testing reminders, Doctor consultation, Report sharing options, Do's and don't in personalized manner </t>
  </si>
  <si>
    <t>Quick tests, Earphone calibration, Regular testing reminders, Detailed report generation, Doctor consultation, Personalized volume adjustments, Soft guidance, Report sharing options</t>
  </si>
  <si>
    <t>Never had a situation to get tested.</t>
  </si>
  <si>
    <t>Quick tests, Earphone calibration, Detailed report generation, Personalized volume adjustments, Soft guidance</t>
  </si>
  <si>
    <t>Quick tests, Earphone calibration, Regular testing reminders, Audio amplifier or sound booster</t>
  </si>
  <si>
    <t>Not sure</t>
  </si>
  <si>
    <t>Fear</t>
  </si>
  <si>
    <t>Online test</t>
  </si>
  <si>
    <t>Quick tests, Game-based interaction, Earphone calibration, Doctor consultation, Soft guidance</t>
  </si>
  <si>
    <t>Quick tests, Game-based interaction, Earphone calibration, Regular testing reminders, Detailed report generation, Doctor consultation, Audio amplifier or sound booster, Personalized volume adjustments, Soft guidance</t>
  </si>
  <si>
    <t>Regular testing reminders, Detailed report generation, Audio amplifier or sound booster, Personalized volume adjustments</t>
  </si>
  <si>
    <t>45 - 54</t>
  </si>
  <si>
    <t>Feeling close to loved ones, Staying independent and alert, Enjoying music, laughter, and life, Staying connected with the world, I havenâ€™t thought about it much</t>
  </si>
  <si>
    <t>Audio amplifier or sound booster</t>
  </si>
  <si>
    <t>Feeling close to loved ones, Staying independent and alert, Staying connected with the world</t>
  </si>
  <si>
    <t>Quick tests, Game-based interaction, Detailed report generation, Doctor consultation, Soft guidance, Report sharing options</t>
  </si>
  <si>
    <t>None of the above</t>
  </si>
  <si>
    <t>Earphone calibration, Regular testing reminders, Personalized volume adjustments, Report sharing options</t>
  </si>
  <si>
    <t>Quick tests, Earphone calibration, Regular testing reminders, Detailed report generation, Doctor consultation, Soft guidance</t>
  </si>
  <si>
    <t>Earphone calibration</t>
  </si>
  <si>
    <t>I havenâ€™t thought about it much</t>
  </si>
  <si>
    <t xml:space="preserve">I can't hear claerly when tell important information in serious situation </t>
  </si>
  <si>
    <t>Quick tests, Doctor consultation</t>
  </si>
  <si>
    <t>Feeling close to loved ones</t>
  </si>
  <si>
    <t>Regular testing reminders, Doctor consultation</t>
  </si>
  <si>
    <t>I try to avoid such situations</t>
  </si>
  <si>
    <t>Feeling close to loved ones, Staying connected with the world</t>
  </si>
  <si>
    <t xml:space="preserve">Audio amplifier or sound booster, Sound Frequency </t>
  </si>
  <si>
    <t>Quick tests, Game-based interaction, Regular testing reminders, Report sharing options</t>
  </si>
  <si>
    <t>Quick tests, Game-based interaction, Earphone calibration, Detailed report generation, Doctor consultation, Audio amplifier or sound booster, Personalized volume adjustments, Soft guidance</t>
  </si>
  <si>
    <t>Quick tests, Game-based interaction, Regular testing reminders, Detailed report generation, Doctor consultation, Personalized volume adjustments, Soft guidance, Report sharing options</t>
  </si>
  <si>
    <t>Quick tests, Regular testing reminders, Detailed report generation, Doctor consultation, Report sharing options</t>
  </si>
  <si>
    <t>Quick tests, Earphone calibration, Detailed report generation, Doctor consultation, Personalized volume adjustments, Soft guidance</t>
  </si>
  <si>
    <t>Quick tests, Regular testing reminders, Detailed report generation, Doctor consultation</t>
  </si>
  <si>
    <t>Detailed report generation</t>
  </si>
  <si>
    <t xml:space="preserve">I never had any issues </t>
  </si>
  <si>
    <t>35 - 44</t>
  </si>
  <si>
    <t>Earphone calibration, Audio amplifier or sound booster, Personalized volume adjustments</t>
  </si>
  <si>
    <t>Quick tests, Regular testing reminders, Detailed report generation</t>
  </si>
  <si>
    <t>Quick tests, Game-based interaction, Regular testing reminders, Detailed report generation, Audio amplifier or sound booster, Report sharing options</t>
  </si>
  <si>
    <t>NA</t>
  </si>
  <si>
    <t>Quick tests, Soft guidance, Report sharing options</t>
  </si>
  <si>
    <t>Game-based interaction, Soft guidance</t>
  </si>
  <si>
    <t>Quick tests, Earphone calibration, Detailed report generation, Doctor consultation, Personalized volume adjustments, Report sharing options</t>
  </si>
  <si>
    <t>Feeling close to loved ones, Staying independent and alert, Enjoying music, laughter, and life</t>
  </si>
  <si>
    <t>Quick tests, Earphone calibration, Regular testing reminders, Detailed report generation, Doctor consultation, Audio amplifier or sound booster, Personalized volume adjustments, Report sharing options</t>
  </si>
  <si>
    <t>Quick tests, Game-based interaction, Regular testing reminders, Detailed report generation, Doctor consultation, Personalized volume adjustments, Report sharing options</t>
  </si>
  <si>
    <t>Fear, Lack of awareness</t>
  </si>
  <si>
    <t>Quick tests, Earphone calibration, Doctor consultation</t>
  </si>
  <si>
    <t>Quick tests, Game-based interaction, Regular testing reminders, Detailed report generation, Personalized volume adjustments, Soft guidance</t>
  </si>
  <si>
    <t>Quick tests, Game-based interaction, Detailed report generation, Doctor consultation</t>
  </si>
  <si>
    <t>I never thought I need one, probably?</t>
  </si>
  <si>
    <t>Quick tests, Earphone calibration, Regular testing reminders, Doctor consultation, Audio amplifier or sound booster, Soft guidance, Report sharing options</t>
  </si>
  <si>
    <t>Quick tests, Game-based interaction, Earphone calibration, Regular testing reminders, Detailed report generation, Doctor consultation</t>
  </si>
  <si>
    <t>Regular testing reminders</t>
  </si>
  <si>
    <t>Quick tests, Game-based interaction, Personalized volume adjustments</t>
  </si>
  <si>
    <t>Earphone calibration, Regular testing reminders, Detailed report generation, Audio amplifier or sound booster, Personalized volume adjustments, Soft guidance</t>
  </si>
  <si>
    <t>Quick tests, Regular testing reminders, Detailed report generation, Doctor consultation, Audio amplifier or sound booster, Report sharing options</t>
  </si>
  <si>
    <t>Staying independent and alert, Enjoying music, laughter, and life</t>
  </si>
  <si>
    <t>Under 18</t>
  </si>
  <si>
    <t>Feeling close to loved ones, Enjoying music, laughter, and life, I havenâ€™t thought about it much</t>
  </si>
  <si>
    <t>Quick tests, Regular testing reminders, Detailed report generation, Doctor consultation, Audio amplifier or sound booster, Personalized volume adjustments</t>
  </si>
  <si>
    <t>Doctor consultation</t>
  </si>
  <si>
    <t>Detailed report generation, Doctor consultation</t>
  </si>
  <si>
    <t>Quick tests, Game-based interaction, Regular testing reminders, Detailed report generation, Doctor consultation, Soft guidance</t>
  </si>
  <si>
    <t>Quick tests, Detailed report generation, Doctor consultation, Soft guidance</t>
  </si>
  <si>
    <t>Game-based interaction, Doctor consultation</t>
  </si>
  <si>
    <t xml:space="preserve">Lack of awareness, </t>
  </si>
  <si>
    <t>Quick tests, Game-based interaction, Soft guidance</t>
  </si>
  <si>
    <t>Game-based interaction, Regular testing reminders, Audio amplifier or sound booster</t>
  </si>
  <si>
    <t>Doctor consultation, Audio amplifier or sound booster, Soft guidance</t>
  </si>
  <si>
    <t>Quick tests, Game-based interaction, Earphone calibration, Regular testing reminders, Detailed report generation</t>
  </si>
  <si>
    <t>Quick tests, Game-based interaction, Regular testing reminders, Detailed report generation, Doctor consultation, Personalized volume adjustments</t>
  </si>
  <si>
    <t xml:space="preserve">I don't have a hearing problem </t>
  </si>
  <si>
    <t>Quick tests, Earphone calibration, Regular testing reminders, Doctor consultation, Soft guidance, Report sharing options</t>
  </si>
  <si>
    <t>Quick tests, Earphone calibration, Regular testing reminders, Doctor consultation, Audio amplifier or sound booster, Personalized volume adjustments</t>
  </si>
  <si>
    <t>My hearing is good ðŸ¤·â€â™‚ï¸</t>
  </si>
  <si>
    <t>Earphone calibration, Regular testing reminders, Detailed report generation, Doctor consultation, Personalized volume adjustments</t>
  </si>
  <si>
    <t>Quick tests, Earphone calibration, Regular testing reminders, Detailed report generation, Doctor consultation, Soft guidance, Report sharing options</t>
  </si>
  <si>
    <t>Quick tests, Doctor consultation, Personalized volume adjustments</t>
  </si>
  <si>
    <t>Personalized volume adjustments</t>
  </si>
  <si>
    <t>Game-based interaction, Doctor consultation, Soft guidance</t>
  </si>
  <si>
    <t>None</t>
  </si>
  <si>
    <t>Game-based interaction, Earphone calibration, Regular testing reminders</t>
  </si>
  <si>
    <t>Report sharing options</t>
  </si>
  <si>
    <t>Feeling close to loved ones, Enjoying music, laughter, and life</t>
  </si>
  <si>
    <t>Quick tests, Game-based interaction, Detailed report generation, Soft guidance</t>
  </si>
  <si>
    <t>Quick tests, Game-based interaction, Detailed report generation, Doctor consultation, Personalized volume adjustments, Soft guidance</t>
  </si>
  <si>
    <t>IDK</t>
  </si>
  <si>
    <t>Quick tests, Earphone calibration, Doctor consultation, Personalized volume adjustments</t>
  </si>
  <si>
    <t>Game-based interaction, Regular testing reminders, Doctor consultation, Report sharing options</t>
  </si>
  <si>
    <t>Quick tests, Game-based interaction, Earphone calibration, Regular testing reminders, Detailed report generation, Doctor consultation, Personalized volume adjustments, Report sharing options</t>
  </si>
  <si>
    <t>Quick tests, Game-based interaction, Regular testing reminders, Doctor consultation, Soft guidance</t>
  </si>
  <si>
    <t>Doctor consultation, Soft guidance</t>
  </si>
  <si>
    <t>Game-based interaction, Doctor consultation, Personalized volume adjustments, Soft guidance, Report sharing options</t>
  </si>
  <si>
    <t>Quick tests, Earphone calibration, Doctor consultation, Audio amplifier or sound booster</t>
  </si>
  <si>
    <t>Lack of awareness, Also, I haven't had the need to, yet</t>
  </si>
  <si>
    <t>When with friends anol</t>
  </si>
  <si>
    <t>Quick tests, Game-based interaction, Earphone calibration</t>
  </si>
  <si>
    <t>Quick tests, Regular testing reminders, Doctor consultation</t>
  </si>
  <si>
    <t>Quick tests, Earphone calibration, Regular testing reminders, Doctor consultation, Audio amplifier or sound booster, Personalized volume adjustments, Soft guidance, Report sharing options</t>
  </si>
  <si>
    <t>Game-based interaction, Earphone calibration, Detailed report generation, Audio amplifier or sound booster, Personalized volume adjustments, Soft guidance, Report sharing options</t>
  </si>
  <si>
    <t>Quick tests, Detailed report generation, Soft guidance</t>
  </si>
  <si>
    <t>Not finding any difficulties now</t>
  </si>
  <si>
    <t>Quick tests, Regular testing reminders, Personalized volume adjustments, Soft guidance, Report sharing options</t>
  </si>
  <si>
    <t>Game-based interaction, Regular testing reminders, Doctor consultation, Soft guidance</t>
  </si>
  <si>
    <t>Na</t>
  </si>
  <si>
    <t>Quick tests, Game-based interaction, Earphone calibration, Detailed report generation, Audio amplifier or sound booster</t>
  </si>
  <si>
    <t>Quick tests, Earphone calibration, Doctor consultation, Soft guidance</t>
  </si>
  <si>
    <t>Not required</t>
  </si>
  <si>
    <t>55 - 64</t>
  </si>
  <si>
    <t>Quick tests, Earphone calibration, Regular testing reminders, Doctor consultation, Audio amplifier or sound booster, Soft guidance</t>
  </si>
  <si>
    <t>Quick tests, Game-based interaction, Earphone calibration, Detailed report generation, Audio amplifier or sound booster, Personalized volume adjustments, Report sharing options</t>
  </si>
  <si>
    <t>Game-based interaction, Earphone calibration</t>
  </si>
  <si>
    <t>No hearing issues</t>
  </si>
  <si>
    <t>Game-based interaction, Earphone calibration, Detailed report generation, Audio amplifier or sound booster, Personalized volume adjustments</t>
  </si>
  <si>
    <t>Quick tests, Regular testing reminders, Doctor consultation, Report sharing options</t>
  </si>
  <si>
    <t>I don't have problem in hearing.</t>
  </si>
  <si>
    <t>Quick tests, Game-based interaction, Detailed report generation, Doctor consultation, Soft guidance</t>
  </si>
  <si>
    <t xml:space="preserve">I have good hearing </t>
  </si>
  <si>
    <t>Quick tests, Earphone calibration, Regular testing reminders, Soft guidance</t>
  </si>
  <si>
    <t>Regular testing reminders, Detailed report generation, Doctor consultation, Audio amplifier or sound booster, Personalized volume adjustments, Report sharing options</t>
  </si>
  <si>
    <t>Quick tests, Doctor consultation, Soft guidance, Report sharing options</t>
  </si>
  <si>
    <t>i didnt feel like there is any change</t>
  </si>
  <si>
    <t xml:space="preserve">I couldnt pick a feature because i am not a target audience for any of the above mentioned features, I could give you guys a tip though. I personally think this product will do well gloabally, especially in developed countries. Lets take us people, they spend 100s of dollars on their dental check. If you could convince that crowd to somehow use this and regularly monitor their ear health, they will be ready to pay so i suggest you target that crowd and build features surrounding it. </t>
  </si>
  <si>
    <t>Earphone calibration, Doctor consultation, Personalized volume adjustments, Soft guidance</t>
  </si>
  <si>
    <t>Regular testing reminders, Detailed report generation, Doctor consultation, Soft guidance</t>
  </si>
  <si>
    <t>Earphone calibration, Regular testing reminders, Personalized volume adjustments</t>
  </si>
  <si>
    <t>Quick tests, Game-based interaction, Earphone calibration, Doctor consultation, Audio amplifier or sound booster</t>
  </si>
  <si>
    <t>Quick tests, Game-based interaction, Regular testing reminders, Detailed report generation, Doctor consultation</t>
  </si>
  <si>
    <t>Never really thought about it</t>
  </si>
  <si>
    <t>Quick tests, Game-based interaction, Doctor consultation, Soft guidance</t>
  </si>
  <si>
    <t>Quick tests, Earphone calibration, Detailed report generation, Doctor consultation</t>
  </si>
  <si>
    <t>Quick tests, Earphone calibration, Regular testing reminders, Doctor consultation, Personalized volume adjustments, Soft guidance</t>
  </si>
  <si>
    <t>Game-based interaction, Earphone calibration, Doctor consultation, Soft guidance, Report sharing options</t>
  </si>
  <si>
    <t xml:space="preserve">I didn't get any issues </t>
  </si>
  <si>
    <t>Earphone calibration, Personalized volume adjustments, Soft guidance</t>
  </si>
  <si>
    <t>Quick tests, Game-based interaction, Earphone calibration, Doctor consultation, Audio amplifier or sound booster, Personalized volume adjustments, Soft guidance</t>
  </si>
  <si>
    <t>Not needed till now</t>
  </si>
  <si>
    <t>Earphone calibration, Regular testing reminders, Detailed report generation, Doctor consultation</t>
  </si>
  <si>
    <t>Quick tests, Game-based interaction, Regular testing reminders, Doctor consultation, Audio amplifier or sound booster, Soft guidance</t>
  </si>
  <si>
    <t>Game-based interaction, Earphone calibration, Regular testing reminders, Detailed report generation, Doctor consultation, Audio amplifier or sound booster, Personalized volume adjustments, Soft guidance</t>
  </si>
  <si>
    <t>Quick tests, Regular testing reminders, Detailed report generation, Personalized volume adjustments</t>
  </si>
  <si>
    <t>Think its perfect to me</t>
  </si>
  <si>
    <t>Game-based interaction, Detailed report generation, Doctor consultation, Personalized volume adjustments, Soft guidance</t>
  </si>
  <si>
    <t>Quick tests, Regular testing reminders, Detailed report generation, Audio amplifier or sound booster, Personalized volume adjustments, Soft guidance, Report sharing options</t>
  </si>
  <si>
    <t xml:space="preserve">Fear, </t>
  </si>
  <si>
    <t>Quick tests, Earphone calibration, Doctor consultation, Audio amplifier or sound booster, Soft guidance</t>
  </si>
  <si>
    <t>Quick tests, Earphone calibration, Regular testing reminders, Doctor consultation, Audio amplifier or sound booster</t>
  </si>
  <si>
    <t>Fear, Shame</t>
  </si>
  <si>
    <t>Quick tests, Game-based interaction, Earphone calibration, Regular testing reminders, Detailed report generation, Audio amplifier or sound booster, Personalized volume adjustments, Soft guidance</t>
  </si>
  <si>
    <t>Earphone calibration, Regular testing reminders, Doctor consultation, Personalized volume adjustments</t>
  </si>
  <si>
    <t>Quick tests, Game-based interaction, Doctor consultation, Personalized volume adjustments</t>
  </si>
  <si>
    <t xml:space="preserve">Peace and Calm to Brain soulfully </t>
  </si>
  <si>
    <t>Quick tests, Regular testing reminders, Detailed report generation, Personalized volume adjustments, Soft guidance</t>
  </si>
  <si>
    <t>Audio amplifier or sound booster, Personalized volume adjustments</t>
  </si>
  <si>
    <t>Quick tests, Regular testing reminders, Soft guidance</t>
  </si>
  <si>
    <t>Quick tests, Regular testing reminders, Detailed report generation, Doctor consultation, Soft guidance, Report sharing options</t>
  </si>
  <si>
    <t>Quick tests, Game-based interaction, Regular testing reminders</t>
  </si>
  <si>
    <t>Regular testing reminders, Detailed report generation, Doctor consultation, Personalized volume adjustments, Soft guidance</t>
  </si>
  <si>
    <t>Game-based interaction, Earphone calibration, Personalized volume adjustments</t>
  </si>
  <si>
    <t>Game-based interaction, Detailed report generation, Doctor consultation, Audio amplifier or sound booster</t>
  </si>
  <si>
    <t>Quick tests, Game-based interaction, Earphone calibration, Audio amplifier or sound booster, Personalized volume adjustments</t>
  </si>
  <si>
    <t>Quick tests, Game-based interaction, Earphone calibration, Doctor consultation, Audio amplifier or sound booster, Personalized volume adjustments, Soft guidance, Report sharing options</t>
  </si>
  <si>
    <t>Quick tests, Regular testing reminders, Doctor consultation, Soft guidance</t>
  </si>
  <si>
    <t>Time</t>
  </si>
  <si>
    <t>Fear, Cost</t>
  </si>
  <si>
    <t>Detailed report generation, Personalized volume adjustments, Soft guidance</t>
  </si>
  <si>
    <t>I think my hearing is good.</t>
  </si>
  <si>
    <t>Game-based interaction, Earphone calibration, Detailed report generation, Doctor consultation</t>
  </si>
  <si>
    <t>Regular testing reminders, Soft guidance</t>
  </si>
  <si>
    <t xml:space="preserve">No necessity </t>
  </si>
  <si>
    <t>Earphone calibration, Regular testing reminders, Detailed report generation, Doctor consultation, Audio amplifier or sound booster, Soft guidance</t>
  </si>
  <si>
    <t>Feeling close to loved ones, I havenâ€™t thought about it much</t>
  </si>
  <si>
    <t>Quick tests, Game-based interaction, Detailed report generation, Personalized volume adjustments, Soft guidance</t>
  </si>
  <si>
    <t xml:space="preserve">Game-based interaction, Earphone calibration, Regular testing reminders, Detailed report generation, Soft guidance, It would be good to suggest some excercise for proper hearing along with these selected parameters </t>
  </si>
  <si>
    <t xml:space="preserve">Didn't feel the need to </t>
  </si>
  <si>
    <t>Quick tests, Game-based interaction, Earphone calibration, Personalized volume adjustments</t>
  </si>
  <si>
    <t>Quick tests, Earphone calibration, Regular testing reminders, Doctor consultation, Personalized volume adjustments, Report sharing options</t>
  </si>
  <si>
    <t xml:space="preserve">Quick tests, Game-based interaction, Earphone calibration, Regular testing reminders, Detailed report generation, Doctor consultation, Audio amplifier or sound booster, Personalized volume adjustments, Soft guidance, Report sharing options, </t>
  </si>
  <si>
    <t>Quick tests, Earphone calibration, Soft guidance</t>
  </si>
  <si>
    <t>no hearing issues</t>
  </si>
  <si>
    <t>Quick tests, Game-based interaction, Earphone calibration, Audio amplifier or sound booster</t>
  </si>
  <si>
    <t>Quick tests, Game-based interaction, Audio amplifier or sound booster</t>
  </si>
  <si>
    <t>Quick tests, Regular testing reminders, Doctor consultation, Personalized volume adjustments, Soft guidance</t>
  </si>
  <si>
    <t>Quick tests, Doctor consultation, Audio amplifier or sound booster, Personalized volume adjustments</t>
  </si>
  <si>
    <t>Quick tests, Doctor consultation, Audio amplifier or sound booster</t>
  </si>
  <si>
    <t>Quick tests, Game-based interaction, Earphone calibration, Regular testing reminders, Detailed report generation, Doctor consultation, Personalized volume adjustments, Soft guidance, Report sharing options</t>
  </si>
  <si>
    <t>Quick tests, Game-based interaction, Earphone calibration, Regular testing reminders, Detailed report generation, Report sharing options</t>
  </si>
  <si>
    <t>Quick tests, Earphone calibration, Detailed report generation, Doctor consultation, Audio amplifier or sound booster, Personalized volume adjustments</t>
  </si>
  <si>
    <t>Regular testing reminders, Detailed report generation, Doctor consultation, Personalized volume adjustments</t>
  </si>
  <si>
    <t>Quick tests, Game-based interaction, Earphone calibration, Regular testing reminders, Personalized volume adjustments</t>
  </si>
  <si>
    <t>Quick tests, Earphone calibration</t>
  </si>
  <si>
    <t>Quick tests, Detailed report generation, Personalized volume adjustments, Soft guidance</t>
  </si>
  <si>
    <t>Quick tests, Game-based interaction, Earphone calibration, Detailed report generation, Doctor consultation, Soft guidance, Report sharing options</t>
  </si>
  <si>
    <t>Quick tests, Earphone calibration, Audio amplifier or sound booster, Personalized volume adjustments</t>
  </si>
  <si>
    <t>Quick tests, Earphone calibration, Detailed report generation, Audio amplifier or sound booster</t>
  </si>
  <si>
    <t>Quick tests, Earphone calibration, Personalized volume adjustments</t>
  </si>
  <si>
    <t>Nothing specific</t>
  </si>
  <si>
    <t xml:space="preserve">no specific </t>
  </si>
  <si>
    <t>Quick tests, Earphone calibration, Detailed report generation, Doctor consultation, Soft guidance</t>
  </si>
  <si>
    <t>Game-based interaction, Audio amplifier or sound booster, Soft guidance, Report sharing options</t>
  </si>
  <si>
    <t>Quick tests, Game-based interaction, Earphone calibration, Detailed report generation, Doctor consultation</t>
  </si>
  <si>
    <t>Quick tests, Game-based interaction, Earphone calibration, Regular testing reminders, Detailed report generation, Doctor consultation, Personalized volume adjustments, Soft guidance</t>
  </si>
  <si>
    <t>Quick tests, Game-based interaction, Earphone calibration, Regular testing reminders, Detailed report generation, Doctor consultation, Soft guidance, Report sharing options</t>
  </si>
  <si>
    <t>Earphone calibration, Detailed report generation, Doctor consultation, Audio amplifier or sound booster, Soft guidance</t>
  </si>
  <si>
    <t>Quick tests, Personalized volume adjustments, Soft guidance</t>
  </si>
  <si>
    <t xml:space="preserve">When I don't pay attention while others speak </t>
  </si>
  <si>
    <t>Quick tests, Game-based interaction, Earphone calibration, Detailed report generation, Doctor consultation, Soft guidance</t>
  </si>
  <si>
    <t>Quick tests, Game-based interaction, Regular testing reminders, Doctor consultation, Personalized volume adjustments, Soft guidance</t>
  </si>
  <si>
    <t>Quick tests, Game-based interaction, Earphone calibration, Detailed report generation, Personalized volume adjustments, Soft guidance</t>
  </si>
  <si>
    <t>Quick tests, Earphone calibration, Detailed report generation, Soft guidance</t>
  </si>
  <si>
    <t>Earphone calibration, Regular testing reminders, Report sharing options</t>
  </si>
  <si>
    <t xml:space="preserve">Feeling close to loved ones, </t>
  </si>
  <si>
    <t>Game-based interaction, Earphone calibration, Detailed report generation</t>
  </si>
  <si>
    <t>Earphone calibration, Personalized volume adjustments</t>
  </si>
  <si>
    <t>Earphone calibration, Detailed report generation, Personalized volume adjustments</t>
  </si>
  <si>
    <t xml:space="preserve">Nothing has really stopped since there isn't any hearing issues </t>
  </si>
  <si>
    <t>Quick tests, Earphone calibration, Regular testing reminders, Detailed report generation, Doctor consultation, Report sharing options</t>
  </si>
  <si>
    <t>Quick tests, Game-based interaction, Earphone calibration, Regular testing reminders, Detailed report generation, Personalized volume adjustments, Report sharing options</t>
  </si>
  <si>
    <t>Quick tests, Earphone calibration, Regular testing reminders, Detailed report generation, Doctor consultation, Personalized volume adjustments, Soft guidance</t>
  </si>
  <si>
    <t>Quick tests, Game-based interaction, Earphone calibration, Regular testing reminders, Doctor consultation, Soft guidance</t>
  </si>
  <si>
    <t>Game-based interaction, Earphone calibration, Regular testing reminders, Personalized volume adjustments</t>
  </si>
  <si>
    <t>Quick tests, Regular testing reminders, Detailed report generation, Report sharing options</t>
  </si>
  <si>
    <t>Enjoying music, laughter, and life, Staying connected with the world, I havenâ€™t thought about it much</t>
  </si>
  <si>
    <t>Quick tests, Regular testing reminders</t>
  </si>
  <si>
    <t xml:space="preserve">Nothing </t>
  </si>
  <si>
    <t>Quick tests, Regular testing reminders, Doctor consultation, Audio amplifier or sound booster, Soft guidance</t>
  </si>
  <si>
    <t>Quick tests, Detailed report generation, Personalized volume adjustments</t>
  </si>
  <si>
    <t>Quick tests, Earphone calibration, Regular testing reminders, Detailed report generation, Doctor consultation, Personalized volume adjustments</t>
  </si>
  <si>
    <t>Just testing</t>
  </si>
  <si>
    <t>Game-based interaction, Regular testing reminders, Soft guidance, Report sharing options</t>
  </si>
  <si>
    <t>No significant problems or concerning symptoms</t>
  </si>
  <si>
    <t>Quick tests, Soft guidance</t>
  </si>
  <si>
    <t>Quick tests, Game-based interaction, Doctor consultation, Audio amplifier or sound booster, Personalized volume adjustments, Soft guidance</t>
  </si>
  <si>
    <t>Quick tests, Earphone calibration, Audio amplifier or sound booster</t>
  </si>
  <si>
    <t>Quick tests, Earphone calibration, Detailed report generation, Report sharing options</t>
  </si>
  <si>
    <t xml:space="preserve">I havenâ€™t thought about it much, </t>
  </si>
  <si>
    <t>Earphone calibration, Regular testing reminders, Doctor consultation, Audio amplifier or sound booster</t>
  </si>
  <si>
    <t>Quick tests, Game-based interaction, Regular testing reminders, Detailed report generation, Doctor consultation, Personalized volume adjustments, Soft guidance</t>
  </si>
  <si>
    <t xml:space="preserve">I am doing hearing test periodically </t>
  </si>
  <si>
    <t xml:space="preserve">Not applicable </t>
  </si>
  <si>
    <t>Quick tests, Regular testing reminders, Detailed report generation, Doctor consultation, Audio amplifier or sound booster, Personalized volume adjustments, Report sharing options</t>
  </si>
  <si>
    <t>Quick tests, Regular testing reminders, Doctor consultation, Personalized volume adjustments</t>
  </si>
  <si>
    <t>Quick tests, Earphone calibration, Doctor consultation, Audio amplifier or sound booster, Report sharing options</t>
  </si>
  <si>
    <t xml:space="preserve">Never had the necessity to </t>
  </si>
  <si>
    <t xml:space="preserve">Cost, Facilities </t>
  </si>
  <si>
    <t>Regular testing reminders, Doctor consultation, Audio amplifier or sound booster</t>
  </si>
  <si>
    <t>Regular testing reminders, Doctor consultation, Personalized volume adjustments</t>
  </si>
  <si>
    <t>Quick tests, Earphone calibration, Detailed report generation, Doctor consultation, Audio amplifier or sound booster, Personalized volume adjustments, Soft guidance, Report sharing options</t>
  </si>
  <si>
    <t>Staying independent and alert, Life</t>
  </si>
  <si>
    <t>Game-based interaction, Soft guidance, Report sharing options</t>
  </si>
  <si>
    <t>Quick tests, Game-based interaction, Doctor consultation, Audio amplifier or sound booster, Personalized volume adjustments</t>
  </si>
  <si>
    <t>Quick tests, Game-based interaction, Detailed report generation, Personalized volume adjustments</t>
  </si>
  <si>
    <t>Not necessary</t>
  </si>
  <si>
    <t>Quick tests, Detailed report generation, Doctor consultation</t>
  </si>
  <si>
    <t>Never thought about it</t>
  </si>
  <si>
    <t>Quick tests, Earphone calibration, Regular testing reminders, Detailed report generation, Doctor consultation</t>
  </si>
  <si>
    <t>I frequently testing by every six months</t>
  </si>
  <si>
    <t>Perceived_Hearing_Meaning.1</t>
  </si>
  <si>
    <t>Perceived_Hearing_Meaning.2</t>
  </si>
  <si>
    <t>Staying independent and alert, I haven't thought about it much</t>
  </si>
  <si>
    <t>Feeling close to loved ones, Staying independent and alert, Enjoying music, laughter, and life, Staying connected with the world, I haven't thought about it much</t>
  </si>
  <si>
    <t>I haven't thought about it much</t>
  </si>
  <si>
    <t>Feeling close to loved ones, Enjoying music, laughter, and life, I haven't thought about it much</t>
  </si>
  <si>
    <t>Feeling close to loved ones, I haven't thought about it much</t>
  </si>
  <si>
    <t>Enjoying music, laughter, and life, Staying connected with the world, I haven't thought about it much</t>
  </si>
  <si>
    <t xml:space="preserve">I haven't thought about it much, </t>
  </si>
  <si>
    <t/>
  </si>
  <si>
    <t>I never thought I need one</t>
  </si>
  <si>
    <t>probably?</t>
  </si>
  <si>
    <t>Also</t>
  </si>
  <si>
    <t>I haven't had the need to</t>
  </si>
  <si>
    <t>yet</t>
  </si>
  <si>
    <t xml:space="preserve">Facilities </t>
  </si>
  <si>
    <t>No need</t>
  </si>
  <si>
    <t>Never done</t>
  </si>
  <si>
    <t>Testing</t>
  </si>
  <si>
    <t>Hearing_Test_Barrier_Modified</t>
  </si>
  <si>
    <t>I'm not sure, but I have felt disconnected</t>
  </si>
  <si>
    <t>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</si>
</sst>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bgColor indexed="64"/>
      </patternFill>
    </fill>
    <fill>
      <patternFill patternType="solid">
        <fgColor theme="4"/>
        <bgColor indexed="64"/>
      </patternFill>
    </fill>
  </fills>
  <borders count="3">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1">
    <xf numFmtId="0" fontId="0" fillId="0" borderId="0"/>
  </cellStyleXfs>
  <cellXfs count="11">
    <xf numFmtId="0" fontId="0" fillId="0" borderId="0" xfId="0"/>
    <xf numFmtId="0" fontId="1" fillId="5" borderId="2" xfId="0" applyFont="1" applyFill="1" applyBorder="1"/>
    <xf numFmtId="0" fontId="1" fillId="4" borderId="2" xfId="0" applyFont="1" applyFill="1" applyBorder="1"/>
    <xf numFmtId="0" fontId="1" fillId="2" borderId="2" xfId="0" applyFont="1" applyFill="1" applyBorder="1"/>
    <xf numFmtId="0" fontId="1" fillId="2" borderId="1"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5" borderId="0" xfId="0" applyFill="1"/>
    <xf numFmtId="0" fontId="1" fillId="4" borderId="1" xfId="0" applyFont="1" applyFill="1" applyBorder="1"/>
  </cellXfs>
  <cellStyles count="1">
    <cellStyle name="Normalny" xfId="0" builtinId="0"/>
  </cellStyles>
  <dxfs count="1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border outline="0">
        <bottom style="thin">
          <color theme="9" tint="0.39997558519241921"/>
        </bottom>
      </border>
    </dxf>
    <dxf>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border outline="0">
        <bottom style="thin">
          <color theme="9" tint="0.39997558519241921"/>
        </bottom>
      </border>
    </dxf>
    <dxf>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calcChain" Target="calcChain.xml"/><Relationship Id="rId19"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0DC3E0BD-AC21-4FBB-B256-3BA3609FAE59}" autoFormatId="16" applyNumberFormats="0" applyBorderFormats="0" applyFontFormats="0" applyPatternFormats="0" applyAlignmentFormats="0" applyWidthHeightFormats="0">
  <queryTableRefresh nextId="16">
    <queryTableFields count="15">
      <queryTableField id="1" name="Perceived_Hearing_Meaning.1" tableColumnId="1"/>
      <queryTableField id="2" name="Perceived_Hearing_Meaning.2" tableColumnId="2"/>
      <queryTableField id="3" name="Hearing_FOMO" tableColumnId="3"/>
      <queryTableField id="4" name="Hearing_Test_Barrier" tableColumnId="4"/>
      <queryTableField id="5" name="Missed_Important_Sounds" tableColumnId="5"/>
      <queryTableField id="6" name="Left_Out_Due_To_Hearing" tableColumnId="6"/>
      <queryTableField id="7" name="Daily_Headphone_Use" tableColumnId="7"/>
      <queryTableField id="8" name="Belief_Early_Hearing_Care" tableColumnId="8"/>
      <queryTableField id="9" name="Last_Hearing_Test_Method" tableColumnId="9"/>
      <queryTableField id="10" name="Interest_in_Hearing_App" tableColumnId="10"/>
      <queryTableField id="11" name="Desired_App_Features" tableColumnId="11"/>
      <queryTableField id="12" name="Awareness_on_hearing_and_Willingness_to_invest" tableColumnId="12"/>
      <queryTableField id="13" name="Paid_App_Test_Interest" tableColumnId="13"/>
      <queryTableField id="14" name="Age_group" tableColumnId="14"/>
      <queryTableField id="15" name="Ear_Discomfort_After_Use" tableColumnId="1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0D897B-AC36-4AA3-B5D0-FF689C6B55A0}" name="Final_Data" displayName="Final_Data" ref="A1:AC388" totalsRowShown="0" headerRowDxfId="109" dataDxfId="108" tableBorderDxfId="107">
  <autoFilter ref="A1:AC388" xr:uid="{8B0D897B-AC36-4AA3-B5D0-FF689C6B55A0}"/>
  <tableColumns count="29">
    <tableColumn id="1" xr3:uid="{531FECD5-466E-48DE-B0BF-603E0C90CEEE}" name="L.P" dataDxfId="106"/>
    <tableColumn id="3" xr3:uid="{1D30D6FC-304C-45BA-A905-CF64793FB74F}" name="Feeling close to loved ones" dataDxfId="105"/>
    <tableColumn id="4" xr3:uid="{6C02E6AF-A757-4E82-B42D-04486ADD60B3}" name="Staying connected with the world" dataDxfId="104"/>
    <tableColumn id="5" xr3:uid="{9A7249E6-AD01-40A0-8E04-3675E97DF838}" name="I haven't thought about it much" dataDxfId="103"/>
    <tableColumn id="6" xr3:uid="{B80679ED-0B3A-49FC-B181-0462228FAE4A}" name="Peace and Calm to Brain soulfully " dataDxfId="102"/>
    <tableColumn id="7" xr3:uid="{68989C0F-4633-4DBE-8C11-AC4A8B02C967}" name="Staying independent and alert" dataDxfId="101"/>
    <tableColumn id="8" xr3:uid="{AB1BC220-6BDF-42EF-A8AD-606FD1962395}" name="Enjoying music, laughter, and life" dataDxfId="100"/>
    <tableColumn id="9" xr3:uid="{046BE9D3-014F-4FFB-ACC6-BCEA01417423}" name="Hearing_FOMO" dataDxfId="99"/>
    <tableColumn id="11" xr3:uid="{DBDA616C-DFC4-41F2-99E4-73CC8C9A9D36}" name="Hearing_Test_Barrier_Modified" dataDxfId="98"/>
    <tableColumn id="12" xr3:uid="{3FE29A34-8896-42DA-9E5B-B0140EA27172}" name="Missed_Important_Sounds" dataDxfId="97"/>
    <tableColumn id="13" xr3:uid="{037BE9FF-5E65-46E1-ADC0-6BAFEF7A35F5}" name="Left_Out_Due_To_Hearing" dataDxfId="96"/>
    <tableColumn id="14" xr3:uid="{47497DE5-51CB-4692-92EE-D0F0A28AF897}" name="Daily_Headphone_Use" dataDxfId="95"/>
    <tableColumn id="15" xr3:uid="{0AFE91D6-BD69-45E3-A47C-A192C43BC6D6}" name="Belief_Early_Hearing_Care" dataDxfId="94"/>
    <tableColumn id="16" xr3:uid="{340C5BB9-2B20-4195-815F-386971A95305}" name="Last_Hearing_Test_Method" dataDxfId="93"/>
    <tableColumn id="17" xr3:uid="{0FDE39C1-4178-43A0-B361-488CAC60F329}" name="Interest_in_Hearing_App" dataDxfId="92"/>
    <tableColumn id="19" xr3:uid="{4285A03C-3CA5-4516-8A44-A06B4E2B4D53}" name="Quick tests" dataDxfId="91"/>
    <tableColumn id="20" xr3:uid="{B18FA856-B9DD-472A-9860-FC84A6D725D6}" name="Doctor consultation" dataDxfId="90"/>
    <tableColumn id="21" xr3:uid="{528F219C-AFAF-4235-8FC3-94A47FD13B00}" name="Game-based interaction" dataDxfId="89"/>
    <tableColumn id="22" xr3:uid="{8263EFB5-984D-481B-8E43-5DD2462D12C0}" name="Earphone calibration" dataDxfId="88"/>
    <tableColumn id="23" xr3:uid="{8F338E34-89F5-4E74-97FA-5DED648E5B41}" name="Soft guidance" dataDxfId="87"/>
    <tableColumn id="24" xr3:uid="{9E6BD91B-4B0F-4C56-B626-27F6AE311C62}" name="Regular testing reminders" dataDxfId="86"/>
    <tableColumn id="25" xr3:uid="{7F832876-B474-46B4-8225-51DAD5B6FA55}" name="Detailed report generation" dataDxfId="85"/>
    <tableColumn id="26" xr3:uid="{32CF7A1C-760C-4350-B430-F16871D5B072}" name="Personalized volume adjustments" dataDxfId="84"/>
    <tableColumn id="27" xr3:uid="{6E56EB5E-0D9A-47D5-8EF9-F55FF071A7FC}" name="Audio amplifier or sound booster" dataDxfId="83"/>
    <tableColumn id="28" xr3:uid="{9BAF095E-6007-495E-84F2-98207EA14E44}" name="Report sharing options" dataDxfId="82"/>
    <tableColumn id="29" xr3:uid="{680809EB-0C04-41B2-83B5-3C645469E216}" name="Awareness_on_hearing_and_Willingness_to_invest" dataDxfId="81"/>
    <tableColumn id="30" xr3:uid="{F90099C8-E58D-453C-8B2D-C27E9C9B7FBA}" name="Paid_App_Test_Interest" dataDxfId="80"/>
    <tableColumn id="31" xr3:uid="{42A63ADA-D0CE-4C68-914F-4D20D4FC0325}" name="Age_group" dataDxfId="79"/>
    <tableColumn id="32" xr3:uid="{8A9B138A-37EC-4D77-BD31-EC41071BD445}" name="Ear_Discomfort_After_Use"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53F571-2145-47C2-8225-3B46BA1C1400}" name="Data_Transformed" displayName="Data_Transformed" ref="A1:AF388" totalsRowShown="0" headerRowDxfId="77" dataDxfId="76" tableBorderDxfId="75">
  <autoFilter ref="A1:AF388" xr:uid="{DE53F571-2145-47C2-8225-3B46BA1C1400}"/>
  <tableColumns count="32">
    <tableColumn id="1" xr3:uid="{34E999A7-34F6-48BF-8C75-BDD81DA272EE}" name="L.P" dataDxfId="74"/>
    <tableColumn id="2" xr3:uid="{8AC35E45-44FD-4A72-96BD-BDFCE8859928}" name="Perceived_Hearing_Meaning" dataDxfId="73"/>
    <tableColumn id="3" xr3:uid="{C02C52C5-910E-43EA-974C-720E206EE9EE}" name="Feeling close to loved ones" dataDxfId="72">
      <calculatedColumnFormula>IFERROR(IF(SEARCH(C$1,$B2)&gt;0,1,0),0)</calculatedColumnFormula>
    </tableColumn>
    <tableColumn id="4" xr3:uid="{96AC42DA-11F5-4506-8BD5-7F2510F57493}" name="Staying connected with the world" dataDxfId="71">
      <calculatedColumnFormula>IFERROR(IF(SEARCH(D$1,$B2)&gt;0,1,0),0)</calculatedColumnFormula>
    </tableColumn>
    <tableColumn id="5" xr3:uid="{6114E136-55DB-475F-82BA-E4F3CF978DA4}" name="I haven't thought about it much" dataDxfId="70">
      <calculatedColumnFormula>IFERROR(IF(SEARCH(E$1,$B2)&gt;0,1,0),0)</calculatedColumnFormula>
    </tableColumn>
    <tableColumn id="6" xr3:uid="{859D74D1-2FE3-4CCA-854E-C7F4501F75A0}" name="Peace and Calm to Brain soulfully " dataDxfId="69">
      <calculatedColumnFormula>IFERROR(IF(SEARCH(F$1,$B2)&gt;0,1,0),0)</calculatedColumnFormula>
    </tableColumn>
    <tableColumn id="7" xr3:uid="{47559649-59D6-42C9-BBB1-A6D3A46A6BCF}" name="Staying independent and alert" dataDxfId="68">
      <calculatedColumnFormula>IFERROR(IF(SEARCH(G$1,$B2)&gt;0,1,0),0)</calculatedColumnFormula>
    </tableColumn>
    <tableColumn id="8" xr3:uid="{B1F1935D-9A31-4307-BB80-1D78517CFB34}" name="Enjoying music, laughter, and life" dataDxfId="67">
      <calculatedColumnFormula>IFERROR(IF(SEARCH(H$1,$B2)&gt;0,1,0),0)</calculatedColumnFormula>
    </tableColumn>
    <tableColumn id="9" xr3:uid="{B040D058-298F-46DB-A8BA-898D3472B97E}" name="Hearing_FOMO" dataDxfId="66"/>
    <tableColumn id="10" xr3:uid="{20FD9203-DE3E-41AF-9A9A-F029DAC7CB00}" name="Hearing_Test_Barrier" dataDxfId="65"/>
    <tableColumn id="11" xr3:uid="{67FDC158-4904-4EF2-8DBB-126155531E73}" name="Hearing_Test_Barrier_Modified" dataDxfId="64">
      <calculatedColumnFormula>_xlfn.XLOOKUP(J2,Worksheet!$F$1:$F$48,Worksheet!$G$1:$G$48,0)</calculatedColumnFormula>
    </tableColumn>
    <tableColumn id="12" xr3:uid="{4BF2D0A7-E078-43CA-84CA-6EE8D9D77BA3}" name="Missed_Important_Sounds" dataDxfId="63"/>
    <tableColumn id="13" xr3:uid="{32D82255-25E5-4883-9497-9C7FBA97227E}" name="Left_Out_Due_To_Hearing" dataDxfId="62"/>
    <tableColumn id="14" xr3:uid="{F0A1CE43-38CC-4BD6-883C-E0F3D001E981}" name="Daily_Headphone_Use" dataDxfId="61"/>
    <tableColumn id="15" xr3:uid="{4EA0D78E-3406-4BC2-8B68-F247A406006A}" name="Belief_Early_Hearing_Care" dataDxfId="60"/>
    <tableColumn id="16" xr3:uid="{BB2C802C-EA21-44D7-8079-8D5B057C9DF0}" name="Last_Hearing_Test_Method" dataDxfId="59"/>
    <tableColumn id="17" xr3:uid="{3BB1F614-1752-439D-B6AE-3D22AF7148AB}" name="Interest_in_Hearing_App" dataDxfId="58"/>
    <tableColumn id="18" xr3:uid="{6B5E5D21-E1CA-4A73-A745-7AC4FD34D856}" name="Desired_App_Features" dataDxfId="57"/>
    <tableColumn id="19" xr3:uid="{01E40BDC-791A-4E61-807E-218DD7C24330}" name="Quick tests" dataDxfId="56">
      <calculatedColumnFormula>IFERROR(IF(SEARCH(S$1,$R2)&gt;0,1,0),0)</calculatedColumnFormula>
    </tableColumn>
    <tableColumn id="20" xr3:uid="{36C6B935-388C-4F8E-83A4-C00F8B2881FC}" name="Doctor consultation" dataDxfId="55">
      <calculatedColumnFormula>IFERROR(IF(SEARCH(T$1,$R2)&gt;0,1,0),0)</calculatedColumnFormula>
    </tableColumn>
    <tableColumn id="21" xr3:uid="{559159DD-8681-47DF-8923-7D36846BD829}" name="Game-based interaction" dataDxfId="54">
      <calculatedColumnFormula>IFERROR(IF(SEARCH(U$1,$R2)&gt;0,1,0),0)</calculatedColumnFormula>
    </tableColumn>
    <tableColumn id="22" xr3:uid="{1A241D69-7FBA-43DD-BE67-8E988257BF5B}" name="Earphone calibration" dataDxfId="53">
      <calculatedColumnFormula>IFERROR(IF(SEARCH(V$1,$R2)&gt;0,1,0),0)</calculatedColumnFormula>
    </tableColumn>
    <tableColumn id="23" xr3:uid="{3DF1913B-9AF1-4A40-86B6-1CEF32856FCF}" name="Soft guidance" dataDxfId="52">
      <calculatedColumnFormula>IFERROR(IF(SEARCH(W$1,$R2)&gt;0,1,0),0)</calculatedColumnFormula>
    </tableColumn>
    <tableColumn id="24" xr3:uid="{5482688E-B2AA-422A-8747-144EBE33871D}" name="Regular testing reminders" dataDxfId="51">
      <calculatedColumnFormula>IFERROR(IF(SEARCH(X$1,$R2)&gt;0,1,0),0)</calculatedColumnFormula>
    </tableColumn>
    <tableColumn id="25" xr3:uid="{41811407-3208-4728-9639-7042C678AF3E}" name="Detailed report generation" dataDxfId="50">
      <calculatedColumnFormula>IFERROR(IF(SEARCH(Y$1,$R2)&gt;0,1,0),0)</calculatedColumnFormula>
    </tableColumn>
    <tableColumn id="26" xr3:uid="{6F37D49B-15A9-40E0-8CD2-0750546AC457}" name="Personalized volume adjustments" dataDxfId="49">
      <calculatedColumnFormula>IFERROR(IF(SEARCH(Z$1,$R2)&gt;0,1,0),0)</calculatedColumnFormula>
    </tableColumn>
    <tableColumn id="27" xr3:uid="{E516E4C6-13C3-4659-930D-4E1FEAA9CA31}" name="Audio amplifier or sound booster" dataDxfId="48">
      <calculatedColumnFormula>IFERROR(IF(SEARCH(AA$1,$R2)&gt;0,1,0),0)</calculatedColumnFormula>
    </tableColumn>
    <tableColumn id="28" xr3:uid="{776F2F38-511C-47C8-9F7C-80B777C1937F}" name="Report sharing options" dataDxfId="47">
      <calculatedColumnFormula>IFERROR(IF(SEARCH(AB$1,$R2)&gt;0,1,0),0)</calculatedColumnFormula>
    </tableColumn>
    <tableColumn id="29" xr3:uid="{BF22FA26-2C6C-4DB8-A906-9E3E63172F4A}" name="Awareness_on_hearing_and_Willingness_to_invest" dataDxfId="46"/>
    <tableColumn id="30" xr3:uid="{B435B595-2631-466D-B446-A007687C66AF}" name="Paid_App_Test_Interest" dataDxfId="45"/>
    <tableColumn id="31" xr3:uid="{CB54F4FA-367E-4F20-A8E8-657317775D33}" name="Age_group" dataDxfId="44"/>
    <tableColumn id="32" xr3:uid="{70C0626C-B269-43A8-8BEE-7DCF8B737538}" name="Ear_Discomfort_After_Use"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FD45D0-65CD-4B1C-896A-AAD537C16D39}" name="Data" displayName="Data" ref="A1:O388" tableType="queryTable" totalsRowShown="0">
  <autoFilter ref="A1:O388" xr:uid="{89FD45D0-65CD-4B1C-896A-AAD537C16D39}"/>
  <tableColumns count="15">
    <tableColumn id="1" xr3:uid="{E5C468D8-B46F-4358-AE8D-B9F0A4076970}" uniqueName="1" name="Perceived_Hearing_Meaning.1" queryTableFieldId="1" dataDxfId="42"/>
    <tableColumn id="2" xr3:uid="{4CCF2A28-4B97-44B2-9981-BFCD7F2B8949}" uniqueName="2" name="Perceived_Hearing_Meaning.2" queryTableFieldId="2" dataDxfId="41"/>
    <tableColumn id="3" xr3:uid="{F4B7A609-127F-4243-BAA7-0DBF94A72354}" uniqueName="3" name="Hearing_FOMO" queryTableFieldId="3" dataDxfId="40"/>
    <tableColumn id="4" xr3:uid="{1BD722FB-70E1-473B-B909-11F058ADDDBB}" uniqueName="4" name="Hearing_Test_Barrier" queryTableFieldId="4" dataDxfId="39"/>
    <tableColumn id="5" xr3:uid="{2083C338-FBEE-4944-8CBA-6F2C666859A5}" uniqueName="5" name="Missed_Important_Sounds" queryTableFieldId="5" dataDxfId="38"/>
    <tableColumn id="6" xr3:uid="{F219F086-0330-4599-B744-497F59C992BC}" uniqueName="6" name="Left_Out_Due_To_Hearing" queryTableFieldId="6" dataDxfId="37"/>
    <tableColumn id="7" xr3:uid="{EA883397-7B97-4B2A-9A86-A3E9026A92C9}" uniqueName="7" name="Daily_Headphone_Use" queryTableFieldId="7" dataDxfId="36"/>
    <tableColumn id="8" xr3:uid="{3E0FF681-B64E-4791-8917-5851E43161C1}" uniqueName="8" name="Belief_Early_Hearing_Care" queryTableFieldId="8"/>
    <tableColumn id="9" xr3:uid="{132F4FC9-C5D0-4214-87EE-A620B77C907C}" uniqueName="9" name="Last_Hearing_Test_Method" queryTableFieldId="9" dataDxfId="35"/>
    <tableColumn id="10" xr3:uid="{3794D8A9-5617-4312-A6AD-4429EC0B76A9}" uniqueName="10" name="Interest_in_Hearing_App" queryTableFieldId="10" dataDxfId="34"/>
    <tableColumn id="11" xr3:uid="{381EC423-D378-46FD-9BE4-0CD6DB4E4369}" uniqueName="11" name="Desired_App_Features" queryTableFieldId="11" dataDxfId="33"/>
    <tableColumn id="12" xr3:uid="{F56DA83E-B8FC-4D27-AB19-72675E78160F}" uniqueName="12" name="Awareness_on_hearing_and_Willingness_to_invest" queryTableFieldId="12" dataDxfId="32"/>
    <tableColumn id="13" xr3:uid="{882852E1-EDE6-4793-A569-5E580C14FF6D}" uniqueName="13" name="Paid_App_Test_Interest" queryTableFieldId="13" dataDxfId="31"/>
    <tableColumn id="14" xr3:uid="{F4C473A0-671C-42F5-A481-F09FC072899C}" uniqueName="14" name="Age_group" queryTableFieldId="14" dataDxfId="30"/>
    <tableColumn id="15" xr3:uid="{D0F329DB-B789-41DF-91C4-95BFE81E235F}" uniqueName="15" name="Ear_Discomfort_After_Use" queryTableFieldId="15" dataDxf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AC32-D5CD-4528-9C8A-57DF20C811CB}">
  <sheetPr>
    <tabColor rgb="FF00B050"/>
  </sheetPr>
  <dimension ref="A1:AC388"/>
  <sheetViews>
    <sheetView workbookViewId="0">
      <selection activeCell="C12" sqref="C12"/>
    </sheetView>
  </sheetViews>
  <sheetFormatPr defaultRowHeight="14.4" x14ac:dyDescent="0.3"/>
  <sheetData>
    <row r="1" spans="1:29" x14ac:dyDescent="0.3">
      <c r="A1" s="9" t="s">
        <v>357</v>
      </c>
      <c r="B1" s="9" t="s">
        <v>100</v>
      </c>
      <c r="C1" s="9" t="s">
        <v>68</v>
      </c>
      <c r="D1" s="9" t="s">
        <v>340</v>
      </c>
      <c r="E1" s="9" t="s">
        <v>230</v>
      </c>
      <c r="F1" s="9" t="s">
        <v>41</v>
      </c>
      <c r="G1" s="9" t="s">
        <v>55</v>
      </c>
      <c r="H1" s="2" t="s">
        <v>1</v>
      </c>
      <c r="I1" s="1" t="s">
        <v>355</v>
      </c>
      <c r="J1" s="2" t="s">
        <v>3</v>
      </c>
      <c r="K1" s="3" t="s">
        <v>4</v>
      </c>
      <c r="L1" s="3" t="s">
        <v>5</v>
      </c>
      <c r="M1" s="3" t="s">
        <v>6</v>
      </c>
      <c r="N1" s="3" t="s">
        <v>7</v>
      </c>
      <c r="O1" s="3" t="s">
        <v>8</v>
      </c>
      <c r="P1" s="9" t="s">
        <v>56</v>
      </c>
      <c r="Q1" s="9" t="s">
        <v>139</v>
      </c>
      <c r="R1" s="9" t="s">
        <v>47</v>
      </c>
      <c r="S1" s="9" t="s">
        <v>96</v>
      </c>
      <c r="T1" s="9" t="s">
        <v>39</v>
      </c>
      <c r="U1" s="9" t="s">
        <v>131</v>
      </c>
      <c r="V1" s="9" t="s">
        <v>111</v>
      </c>
      <c r="W1" s="9" t="s">
        <v>157</v>
      </c>
      <c r="X1" s="9" t="s">
        <v>90</v>
      </c>
      <c r="Y1" s="9" t="s">
        <v>161</v>
      </c>
      <c r="Z1" s="3" t="s">
        <v>10</v>
      </c>
      <c r="AA1" s="4" t="s">
        <v>11</v>
      </c>
      <c r="AB1" s="3" t="s">
        <v>12</v>
      </c>
      <c r="AC1" s="3" t="s">
        <v>13</v>
      </c>
    </row>
    <row r="2" spans="1:29" x14ac:dyDescent="0.3">
      <c r="A2" s="5">
        <v>1</v>
      </c>
      <c r="B2" s="5">
        <v>0</v>
      </c>
      <c r="C2" s="5">
        <v>1</v>
      </c>
      <c r="D2" s="5">
        <v>0</v>
      </c>
      <c r="E2" s="5">
        <v>0</v>
      </c>
      <c r="F2" s="5">
        <v>1</v>
      </c>
      <c r="G2" s="5">
        <v>1</v>
      </c>
      <c r="H2" s="6" t="s">
        <v>15</v>
      </c>
      <c r="I2" s="6" t="s">
        <v>16</v>
      </c>
      <c r="J2" s="6" t="s">
        <v>17</v>
      </c>
      <c r="K2" s="6" t="s">
        <v>18</v>
      </c>
      <c r="L2" s="6" t="s">
        <v>117</v>
      </c>
      <c r="M2" s="6">
        <v>5</v>
      </c>
      <c r="N2" s="6" t="s">
        <v>32</v>
      </c>
      <c r="O2" s="6" t="s">
        <v>46</v>
      </c>
      <c r="P2" s="5">
        <v>0</v>
      </c>
      <c r="Q2" s="5">
        <v>0</v>
      </c>
      <c r="R2" s="5">
        <v>0</v>
      </c>
      <c r="S2" s="5">
        <v>0</v>
      </c>
      <c r="T2" s="5">
        <v>1</v>
      </c>
      <c r="U2" s="5">
        <v>0</v>
      </c>
      <c r="V2" s="5">
        <v>0</v>
      </c>
      <c r="W2" s="5">
        <v>0</v>
      </c>
      <c r="X2" s="5">
        <v>0</v>
      </c>
      <c r="Y2" s="5">
        <v>1</v>
      </c>
      <c r="Z2" s="6" t="s">
        <v>21</v>
      </c>
      <c r="AA2" s="5" t="s">
        <v>23</v>
      </c>
      <c r="AB2" s="6" t="s">
        <v>24</v>
      </c>
      <c r="AC2" s="6" t="s">
        <v>25</v>
      </c>
    </row>
    <row r="3" spans="1:29" x14ac:dyDescent="0.3">
      <c r="A3" s="7">
        <v>2</v>
      </c>
      <c r="B3" s="7">
        <v>0</v>
      </c>
      <c r="C3" s="7">
        <v>1</v>
      </c>
      <c r="D3" s="7">
        <v>0</v>
      </c>
      <c r="E3" s="7">
        <v>0</v>
      </c>
      <c r="F3" s="7">
        <v>1</v>
      </c>
      <c r="G3" s="7">
        <v>0</v>
      </c>
      <c r="H3" s="8" t="s">
        <v>27</v>
      </c>
      <c r="I3" s="8" t="s">
        <v>352</v>
      </c>
      <c r="J3" s="8" t="s">
        <v>29</v>
      </c>
      <c r="K3" s="8" t="s">
        <v>30</v>
      </c>
      <c r="L3" s="8" t="s">
        <v>117</v>
      </c>
      <c r="M3" s="8">
        <v>5</v>
      </c>
      <c r="N3" s="8" t="s">
        <v>32</v>
      </c>
      <c r="O3" s="8" t="s">
        <v>46</v>
      </c>
      <c r="P3" s="8">
        <v>0</v>
      </c>
      <c r="Q3" s="8">
        <v>0</v>
      </c>
      <c r="R3" s="8">
        <v>0</v>
      </c>
      <c r="S3" s="8">
        <v>0</v>
      </c>
      <c r="T3" s="8">
        <v>0</v>
      </c>
      <c r="U3" s="8">
        <v>0</v>
      </c>
      <c r="V3" s="8">
        <v>0</v>
      </c>
      <c r="W3" s="8">
        <v>0</v>
      </c>
      <c r="X3" s="8">
        <v>0</v>
      </c>
      <c r="Y3" s="8">
        <v>0</v>
      </c>
      <c r="Z3" s="8" t="s">
        <v>21</v>
      </c>
      <c r="AA3" s="7" t="s">
        <v>34</v>
      </c>
      <c r="AB3" s="8" t="s">
        <v>24</v>
      </c>
      <c r="AC3" s="8" t="s">
        <v>21</v>
      </c>
    </row>
    <row r="4" spans="1:29" x14ac:dyDescent="0.3">
      <c r="A4" s="5">
        <v>3</v>
      </c>
      <c r="B4" s="5">
        <v>0</v>
      </c>
      <c r="C4" s="5">
        <v>0</v>
      </c>
      <c r="D4" s="5">
        <v>1</v>
      </c>
      <c r="E4" s="5">
        <v>0</v>
      </c>
      <c r="F4" s="5">
        <v>1</v>
      </c>
      <c r="G4" s="5">
        <v>0</v>
      </c>
      <c r="H4" s="6" t="s">
        <v>27</v>
      </c>
      <c r="I4" s="6" t="s">
        <v>36</v>
      </c>
      <c r="J4" s="6" t="s">
        <v>37</v>
      </c>
      <c r="K4" s="6" t="s">
        <v>15</v>
      </c>
      <c r="L4" s="6" t="s">
        <v>117</v>
      </c>
      <c r="M4" s="6">
        <v>5</v>
      </c>
      <c r="N4" s="6" t="s">
        <v>32</v>
      </c>
      <c r="O4" s="6" t="s">
        <v>63</v>
      </c>
      <c r="P4" s="6">
        <v>0</v>
      </c>
      <c r="Q4" s="6">
        <v>0</v>
      </c>
      <c r="R4" s="6">
        <v>0</v>
      </c>
      <c r="S4" s="6">
        <v>0</v>
      </c>
      <c r="T4" s="6">
        <v>1</v>
      </c>
      <c r="U4" s="6">
        <v>0</v>
      </c>
      <c r="V4" s="6">
        <v>0</v>
      </c>
      <c r="W4" s="6">
        <v>0</v>
      </c>
      <c r="X4" s="6">
        <v>0</v>
      </c>
      <c r="Y4" s="6">
        <v>0</v>
      </c>
      <c r="Z4" s="6" t="s">
        <v>25</v>
      </c>
      <c r="AA4" s="6" t="s">
        <v>40</v>
      </c>
      <c r="AB4" s="6" t="s">
        <v>24</v>
      </c>
      <c r="AC4" s="6" t="s">
        <v>38</v>
      </c>
    </row>
    <row r="5" spans="1:29" x14ac:dyDescent="0.3">
      <c r="A5" s="7">
        <v>4</v>
      </c>
      <c r="B5" s="7">
        <v>0</v>
      </c>
      <c r="C5" s="7">
        <v>0</v>
      </c>
      <c r="D5" s="7">
        <v>0</v>
      </c>
      <c r="E5" s="7">
        <v>0</v>
      </c>
      <c r="F5" s="7">
        <v>1</v>
      </c>
      <c r="G5" s="7">
        <v>0</v>
      </c>
      <c r="H5" s="8" t="s">
        <v>42</v>
      </c>
      <c r="I5" s="8" t="s">
        <v>43</v>
      </c>
      <c r="J5" s="8" t="s">
        <v>37</v>
      </c>
      <c r="K5" s="8" t="s">
        <v>15</v>
      </c>
      <c r="L5" s="8" t="s">
        <v>44</v>
      </c>
      <c r="M5" s="8">
        <v>4</v>
      </c>
      <c r="N5" s="8" t="s">
        <v>45</v>
      </c>
      <c r="O5" s="8" t="s">
        <v>46</v>
      </c>
      <c r="P5" s="8">
        <v>0</v>
      </c>
      <c r="Q5" s="8">
        <v>0</v>
      </c>
      <c r="R5" s="8">
        <v>1</v>
      </c>
      <c r="S5" s="8">
        <v>0</v>
      </c>
      <c r="T5" s="8">
        <v>0</v>
      </c>
      <c r="U5" s="8">
        <v>0</v>
      </c>
      <c r="V5" s="8">
        <v>0</v>
      </c>
      <c r="W5" s="8">
        <v>0</v>
      </c>
      <c r="X5" s="8">
        <v>0</v>
      </c>
      <c r="Y5" s="8">
        <v>0</v>
      </c>
      <c r="Z5" s="8" t="s">
        <v>21</v>
      </c>
      <c r="AA5" s="8" t="s">
        <v>40</v>
      </c>
      <c r="AB5" s="8" t="s">
        <v>24</v>
      </c>
      <c r="AC5" s="8" t="s">
        <v>48</v>
      </c>
    </row>
    <row r="6" spans="1:29" x14ac:dyDescent="0.3">
      <c r="A6" s="5">
        <v>5</v>
      </c>
      <c r="B6" s="5">
        <v>0</v>
      </c>
      <c r="C6" s="5">
        <v>0</v>
      </c>
      <c r="D6" s="5">
        <v>0</v>
      </c>
      <c r="E6" s="5">
        <v>0</v>
      </c>
      <c r="F6" s="5">
        <v>1</v>
      </c>
      <c r="G6" s="5">
        <v>0</v>
      </c>
      <c r="H6" s="6" t="s">
        <v>49</v>
      </c>
      <c r="I6" s="6" t="s">
        <v>43</v>
      </c>
      <c r="J6" s="6" t="s">
        <v>50</v>
      </c>
      <c r="K6" s="6" t="s">
        <v>30</v>
      </c>
      <c r="L6" s="6" t="s">
        <v>51</v>
      </c>
      <c r="M6" s="6">
        <v>5</v>
      </c>
      <c r="N6" s="6" t="s">
        <v>45</v>
      </c>
      <c r="O6" s="6" t="s">
        <v>52</v>
      </c>
      <c r="P6" s="6">
        <v>1</v>
      </c>
      <c r="Q6" s="6">
        <v>0</v>
      </c>
      <c r="R6" s="6">
        <v>1</v>
      </c>
      <c r="S6" s="6">
        <v>0</v>
      </c>
      <c r="T6" s="6">
        <v>0</v>
      </c>
      <c r="U6" s="6">
        <v>0</v>
      </c>
      <c r="V6" s="6">
        <v>1</v>
      </c>
      <c r="W6" s="6">
        <v>0</v>
      </c>
      <c r="X6" s="6">
        <v>0</v>
      </c>
      <c r="Y6" s="6">
        <v>0</v>
      </c>
      <c r="Z6" s="6" t="s">
        <v>25</v>
      </c>
      <c r="AA6" s="6" t="s">
        <v>34</v>
      </c>
      <c r="AB6" s="6" t="s">
        <v>54</v>
      </c>
      <c r="AC6" s="6" t="s">
        <v>25</v>
      </c>
    </row>
    <row r="7" spans="1:29" x14ac:dyDescent="0.3">
      <c r="A7" s="7">
        <v>6</v>
      </c>
      <c r="B7" s="7">
        <v>0</v>
      </c>
      <c r="C7" s="7">
        <v>0</v>
      </c>
      <c r="D7" s="7">
        <v>0</v>
      </c>
      <c r="E7" s="7">
        <v>0</v>
      </c>
      <c r="F7" s="7">
        <v>0</v>
      </c>
      <c r="G7" s="7">
        <v>1</v>
      </c>
      <c r="H7" s="8" t="s">
        <v>27</v>
      </c>
      <c r="I7" s="8" t="s">
        <v>43</v>
      </c>
      <c r="J7" s="8" t="s">
        <v>17</v>
      </c>
      <c r="K7" s="8" t="s">
        <v>49</v>
      </c>
      <c r="L7" s="8" t="s">
        <v>51</v>
      </c>
      <c r="M7" s="8">
        <v>5</v>
      </c>
      <c r="N7" s="8" t="s">
        <v>45</v>
      </c>
      <c r="O7" s="8" t="s">
        <v>52</v>
      </c>
      <c r="P7" s="8">
        <v>1</v>
      </c>
      <c r="Q7" s="8">
        <v>0</v>
      </c>
      <c r="R7" s="8">
        <v>0</v>
      </c>
      <c r="S7" s="8">
        <v>0</v>
      </c>
      <c r="T7" s="8">
        <v>0</v>
      </c>
      <c r="U7" s="8">
        <v>0</v>
      </c>
      <c r="V7" s="8">
        <v>0</v>
      </c>
      <c r="W7" s="8">
        <v>0</v>
      </c>
      <c r="X7" s="8">
        <v>0</v>
      </c>
      <c r="Y7" s="8">
        <v>0</v>
      </c>
      <c r="Z7" s="8" t="s">
        <v>21</v>
      </c>
      <c r="AA7" s="8" t="s">
        <v>34</v>
      </c>
      <c r="AB7" s="8" t="s">
        <v>54</v>
      </c>
      <c r="AC7" s="8" t="s">
        <v>25</v>
      </c>
    </row>
    <row r="8" spans="1:29" x14ac:dyDescent="0.3">
      <c r="A8" s="5">
        <v>7</v>
      </c>
      <c r="B8" s="5">
        <v>1</v>
      </c>
      <c r="C8" s="5">
        <v>0</v>
      </c>
      <c r="D8" s="5">
        <v>0</v>
      </c>
      <c r="E8" s="5">
        <v>0</v>
      </c>
      <c r="F8" s="5">
        <v>1</v>
      </c>
      <c r="G8" s="5">
        <v>0</v>
      </c>
      <c r="H8" s="6" t="s">
        <v>42</v>
      </c>
      <c r="I8" s="6" t="s">
        <v>43</v>
      </c>
      <c r="J8" s="6" t="s">
        <v>17</v>
      </c>
      <c r="K8" s="6" t="s">
        <v>30</v>
      </c>
      <c r="L8" s="6" t="s">
        <v>58</v>
      </c>
      <c r="M8" s="6">
        <v>4</v>
      </c>
      <c r="N8" s="6" t="s">
        <v>59</v>
      </c>
      <c r="O8" s="6" t="s">
        <v>46</v>
      </c>
      <c r="P8" s="6">
        <v>1</v>
      </c>
      <c r="Q8" s="6">
        <v>0</v>
      </c>
      <c r="R8" s="6">
        <v>1</v>
      </c>
      <c r="S8" s="6">
        <v>0</v>
      </c>
      <c r="T8" s="6">
        <v>0</v>
      </c>
      <c r="U8" s="6">
        <v>0</v>
      </c>
      <c r="V8" s="6">
        <v>0</v>
      </c>
      <c r="W8" s="6">
        <v>0</v>
      </c>
      <c r="X8" s="6">
        <v>0</v>
      </c>
      <c r="Y8" s="6">
        <v>0</v>
      </c>
      <c r="Z8" s="6" t="s">
        <v>21</v>
      </c>
      <c r="AA8" s="6" t="s">
        <v>23</v>
      </c>
      <c r="AB8" s="6" t="s">
        <v>24</v>
      </c>
      <c r="AC8" s="6" t="s">
        <v>21</v>
      </c>
    </row>
    <row r="9" spans="1:29" x14ac:dyDescent="0.3">
      <c r="A9" s="7">
        <v>8</v>
      </c>
      <c r="B9" s="7">
        <v>1</v>
      </c>
      <c r="C9" s="7">
        <v>1</v>
      </c>
      <c r="D9" s="7">
        <v>0</v>
      </c>
      <c r="E9" s="7">
        <v>0</v>
      </c>
      <c r="F9" s="7">
        <v>1</v>
      </c>
      <c r="G9" s="7">
        <v>1</v>
      </c>
      <c r="H9" s="8" t="s">
        <v>27</v>
      </c>
      <c r="I9" s="8" t="s">
        <v>16</v>
      </c>
      <c r="J9" s="8" t="s">
        <v>50</v>
      </c>
      <c r="K9" s="8" t="s">
        <v>49</v>
      </c>
      <c r="L9" s="8" t="s">
        <v>58</v>
      </c>
      <c r="M9" s="8">
        <v>4</v>
      </c>
      <c r="N9" s="8" t="s">
        <v>59</v>
      </c>
      <c r="O9" s="8" t="s">
        <v>63</v>
      </c>
      <c r="P9" s="8">
        <v>1</v>
      </c>
      <c r="Q9" s="8">
        <v>0</v>
      </c>
      <c r="R9" s="8">
        <v>1</v>
      </c>
      <c r="S9" s="8">
        <v>0</v>
      </c>
      <c r="T9" s="8">
        <v>0</v>
      </c>
      <c r="U9" s="8">
        <v>1</v>
      </c>
      <c r="V9" s="8">
        <v>0</v>
      </c>
      <c r="W9" s="8">
        <v>1</v>
      </c>
      <c r="X9" s="8">
        <v>0</v>
      </c>
      <c r="Y9" s="8">
        <v>0</v>
      </c>
      <c r="Z9" s="8" t="s">
        <v>21</v>
      </c>
      <c r="AA9" s="8" t="s">
        <v>40</v>
      </c>
      <c r="AB9" s="8" t="s">
        <v>24</v>
      </c>
      <c r="AC9" s="8" t="s">
        <v>21</v>
      </c>
    </row>
    <row r="10" spans="1:29" x14ac:dyDescent="0.3">
      <c r="A10" s="5">
        <v>9</v>
      </c>
      <c r="B10" s="5">
        <v>0</v>
      </c>
      <c r="C10" s="5">
        <v>0</v>
      </c>
      <c r="D10" s="5">
        <v>0</v>
      </c>
      <c r="E10" s="5">
        <v>0</v>
      </c>
      <c r="F10" s="5">
        <v>0</v>
      </c>
      <c r="G10" s="5">
        <v>1</v>
      </c>
      <c r="H10" s="6" t="s">
        <v>15</v>
      </c>
      <c r="I10" s="6" t="s">
        <v>43</v>
      </c>
      <c r="J10" s="6" t="s">
        <v>29</v>
      </c>
      <c r="K10" s="6" t="s">
        <v>30</v>
      </c>
      <c r="L10" s="6" t="s">
        <v>51</v>
      </c>
      <c r="M10" s="6">
        <v>5</v>
      </c>
      <c r="N10" s="6" t="s">
        <v>45</v>
      </c>
      <c r="O10" s="6" t="s">
        <v>46</v>
      </c>
      <c r="P10" s="6">
        <v>1</v>
      </c>
      <c r="Q10" s="6">
        <v>1</v>
      </c>
      <c r="R10" s="6">
        <v>1</v>
      </c>
      <c r="S10" s="6">
        <v>0</v>
      </c>
      <c r="T10" s="6">
        <v>0</v>
      </c>
      <c r="U10" s="6">
        <v>1</v>
      </c>
      <c r="V10" s="6">
        <v>0</v>
      </c>
      <c r="W10" s="6">
        <v>0</v>
      </c>
      <c r="X10" s="6">
        <v>1</v>
      </c>
      <c r="Y10" s="6">
        <v>0</v>
      </c>
      <c r="Z10" s="6" t="s">
        <v>21</v>
      </c>
      <c r="AA10" s="6" t="s">
        <v>23</v>
      </c>
      <c r="AB10" s="6" t="s">
        <v>24</v>
      </c>
      <c r="AC10" s="6" t="s">
        <v>48</v>
      </c>
    </row>
    <row r="11" spans="1:29" x14ac:dyDescent="0.3">
      <c r="A11" s="7">
        <v>10</v>
      </c>
      <c r="B11" s="7">
        <v>0</v>
      </c>
      <c r="C11" s="7">
        <v>1</v>
      </c>
      <c r="D11" s="7">
        <v>0</v>
      </c>
      <c r="E11" s="7">
        <v>0</v>
      </c>
      <c r="F11" s="7">
        <v>0</v>
      </c>
      <c r="G11" s="7">
        <v>1</v>
      </c>
      <c r="H11" s="8" t="s">
        <v>49</v>
      </c>
      <c r="I11" s="8" t="s">
        <v>43</v>
      </c>
      <c r="J11" s="8" t="s">
        <v>50</v>
      </c>
      <c r="K11" s="8" t="s">
        <v>30</v>
      </c>
      <c r="L11" s="8" t="s">
        <v>51</v>
      </c>
      <c r="M11" s="8">
        <v>4</v>
      </c>
      <c r="N11" s="8" t="s">
        <v>45</v>
      </c>
      <c r="O11" s="8" t="s">
        <v>63</v>
      </c>
      <c r="P11" s="8">
        <v>1</v>
      </c>
      <c r="Q11" s="8">
        <v>1</v>
      </c>
      <c r="R11" s="8">
        <v>1</v>
      </c>
      <c r="S11" s="8">
        <v>1</v>
      </c>
      <c r="T11" s="8">
        <v>1</v>
      </c>
      <c r="U11" s="8">
        <v>1</v>
      </c>
      <c r="V11" s="8">
        <v>1</v>
      </c>
      <c r="W11" s="8">
        <v>1</v>
      </c>
      <c r="X11" s="8">
        <v>1</v>
      </c>
      <c r="Y11" s="8">
        <v>1</v>
      </c>
      <c r="Z11" s="8" t="s">
        <v>21</v>
      </c>
      <c r="AA11" s="8" t="s">
        <v>34</v>
      </c>
      <c r="AB11" s="8" t="s">
        <v>24</v>
      </c>
      <c r="AC11" s="8" t="s">
        <v>48</v>
      </c>
    </row>
    <row r="12" spans="1:29" x14ac:dyDescent="0.3">
      <c r="A12" s="5">
        <v>11</v>
      </c>
      <c r="B12" s="5">
        <v>0</v>
      </c>
      <c r="C12" s="5">
        <v>1</v>
      </c>
      <c r="D12" s="5">
        <v>0</v>
      </c>
      <c r="E12" s="5">
        <v>0</v>
      </c>
      <c r="F12" s="5">
        <v>0</v>
      </c>
      <c r="G12" s="5">
        <v>0</v>
      </c>
      <c r="H12" s="6" t="s">
        <v>27</v>
      </c>
      <c r="I12" s="6" t="s">
        <v>43</v>
      </c>
      <c r="J12" s="6" t="s">
        <v>356</v>
      </c>
      <c r="K12" s="6" t="s">
        <v>30</v>
      </c>
      <c r="L12" s="6" t="s">
        <v>70</v>
      </c>
      <c r="M12" s="6">
        <v>4</v>
      </c>
      <c r="N12" s="6" t="s">
        <v>45</v>
      </c>
      <c r="O12" s="6" t="s">
        <v>63</v>
      </c>
      <c r="P12" s="6">
        <v>1</v>
      </c>
      <c r="Q12" s="6">
        <v>0</v>
      </c>
      <c r="R12" s="6">
        <v>0</v>
      </c>
      <c r="S12" s="6">
        <v>1</v>
      </c>
      <c r="T12" s="6">
        <v>0</v>
      </c>
      <c r="U12" s="6">
        <v>1</v>
      </c>
      <c r="V12" s="6">
        <v>0</v>
      </c>
      <c r="W12" s="6">
        <v>0</v>
      </c>
      <c r="X12" s="6">
        <v>0</v>
      </c>
      <c r="Y12" s="6">
        <v>0</v>
      </c>
      <c r="Z12" s="6" t="s">
        <v>21</v>
      </c>
      <c r="AA12" s="6" t="s">
        <v>34</v>
      </c>
      <c r="AB12" s="6" t="s">
        <v>24</v>
      </c>
      <c r="AC12" s="6" t="s">
        <v>48</v>
      </c>
    </row>
    <row r="13" spans="1:29" x14ac:dyDescent="0.3">
      <c r="A13" s="7">
        <v>12</v>
      </c>
      <c r="B13" s="7">
        <v>0</v>
      </c>
      <c r="C13" s="7">
        <v>1</v>
      </c>
      <c r="D13" s="7">
        <v>0</v>
      </c>
      <c r="E13" s="7">
        <v>0</v>
      </c>
      <c r="F13" s="7">
        <v>0</v>
      </c>
      <c r="G13" s="7">
        <v>0</v>
      </c>
      <c r="H13" s="8" t="s">
        <v>42</v>
      </c>
      <c r="I13" s="8" t="s">
        <v>16</v>
      </c>
      <c r="J13" s="8" t="s">
        <v>37</v>
      </c>
      <c r="K13" s="8" t="s">
        <v>18</v>
      </c>
      <c r="L13" s="8" t="s">
        <v>44</v>
      </c>
      <c r="M13" s="8">
        <v>5</v>
      </c>
      <c r="N13" s="8" t="s">
        <v>72</v>
      </c>
      <c r="O13" s="8" t="s">
        <v>46</v>
      </c>
      <c r="P13" s="8">
        <v>1</v>
      </c>
      <c r="Q13" s="8">
        <v>0</v>
      </c>
      <c r="R13" s="8">
        <v>1</v>
      </c>
      <c r="S13" s="8">
        <v>0</v>
      </c>
      <c r="T13" s="8">
        <v>0</v>
      </c>
      <c r="U13" s="8">
        <v>0</v>
      </c>
      <c r="V13" s="8">
        <v>1</v>
      </c>
      <c r="W13" s="8">
        <v>0</v>
      </c>
      <c r="X13" s="8">
        <v>0</v>
      </c>
      <c r="Y13" s="8">
        <v>0</v>
      </c>
      <c r="Z13" s="8" t="s">
        <v>21</v>
      </c>
      <c r="AA13" s="8" t="s">
        <v>40</v>
      </c>
      <c r="AB13" s="8" t="s">
        <v>24</v>
      </c>
      <c r="AC13" s="8" t="s">
        <v>21</v>
      </c>
    </row>
    <row r="14" spans="1:29" x14ac:dyDescent="0.3">
      <c r="A14" s="5">
        <v>13</v>
      </c>
      <c r="B14" s="5">
        <v>0</v>
      </c>
      <c r="C14" s="5">
        <v>0</v>
      </c>
      <c r="D14" s="5">
        <v>0</v>
      </c>
      <c r="E14" s="5">
        <v>0</v>
      </c>
      <c r="F14" s="5">
        <v>0</v>
      </c>
      <c r="G14" s="5">
        <v>1</v>
      </c>
      <c r="H14" s="6" t="s">
        <v>15</v>
      </c>
      <c r="I14" s="6" t="s">
        <v>16</v>
      </c>
      <c r="J14" s="6" t="s">
        <v>37</v>
      </c>
      <c r="K14" s="6" t="s">
        <v>15</v>
      </c>
      <c r="L14" s="6" t="s">
        <v>44</v>
      </c>
      <c r="M14" s="6">
        <v>2</v>
      </c>
      <c r="N14" s="6" t="s">
        <v>72</v>
      </c>
      <c r="O14" s="6" t="s">
        <v>63</v>
      </c>
      <c r="P14" s="6">
        <v>0</v>
      </c>
      <c r="Q14" s="6">
        <v>1</v>
      </c>
      <c r="R14" s="6">
        <v>0</v>
      </c>
      <c r="S14" s="6">
        <v>1</v>
      </c>
      <c r="T14" s="6">
        <v>0</v>
      </c>
      <c r="U14" s="6">
        <v>1</v>
      </c>
      <c r="V14" s="6">
        <v>0</v>
      </c>
      <c r="W14" s="6">
        <v>0</v>
      </c>
      <c r="X14" s="6">
        <v>0</v>
      </c>
      <c r="Y14" s="6">
        <v>0</v>
      </c>
      <c r="Z14" s="6" t="s">
        <v>21</v>
      </c>
      <c r="AA14" s="6" t="s">
        <v>23</v>
      </c>
      <c r="AB14" s="6" t="s">
        <v>24</v>
      </c>
      <c r="AC14" s="6" t="s">
        <v>25</v>
      </c>
    </row>
    <row r="15" spans="1:29" x14ac:dyDescent="0.3">
      <c r="A15" s="7">
        <v>14</v>
      </c>
      <c r="B15" s="7">
        <v>0</v>
      </c>
      <c r="C15" s="7">
        <v>0</v>
      </c>
      <c r="D15" s="7">
        <v>0</v>
      </c>
      <c r="E15" s="7">
        <v>0</v>
      </c>
      <c r="F15" s="7">
        <v>0</v>
      </c>
      <c r="G15" s="7">
        <v>1</v>
      </c>
      <c r="H15" s="8" t="s">
        <v>15</v>
      </c>
      <c r="I15" s="8" t="s">
        <v>36</v>
      </c>
      <c r="J15" s="8" t="s">
        <v>356</v>
      </c>
      <c r="K15" s="8" t="s">
        <v>30</v>
      </c>
      <c r="L15" s="8" t="s">
        <v>58</v>
      </c>
      <c r="M15" s="8">
        <v>2</v>
      </c>
      <c r="N15" s="8" t="s">
        <v>72</v>
      </c>
      <c r="O15" s="8" t="s">
        <v>63</v>
      </c>
      <c r="P15" s="8">
        <v>1</v>
      </c>
      <c r="Q15" s="8">
        <v>1</v>
      </c>
      <c r="R15" s="8">
        <v>1</v>
      </c>
      <c r="S15" s="8">
        <v>0</v>
      </c>
      <c r="T15" s="8">
        <v>0</v>
      </c>
      <c r="U15" s="8">
        <v>0</v>
      </c>
      <c r="V15" s="8">
        <v>0</v>
      </c>
      <c r="W15" s="8">
        <v>0</v>
      </c>
      <c r="X15" s="8">
        <v>0</v>
      </c>
      <c r="Y15" s="8">
        <v>0</v>
      </c>
      <c r="Z15" s="8" t="s">
        <v>21</v>
      </c>
      <c r="AA15" s="8" t="s">
        <v>23</v>
      </c>
      <c r="AB15" s="8" t="s">
        <v>24</v>
      </c>
      <c r="AC15" s="8" t="s">
        <v>21</v>
      </c>
    </row>
    <row r="16" spans="1:29" x14ac:dyDescent="0.3">
      <c r="A16" s="5">
        <v>15</v>
      </c>
      <c r="B16" s="5">
        <v>1</v>
      </c>
      <c r="C16" s="5">
        <v>1</v>
      </c>
      <c r="D16" s="5">
        <v>0</v>
      </c>
      <c r="E16" s="5">
        <v>0</v>
      </c>
      <c r="F16" s="5">
        <v>0</v>
      </c>
      <c r="G16" s="5">
        <v>1</v>
      </c>
      <c r="H16" s="6" t="s">
        <v>27</v>
      </c>
      <c r="I16" s="6" t="s">
        <v>352</v>
      </c>
      <c r="J16" s="6" t="s">
        <v>29</v>
      </c>
      <c r="K16" s="6" t="s">
        <v>49</v>
      </c>
      <c r="L16" s="6" t="s">
        <v>58</v>
      </c>
      <c r="M16" s="6">
        <v>5</v>
      </c>
      <c r="N16" s="6" t="s">
        <v>45</v>
      </c>
      <c r="O16" s="6" t="s">
        <v>63</v>
      </c>
      <c r="P16" s="6">
        <v>1</v>
      </c>
      <c r="Q16" s="6">
        <v>1</v>
      </c>
      <c r="R16" s="6">
        <v>0</v>
      </c>
      <c r="S16" s="6">
        <v>1</v>
      </c>
      <c r="T16" s="6">
        <v>0</v>
      </c>
      <c r="U16" s="6">
        <v>1</v>
      </c>
      <c r="V16" s="6">
        <v>0</v>
      </c>
      <c r="W16" s="6">
        <v>0</v>
      </c>
      <c r="X16" s="6">
        <v>0</v>
      </c>
      <c r="Y16" s="6">
        <v>1</v>
      </c>
      <c r="Z16" s="6" t="s">
        <v>21</v>
      </c>
      <c r="AA16" s="6" t="s">
        <v>23</v>
      </c>
      <c r="AB16" s="6" t="s">
        <v>24</v>
      </c>
      <c r="AC16" s="6" t="s">
        <v>48</v>
      </c>
    </row>
    <row r="17" spans="1:29" x14ac:dyDescent="0.3">
      <c r="A17" s="7">
        <v>16</v>
      </c>
      <c r="B17" s="7">
        <v>0</v>
      </c>
      <c r="C17" s="7">
        <v>1</v>
      </c>
      <c r="D17" s="7">
        <v>0</v>
      </c>
      <c r="E17" s="7">
        <v>0</v>
      </c>
      <c r="F17" s="7">
        <v>1</v>
      </c>
      <c r="G17" s="7">
        <v>1</v>
      </c>
      <c r="H17" s="8" t="s">
        <v>27</v>
      </c>
      <c r="I17" s="8" t="s">
        <v>43</v>
      </c>
      <c r="J17" s="8" t="s">
        <v>29</v>
      </c>
      <c r="K17" s="8" t="s">
        <v>15</v>
      </c>
      <c r="L17" s="8" t="s">
        <v>51</v>
      </c>
      <c r="M17" s="8">
        <v>5</v>
      </c>
      <c r="N17" s="8" t="s">
        <v>45</v>
      </c>
      <c r="O17" s="8" t="s">
        <v>46</v>
      </c>
      <c r="P17" s="8">
        <v>1</v>
      </c>
      <c r="Q17" s="8">
        <v>1</v>
      </c>
      <c r="R17" s="8">
        <v>0</v>
      </c>
      <c r="S17" s="8">
        <v>1</v>
      </c>
      <c r="T17" s="8">
        <v>1</v>
      </c>
      <c r="U17" s="8">
        <v>1</v>
      </c>
      <c r="V17" s="8">
        <v>1</v>
      </c>
      <c r="W17" s="8">
        <v>1</v>
      </c>
      <c r="X17" s="8">
        <v>0</v>
      </c>
      <c r="Y17" s="8">
        <v>1</v>
      </c>
      <c r="Z17" s="8" t="s">
        <v>21</v>
      </c>
      <c r="AA17" s="8" t="s">
        <v>23</v>
      </c>
      <c r="AB17" s="8" t="s">
        <v>24</v>
      </c>
      <c r="AC17" s="8" t="s">
        <v>25</v>
      </c>
    </row>
    <row r="18" spans="1:29" x14ac:dyDescent="0.3">
      <c r="A18" s="5">
        <v>17</v>
      </c>
      <c r="B18" s="5">
        <v>0</v>
      </c>
      <c r="C18" s="5">
        <v>0</v>
      </c>
      <c r="D18" s="5">
        <v>0</v>
      </c>
      <c r="E18" s="5">
        <v>0</v>
      </c>
      <c r="F18" s="5">
        <v>1</v>
      </c>
      <c r="G18" s="5">
        <v>0</v>
      </c>
      <c r="H18" s="6" t="s">
        <v>15</v>
      </c>
      <c r="I18" s="6" t="s">
        <v>353</v>
      </c>
      <c r="J18" s="6" t="s">
        <v>17</v>
      </c>
      <c r="K18" s="6" t="s">
        <v>30</v>
      </c>
      <c r="L18" s="6" t="s">
        <v>58</v>
      </c>
      <c r="M18" s="6">
        <v>4</v>
      </c>
      <c r="N18" s="6" t="s">
        <v>45</v>
      </c>
      <c r="O18" s="6" t="s">
        <v>63</v>
      </c>
      <c r="P18" s="6">
        <v>1</v>
      </c>
      <c r="Q18" s="6">
        <v>0</v>
      </c>
      <c r="R18" s="6">
        <v>0</v>
      </c>
      <c r="S18" s="6">
        <v>1</v>
      </c>
      <c r="T18" s="6">
        <v>1</v>
      </c>
      <c r="U18" s="6">
        <v>0</v>
      </c>
      <c r="V18" s="6">
        <v>1</v>
      </c>
      <c r="W18" s="6">
        <v>1</v>
      </c>
      <c r="X18" s="6">
        <v>0</v>
      </c>
      <c r="Y18" s="6">
        <v>0</v>
      </c>
      <c r="Z18" s="6" t="s">
        <v>25</v>
      </c>
      <c r="AA18" s="6" t="s">
        <v>23</v>
      </c>
      <c r="AB18" s="6" t="s">
        <v>24</v>
      </c>
      <c r="AC18" s="6" t="s">
        <v>48</v>
      </c>
    </row>
    <row r="19" spans="1:29" x14ac:dyDescent="0.3">
      <c r="A19" s="7">
        <v>18</v>
      </c>
      <c r="B19" s="7">
        <v>0</v>
      </c>
      <c r="C19" s="7">
        <v>0</v>
      </c>
      <c r="D19" s="7">
        <v>0</v>
      </c>
      <c r="E19" s="7">
        <v>0</v>
      </c>
      <c r="F19" s="7">
        <v>0</v>
      </c>
      <c r="G19" s="7">
        <v>1</v>
      </c>
      <c r="H19" s="8" t="s">
        <v>15</v>
      </c>
      <c r="I19" s="8" t="s">
        <v>43</v>
      </c>
      <c r="J19" s="8" t="s">
        <v>37</v>
      </c>
      <c r="K19" s="8" t="s">
        <v>30</v>
      </c>
      <c r="L19" s="8" t="s">
        <v>51</v>
      </c>
      <c r="M19" s="8">
        <v>3</v>
      </c>
      <c r="N19" s="8" t="s">
        <v>45</v>
      </c>
      <c r="O19" s="8" t="s">
        <v>52</v>
      </c>
      <c r="P19" s="8">
        <v>0</v>
      </c>
      <c r="Q19" s="8">
        <v>0</v>
      </c>
      <c r="R19" s="8">
        <v>1</v>
      </c>
      <c r="S19" s="8">
        <v>0</v>
      </c>
      <c r="T19" s="8">
        <v>0</v>
      </c>
      <c r="U19" s="8">
        <v>0</v>
      </c>
      <c r="V19" s="8">
        <v>0</v>
      </c>
      <c r="W19" s="8">
        <v>0</v>
      </c>
      <c r="X19" s="8">
        <v>0</v>
      </c>
      <c r="Y19" s="8">
        <v>0</v>
      </c>
      <c r="Z19" s="8" t="s">
        <v>21</v>
      </c>
      <c r="AA19" s="8" t="s">
        <v>40</v>
      </c>
      <c r="AB19" s="8" t="s">
        <v>24</v>
      </c>
      <c r="AC19" s="8" t="s">
        <v>25</v>
      </c>
    </row>
    <row r="20" spans="1:29" x14ac:dyDescent="0.3">
      <c r="A20" s="5">
        <v>19</v>
      </c>
      <c r="B20" s="5">
        <v>0</v>
      </c>
      <c r="C20" s="5">
        <v>1</v>
      </c>
      <c r="D20" s="5">
        <v>0</v>
      </c>
      <c r="E20" s="5">
        <v>0</v>
      </c>
      <c r="F20" s="5">
        <v>0</v>
      </c>
      <c r="G20" s="5">
        <v>0</v>
      </c>
      <c r="H20" s="6" t="s">
        <v>15</v>
      </c>
      <c r="I20" s="6" t="s">
        <v>43</v>
      </c>
      <c r="J20" s="6" t="s">
        <v>29</v>
      </c>
      <c r="K20" s="6" t="s">
        <v>15</v>
      </c>
      <c r="L20" s="6" t="s">
        <v>44</v>
      </c>
      <c r="M20" s="6">
        <v>2</v>
      </c>
      <c r="N20" s="6" t="s">
        <v>45</v>
      </c>
      <c r="O20" s="6" t="s">
        <v>63</v>
      </c>
      <c r="P20" s="6">
        <v>1</v>
      </c>
      <c r="Q20" s="6">
        <v>0</v>
      </c>
      <c r="R20" s="6">
        <v>0</v>
      </c>
      <c r="S20" s="6">
        <v>1</v>
      </c>
      <c r="T20" s="6">
        <v>0</v>
      </c>
      <c r="U20" s="6">
        <v>1</v>
      </c>
      <c r="V20" s="6">
        <v>0</v>
      </c>
      <c r="W20" s="6">
        <v>0</v>
      </c>
      <c r="X20" s="6">
        <v>1</v>
      </c>
      <c r="Y20" s="6">
        <v>0</v>
      </c>
      <c r="Z20" s="6" t="s">
        <v>21</v>
      </c>
      <c r="AA20" s="6" t="s">
        <v>23</v>
      </c>
      <c r="AB20" s="6" t="s">
        <v>24</v>
      </c>
      <c r="AC20" s="6" t="s">
        <v>82</v>
      </c>
    </row>
    <row r="21" spans="1:29" x14ac:dyDescent="0.3">
      <c r="A21" s="7">
        <v>20</v>
      </c>
      <c r="B21" s="7">
        <v>0</v>
      </c>
      <c r="C21" s="7">
        <v>1</v>
      </c>
      <c r="D21" s="7">
        <v>0</v>
      </c>
      <c r="E21" s="7">
        <v>0</v>
      </c>
      <c r="F21" s="7">
        <v>1</v>
      </c>
      <c r="G21" s="7">
        <v>1</v>
      </c>
      <c r="H21" s="8" t="s">
        <v>15</v>
      </c>
      <c r="I21" s="8" t="s">
        <v>83</v>
      </c>
      <c r="J21" s="8" t="s">
        <v>17</v>
      </c>
      <c r="K21" s="8" t="s">
        <v>18</v>
      </c>
      <c r="L21" s="8" t="s">
        <v>51</v>
      </c>
      <c r="M21" s="8">
        <v>5</v>
      </c>
      <c r="N21" s="8" t="s">
        <v>84</v>
      </c>
      <c r="O21" s="8" t="s">
        <v>63</v>
      </c>
      <c r="P21" s="8">
        <v>1</v>
      </c>
      <c r="Q21" s="8">
        <v>1</v>
      </c>
      <c r="R21" s="8">
        <v>1</v>
      </c>
      <c r="S21" s="8">
        <v>1</v>
      </c>
      <c r="T21" s="8">
        <v>1</v>
      </c>
      <c r="U21" s="8">
        <v>0</v>
      </c>
      <c r="V21" s="8">
        <v>0</v>
      </c>
      <c r="W21" s="8">
        <v>0</v>
      </c>
      <c r="X21" s="8">
        <v>0</v>
      </c>
      <c r="Y21" s="8">
        <v>0</v>
      </c>
      <c r="Z21" s="8" t="s">
        <v>21</v>
      </c>
      <c r="AA21" s="8" t="s">
        <v>34</v>
      </c>
      <c r="AB21" s="8" t="s">
        <v>24</v>
      </c>
      <c r="AC21" s="8" t="s">
        <v>21</v>
      </c>
    </row>
    <row r="22" spans="1:29" x14ac:dyDescent="0.3">
      <c r="A22" s="5">
        <v>21</v>
      </c>
      <c r="B22" s="5">
        <v>0</v>
      </c>
      <c r="C22" s="5">
        <v>1</v>
      </c>
      <c r="D22" s="5">
        <v>0</v>
      </c>
      <c r="E22" s="5">
        <v>0</v>
      </c>
      <c r="F22" s="5">
        <v>0</v>
      </c>
      <c r="G22" s="5">
        <v>1</v>
      </c>
      <c r="H22" s="6" t="s">
        <v>49</v>
      </c>
      <c r="I22" s="6" t="s">
        <v>43</v>
      </c>
      <c r="J22" s="6" t="s">
        <v>50</v>
      </c>
      <c r="K22" s="6" t="s">
        <v>30</v>
      </c>
      <c r="L22" s="6" t="s">
        <v>51</v>
      </c>
      <c r="M22" s="6">
        <v>5</v>
      </c>
      <c r="N22" s="6" t="s">
        <v>45</v>
      </c>
      <c r="O22" s="6" t="s">
        <v>46</v>
      </c>
      <c r="P22" s="6">
        <v>1</v>
      </c>
      <c r="Q22" s="6">
        <v>1</v>
      </c>
      <c r="R22" s="6">
        <v>1</v>
      </c>
      <c r="S22" s="6">
        <v>1</v>
      </c>
      <c r="T22" s="6">
        <v>1</v>
      </c>
      <c r="U22" s="6">
        <v>1</v>
      </c>
      <c r="V22" s="6">
        <v>1</v>
      </c>
      <c r="W22" s="6">
        <v>1</v>
      </c>
      <c r="X22" s="6">
        <v>1</v>
      </c>
      <c r="Y22" s="6">
        <v>1</v>
      </c>
      <c r="Z22" s="6" t="s">
        <v>21</v>
      </c>
      <c r="AA22" s="6" t="s">
        <v>23</v>
      </c>
      <c r="AB22" s="6" t="s">
        <v>24</v>
      </c>
      <c r="AC22" s="6" t="s">
        <v>48</v>
      </c>
    </row>
    <row r="23" spans="1:29" x14ac:dyDescent="0.3">
      <c r="A23" s="7">
        <v>22</v>
      </c>
      <c r="B23" s="7">
        <v>1</v>
      </c>
      <c r="C23" s="7">
        <v>1</v>
      </c>
      <c r="D23" s="7">
        <v>0</v>
      </c>
      <c r="E23" s="7">
        <v>0</v>
      </c>
      <c r="F23" s="7">
        <v>1</v>
      </c>
      <c r="G23" s="7">
        <v>1</v>
      </c>
      <c r="H23" s="8" t="s">
        <v>27</v>
      </c>
      <c r="I23" s="8" t="s">
        <v>16</v>
      </c>
      <c r="J23" s="8" t="s">
        <v>50</v>
      </c>
      <c r="K23" s="8" t="s">
        <v>49</v>
      </c>
      <c r="L23" s="8" t="s">
        <v>44</v>
      </c>
      <c r="M23" s="8">
        <v>5</v>
      </c>
      <c r="N23" s="8" t="s">
        <v>45</v>
      </c>
      <c r="O23" s="8" t="s">
        <v>46</v>
      </c>
      <c r="P23" s="8">
        <v>1</v>
      </c>
      <c r="Q23" s="8">
        <v>1</v>
      </c>
      <c r="R23" s="8">
        <v>1</v>
      </c>
      <c r="S23" s="8">
        <v>1</v>
      </c>
      <c r="T23" s="8">
        <v>1</v>
      </c>
      <c r="U23" s="8">
        <v>1</v>
      </c>
      <c r="V23" s="8">
        <v>1</v>
      </c>
      <c r="W23" s="8">
        <v>1</v>
      </c>
      <c r="X23" s="8">
        <v>1</v>
      </c>
      <c r="Y23" s="8">
        <v>0</v>
      </c>
      <c r="Z23" s="8" t="s">
        <v>21</v>
      </c>
      <c r="AA23" s="8" t="s">
        <v>23</v>
      </c>
      <c r="AB23" s="8" t="s">
        <v>24</v>
      </c>
      <c r="AC23" s="8" t="s">
        <v>25</v>
      </c>
    </row>
    <row r="24" spans="1:29" x14ac:dyDescent="0.3">
      <c r="A24" s="5">
        <v>23</v>
      </c>
      <c r="B24" s="5">
        <v>1</v>
      </c>
      <c r="C24" s="5">
        <v>1</v>
      </c>
      <c r="D24" s="5">
        <v>0</v>
      </c>
      <c r="E24" s="5">
        <v>0</v>
      </c>
      <c r="F24" s="5">
        <v>1</v>
      </c>
      <c r="G24" s="5">
        <v>1</v>
      </c>
      <c r="H24" s="6" t="s">
        <v>15</v>
      </c>
      <c r="I24" s="6" t="s">
        <v>16</v>
      </c>
      <c r="J24" s="6" t="s">
        <v>29</v>
      </c>
      <c r="K24" s="6" t="s">
        <v>30</v>
      </c>
      <c r="L24" s="6" t="s">
        <v>70</v>
      </c>
      <c r="M24" s="6">
        <v>5</v>
      </c>
      <c r="N24" s="6" t="s">
        <v>72</v>
      </c>
      <c r="O24" s="6" t="s">
        <v>63</v>
      </c>
      <c r="P24" s="6">
        <v>0</v>
      </c>
      <c r="Q24" s="6">
        <v>0</v>
      </c>
      <c r="R24" s="6">
        <v>0</v>
      </c>
      <c r="S24" s="6">
        <v>0</v>
      </c>
      <c r="T24" s="6">
        <v>0</v>
      </c>
      <c r="U24" s="6">
        <v>1</v>
      </c>
      <c r="V24" s="6">
        <v>1</v>
      </c>
      <c r="W24" s="6">
        <v>1</v>
      </c>
      <c r="X24" s="6">
        <v>1</v>
      </c>
      <c r="Y24" s="6">
        <v>0</v>
      </c>
      <c r="Z24" s="6" t="s">
        <v>21</v>
      </c>
      <c r="AA24" s="6" t="s">
        <v>34</v>
      </c>
      <c r="AB24" s="6" t="s">
        <v>54</v>
      </c>
      <c r="AC24" s="6" t="s">
        <v>48</v>
      </c>
    </row>
    <row r="25" spans="1:29" x14ac:dyDescent="0.3">
      <c r="A25" s="7">
        <v>24</v>
      </c>
      <c r="B25" s="7">
        <v>0</v>
      </c>
      <c r="C25" s="7">
        <v>1</v>
      </c>
      <c r="D25" s="7">
        <v>0</v>
      </c>
      <c r="E25" s="7">
        <v>0</v>
      </c>
      <c r="F25" s="7">
        <v>0</v>
      </c>
      <c r="G25" s="7">
        <v>0</v>
      </c>
      <c r="H25" s="8" t="s">
        <v>49</v>
      </c>
      <c r="I25" s="8" t="s">
        <v>43</v>
      </c>
      <c r="J25" s="8" t="s">
        <v>29</v>
      </c>
      <c r="K25" s="8" t="s">
        <v>30</v>
      </c>
      <c r="L25" s="8" t="s">
        <v>44</v>
      </c>
      <c r="M25" s="8">
        <v>4</v>
      </c>
      <c r="N25" s="8" t="s">
        <v>45</v>
      </c>
      <c r="O25" s="8" t="s">
        <v>46</v>
      </c>
      <c r="P25" s="8">
        <v>1</v>
      </c>
      <c r="Q25" s="8">
        <v>0</v>
      </c>
      <c r="R25" s="8">
        <v>0</v>
      </c>
      <c r="S25" s="8">
        <v>0</v>
      </c>
      <c r="T25" s="8">
        <v>0</v>
      </c>
      <c r="U25" s="8">
        <v>0</v>
      </c>
      <c r="V25" s="8">
        <v>0</v>
      </c>
      <c r="W25" s="8">
        <v>0</v>
      </c>
      <c r="X25" s="8">
        <v>0</v>
      </c>
      <c r="Y25" s="8">
        <v>0</v>
      </c>
      <c r="Z25" s="8" t="s">
        <v>21</v>
      </c>
      <c r="AA25" s="8" t="s">
        <v>34</v>
      </c>
      <c r="AB25" s="8" t="s">
        <v>88</v>
      </c>
      <c r="AC25" s="8" t="s">
        <v>48</v>
      </c>
    </row>
    <row r="26" spans="1:29" x14ac:dyDescent="0.3">
      <c r="A26" s="5">
        <v>25</v>
      </c>
      <c r="B26" s="5">
        <v>0</v>
      </c>
      <c r="C26" s="5">
        <v>1</v>
      </c>
      <c r="D26" s="5">
        <v>0</v>
      </c>
      <c r="E26" s="5">
        <v>0</v>
      </c>
      <c r="F26" s="5">
        <v>0</v>
      </c>
      <c r="G26" s="5">
        <v>0</v>
      </c>
      <c r="H26" s="6" t="s">
        <v>49</v>
      </c>
      <c r="I26" s="6" t="s">
        <v>43</v>
      </c>
      <c r="J26" s="6" t="s">
        <v>356</v>
      </c>
      <c r="K26" s="6" t="s">
        <v>15</v>
      </c>
      <c r="L26" s="6" t="s">
        <v>51</v>
      </c>
      <c r="M26" s="6">
        <v>5</v>
      </c>
      <c r="N26" s="6" t="s">
        <v>45</v>
      </c>
      <c r="O26" s="6" t="s">
        <v>63</v>
      </c>
      <c r="P26" s="6">
        <v>1</v>
      </c>
      <c r="Q26" s="6">
        <v>0</v>
      </c>
      <c r="R26" s="6">
        <v>1</v>
      </c>
      <c r="S26" s="6">
        <v>0</v>
      </c>
      <c r="T26" s="6">
        <v>0</v>
      </c>
      <c r="U26" s="6">
        <v>0</v>
      </c>
      <c r="V26" s="6">
        <v>0</v>
      </c>
      <c r="W26" s="6">
        <v>0</v>
      </c>
      <c r="X26" s="6">
        <v>0</v>
      </c>
      <c r="Y26" s="6">
        <v>0</v>
      </c>
      <c r="Z26" s="6" t="s">
        <v>21</v>
      </c>
      <c r="AA26" s="6" t="s">
        <v>23</v>
      </c>
      <c r="AB26" s="6" t="s">
        <v>54</v>
      </c>
      <c r="AC26" s="6" t="s">
        <v>25</v>
      </c>
    </row>
    <row r="27" spans="1:29" x14ac:dyDescent="0.3">
      <c r="A27" s="7">
        <v>26</v>
      </c>
      <c r="B27" s="7">
        <v>1</v>
      </c>
      <c r="C27" s="7">
        <v>1</v>
      </c>
      <c r="D27" s="7">
        <v>1</v>
      </c>
      <c r="E27" s="7">
        <v>0</v>
      </c>
      <c r="F27" s="7">
        <v>1</v>
      </c>
      <c r="G27" s="7">
        <v>1</v>
      </c>
      <c r="H27" s="8" t="s">
        <v>27</v>
      </c>
      <c r="I27" s="8" t="s">
        <v>43</v>
      </c>
      <c r="J27" s="8" t="s">
        <v>37</v>
      </c>
      <c r="K27" s="8" t="s">
        <v>30</v>
      </c>
      <c r="L27" s="8" t="s">
        <v>44</v>
      </c>
      <c r="M27" s="8">
        <v>5</v>
      </c>
      <c r="N27" s="8" t="s">
        <v>45</v>
      </c>
      <c r="O27" s="8" t="s">
        <v>46</v>
      </c>
      <c r="P27" s="8">
        <v>1</v>
      </c>
      <c r="Q27" s="8">
        <v>1</v>
      </c>
      <c r="R27" s="8">
        <v>1</v>
      </c>
      <c r="S27" s="8">
        <v>1</v>
      </c>
      <c r="T27" s="8">
        <v>1</v>
      </c>
      <c r="U27" s="8">
        <v>0</v>
      </c>
      <c r="V27" s="8">
        <v>0</v>
      </c>
      <c r="W27" s="8">
        <v>0</v>
      </c>
      <c r="X27" s="8">
        <v>0</v>
      </c>
      <c r="Y27" s="8">
        <v>0</v>
      </c>
      <c r="Z27" s="8" t="s">
        <v>25</v>
      </c>
      <c r="AA27" s="8" t="s">
        <v>23</v>
      </c>
      <c r="AB27" s="8" t="s">
        <v>24</v>
      </c>
      <c r="AC27" s="8" t="s">
        <v>48</v>
      </c>
    </row>
    <row r="28" spans="1:29" x14ac:dyDescent="0.3">
      <c r="A28" s="5">
        <v>27</v>
      </c>
      <c r="B28" s="5">
        <v>0</v>
      </c>
      <c r="C28" s="5">
        <v>1</v>
      </c>
      <c r="D28" s="5">
        <v>0</v>
      </c>
      <c r="E28" s="5">
        <v>0</v>
      </c>
      <c r="F28" s="5">
        <v>0</v>
      </c>
      <c r="G28" s="5">
        <v>0</v>
      </c>
      <c r="H28" s="6" t="s">
        <v>27</v>
      </c>
      <c r="I28" s="6" t="s">
        <v>43</v>
      </c>
      <c r="J28" s="6" t="s">
        <v>356</v>
      </c>
      <c r="K28" s="6" t="s">
        <v>49</v>
      </c>
      <c r="L28" s="6" t="s">
        <v>51</v>
      </c>
      <c r="M28" s="6">
        <v>5</v>
      </c>
      <c r="N28" s="6" t="s">
        <v>45</v>
      </c>
      <c r="O28" s="6" t="s">
        <v>63</v>
      </c>
      <c r="P28" s="6">
        <v>0</v>
      </c>
      <c r="Q28" s="6">
        <v>0</v>
      </c>
      <c r="R28" s="6">
        <v>0</v>
      </c>
      <c r="S28" s="6">
        <v>0</v>
      </c>
      <c r="T28" s="6">
        <v>0</v>
      </c>
      <c r="U28" s="6">
        <v>0</v>
      </c>
      <c r="V28" s="6">
        <v>0</v>
      </c>
      <c r="W28" s="6">
        <v>0</v>
      </c>
      <c r="X28" s="6">
        <v>1</v>
      </c>
      <c r="Y28" s="6">
        <v>0</v>
      </c>
      <c r="Z28" s="6" t="s">
        <v>21</v>
      </c>
      <c r="AA28" s="6" t="s">
        <v>23</v>
      </c>
      <c r="AB28" s="6" t="s">
        <v>24</v>
      </c>
      <c r="AC28" s="6" t="s">
        <v>25</v>
      </c>
    </row>
    <row r="29" spans="1:29" x14ac:dyDescent="0.3">
      <c r="A29" s="7">
        <v>28</v>
      </c>
      <c r="B29" s="7">
        <v>1</v>
      </c>
      <c r="C29" s="7">
        <v>1</v>
      </c>
      <c r="D29" s="7">
        <v>0</v>
      </c>
      <c r="E29" s="7">
        <v>0</v>
      </c>
      <c r="F29" s="7">
        <v>1</v>
      </c>
      <c r="G29" s="7">
        <v>0</v>
      </c>
      <c r="H29" s="8" t="s">
        <v>42</v>
      </c>
      <c r="I29" s="8" t="s">
        <v>43</v>
      </c>
      <c r="J29" s="8" t="s">
        <v>50</v>
      </c>
      <c r="K29" s="8" t="s">
        <v>15</v>
      </c>
      <c r="L29" s="8" t="s">
        <v>58</v>
      </c>
      <c r="M29" s="8">
        <v>4</v>
      </c>
      <c r="N29" s="8" t="s">
        <v>45</v>
      </c>
      <c r="O29" s="8" t="s">
        <v>46</v>
      </c>
      <c r="P29" s="8">
        <v>1</v>
      </c>
      <c r="Q29" s="8">
        <v>1</v>
      </c>
      <c r="R29" s="8">
        <v>1</v>
      </c>
      <c r="S29" s="8">
        <v>0</v>
      </c>
      <c r="T29" s="8">
        <v>1</v>
      </c>
      <c r="U29" s="8">
        <v>0</v>
      </c>
      <c r="V29" s="8">
        <v>1</v>
      </c>
      <c r="W29" s="8">
        <v>0</v>
      </c>
      <c r="X29" s="8">
        <v>0</v>
      </c>
      <c r="Y29" s="8">
        <v>1</v>
      </c>
      <c r="Z29" s="8" t="s">
        <v>21</v>
      </c>
      <c r="AA29" s="8" t="s">
        <v>40</v>
      </c>
      <c r="AB29" s="8" t="s">
        <v>24</v>
      </c>
      <c r="AC29" s="8" t="s">
        <v>21</v>
      </c>
    </row>
    <row r="30" spans="1:29" x14ac:dyDescent="0.3">
      <c r="A30" s="5">
        <v>29</v>
      </c>
      <c r="B30" s="5">
        <v>0</v>
      </c>
      <c r="C30" s="5">
        <v>0</v>
      </c>
      <c r="D30" s="5">
        <v>0</v>
      </c>
      <c r="E30" s="5">
        <v>0</v>
      </c>
      <c r="F30" s="5">
        <v>0</v>
      </c>
      <c r="G30" s="5">
        <v>1</v>
      </c>
      <c r="H30" s="6" t="s">
        <v>27</v>
      </c>
      <c r="I30" s="6" t="s">
        <v>117</v>
      </c>
      <c r="J30" s="6" t="s">
        <v>356</v>
      </c>
      <c r="K30" s="6" t="s">
        <v>30</v>
      </c>
      <c r="L30" s="6" t="s">
        <v>51</v>
      </c>
      <c r="M30" s="6">
        <v>4</v>
      </c>
      <c r="N30" s="6" t="s">
        <v>59</v>
      </c>
      <c r="O30" s="6" t="s">
        <v>52</v>
      </c>
      <c r="P30" s="6">
        <v>0</v>
      </c>
      <c r="Q30" s="6">
        <v>0</v>
      </c>
      <c r="R30" s="6">
        <v>0</v>
      </c>
      <c r="S30" s="6">
        <v>1</v>
      </c>
      <c r="T30" s="6">
        <v>0</v>
      </c>
      <c r="U30" s="6">
        <v>1</v>
      </c>
      <c r="V30" s="6">
        <v>0</v>
      </c>
      <c r="W30" s="6">
        <v>1</v>
      </c>
      <c r="X30" s="6">
        <v>0</v>
      </c>
      <c r="Y30" s="6">
        <v>1</v>
      </c>
      <c r="Z30" s="6" t="s">
        <v>25</v>
      </c>
      <c r="AA30" s="6" t="s">
        <v>34</v>
      </c>
      <c r="AB30" s="6" t="s">
        <v>54</v>
      </c>
      <c r="AC30" s="6" t="s">
        <v>25</v>
      </c>
    </row>
    <row r="31" spans="1:29" x14ac:dyDescent="0.3">
      <c r="A31" s="7">
        <v>30</v>
      </c>
      <c r="B31" s="7">
        <v>0</v>
      </c>
      <c r="C31" s="7">
        <v>1</v>
      </c>
      <c r="D31" s="7">
        <v>0</v>
      </c>
      <c r="E31" s="7">
        <v>0</v>
      </c>
      <c r="F31" s="7">
        <v>0</v>
      </c>
      <c r="G31" s="7">
        <v>0</v>
      </c>
      <c r="H31" s="8" t="s">
        <v>27</v>
      </c>
      <c r="I31" s="8" t="s">
        <v>83</v>
      </c>
      <c r="J31" s="8" t="s">
        <v>356</v>
      </c>
      <c r="K31" s="8" t="s">
        <v>15</v>
      </c>
      <c r="L31" s="8" t="s">
        <v>58</v>
      </c>
      <c r="M31" s="8">
        <v>1</v>
      </c>
      <c r="N31" s="8" t="s">
        <v>45</v>
      </c>
      <c r="O31" s="8" t="s">
        <v>46</v>
      </c>
      <c r="P31" s="8">
        <v>1</v>
      </c>
      <c r="Q31" s="8">
        <v>1</v>
      </c>
      <c r="R31" s="8">
        <v>0</v>
      </c>
      <c r="S31" s="8">
        <v>1</v>
      </c>
      <c r="T31" s="8">
        <v>1</v>
      </c>
      <c r="U31" s="8">
        <v>1</v>
      </c>
      <c r="V31" s="8">
        <v>1</v>
      </c>
      <c r="W31" s="8">
        <v>0</v>
      </c>
      <c r="X31" s="8">
        <v>0</v>
      </c>
      <c r="Y31" s="8">
        <v>0</v>
      </c>
      <c r="Z31" s="8" t="s">
        <v>21</v>
      </c>
      <c r="AA31" s="8" t="s">
        <v>23</v>
      </c>
      <c r="AB31" s="8" t="s">
        <v>24</v>
      </c>
      <c r="AC31" s="8" t="s">
        <v>21</v>
      </c>
    </row>
    <row r="32" spans="1:29" x14ac:dyDescent="0.3">
      <c r="A32" s="5">
        <v>31</v>
      </c>
      <c r="B32" s="5">
        <v>0</v>
      </c>
      <c r="C32" s="5">
        <v>0</v>
      </c>
      <c r="D32" s="5">
        <v>0</v>
      </c>
      <c r="E32" s="5">
        <v>0</v>
      </c>
      <c r="F32" s="5">
        <v>0</v>
      </c>
      <c r="G32" s="5">
        <v>1</v>
      </c>
      <c r="H32" s="6" t="s">
        <v>27</v>
      </c>
      <c r="I32" s="6" t="s">
        <v>36</v>
      </c>
      <c r="J32" s="6" t="s">
        <v>37</v>
      </c>
      <c r="K32" s="6" t="s">
        <v>49</v>
      </c>
      <c r="L32" s="6" t="s">
        <v>44</v>
      </c>
      <c r="M32" s="6">
        <v>2</v>
      </c>
      <c r="N32" s="6" t="s">
        <v>45</v>
      </c>
      <c r="O32" s="6" t="s">
        <v>63</v>
      </c>
      <c r="P32" s="6">
        <v>0</v>
      </c>
      <c r="Q32" s="6">
        <v>0</v>
      </c>
      <c r="R32" s="6">
        <v>0</v>
      </c>
      <c r="S32" s="6">
        <v>1</v>
      </c>
      <c r="T32" s="6">
        <v>0</v>
      </c>
      <c r="U32" s="6">
        <v>0</v>
      </c>
      <c r="V32" s="6">
        <v>0</v>
      </c>
      <c r="W32" s="6">
        <v>0</v>
      </c>
      <c r="X32" s="6">
        <v>0</v>
      </c>
      <c r="Y32" s="6">
        <v>0</v>
      </c>
      <c r="Z32" s="6" t="s">
        <v>21</v>
      </c>
      <c r="AA32" s="6" t="s">
        <v>23</v>
      </c>
      <c r="AB32" s="6" t="s">
        <v>24</v>
      </c>
      <c r="AC32" s="6" t="s">
        <v>48</v>
      </c>
    </row>
    <row r="33" spans="1:29" x14ac:dyDescent="0.3">
      <c r="A33" s="7">
        <v>32</v>
      </c>
      <c r="B33" s="7">
        <v>0</v>
      </c>
      <c r="C33" s="7">
        <v>0</v>
      </c>
      <c r="D33" s="7">
        <v>1</v>
      </c>
      <c r="E33" s="7">
        <v>0</v>
      </c>
      <c r="F33" s="7">
        <v>0</v>
      </c>
      <c r="G33" s="7">
        <v>0</v>
      </c>
      <c r="H33" s="8" t="s">
        <v>49</v>
      </c>
      <c r="I33" s="8" t="s">
        <v>43</v>
      </c>
      <c r="J33" s="8" t="s">
        <v>98</v>
      </c>
      <c r="K33" s="8" t="s">
        <v>30</v>
      </c>
      <c r="L33" s="8" t="s">
        <v>51</v>
      </c>
      <c r="M33" s="8">
        <v>2</v>
      </c>
      <c r="N33" s="8" t="s">
        <v>45</v>
      </c>
      <c r="O33" s="8" t="s">
        <v>52</v>
      </c>
      <c r="P33" s="8">
        <v>1</v>
      </c>
      <c r="Q33" s="8">
        <v>1</v>
      </c>
      <c r="R33" s="8">
        <v>0</v>
      </c>
      <c r="S33" s="8">
        <v>0</v>
      </c>
      <c r="T33" s="8">
        <v>0</v>
      </c>
      <c r="U33" s="8">
        <v>0</v>
      </c>
      <c r="V33" s="8">
        <v>0</v>
      </c>
      <c r="W33" s="8">
        <v>0</v>
      </c>
      <c r="X33" s="8">
        <v>0</v>
      </c>
      <c r="Y33" s="8">
        <v>0</v>
      </c>
      <c r="Z33" s="8" t="s">
        <v>25</v>
      </c>
      <c r="AA33" s="8" t="s">
        <v>34</v>
      </c>
      <c r="AB33" s="8" t="s">
        <v>24</v>
      </c>
      <c r="AC33" s="8" t="s">
        <v>21</v>
      </c>
    </row>
    <row r="34" spans="1:29" x14ac:dyDescent="0.3">
      <c r="A34" s="5">
        <v>33</v>
      </c>
      <c r="B34" s="5">
        <v>1</v>
      </c>
      <c r="C34" s="5">
        <v>0</v>
      </c>
      <c r="D34" s="5">
        <v>0</v>
      </c>
      <c r="E34" s="5">
        <v>0</v>
      </c>
      <c r="F34" s="5">
        <v>0</v>
      </c>
      <c r="G34" s="5">
        <v>0</v>
      </c>
      <c r="H34" s="6" t="s">
        <v>15</v>
      </c>
      <c r="I34" s="6" t="s">
        <v>36</v>
      </c>
      <c r="J34" s="6" t="s">
        <v>37</v>
      </c>
      <c r="K34" s="6" t="s">
        <v>15</v>
      </c>
      <c r="L34" s="6" t="s">
        <v>44</v>
      </c>
      <c r="M34" s="6">
        <v>1</v>
      </c>
      <c r="N34" s="6" t="s">
        <v>59</v>
      </c>
      <c r="O34" s="6" t="s">
        <v>63</v>
      </c>
      <c r="P34" s="6">
        <v>0</v>
      </c>
      <c r="Q34" s="6">
        <v>1</v>
      </c>
      <c r="R34" s="6">
        <v>0</v>
      </c>
      <c r="S34" s="6">
        <v>0</v>
      </c>
      <c r="T34" s="6">
        <v>0</v>
      </c>
      <c r="U34" s="6">
        <v>1</v>
      </c>
      <c r="V34" s="6">
        <v>0</v>
      </c>
      <c r="W34" s="6">
        <v>0</v>
      </c>
      <c r="X34" s="6">
        <v>0</v>
      </c>
      <c r="Y34" s="6">
        <v>0</v>
      </c>
      <c r="Z34" s="6" t="s">
        <v>21</v>
      </c>
      <c r="AA34" s="6" t="s">
        <v>40</v>
      </c>
      <c r="AB34" s="6" t="s">
        <v>24</v>
      </c>
      <c r="AC34" s="6" t="s">
        <v>25</v>
      </c>
    </row>
    <row r="35" spans="1:29" x14ac:dyDescent="0.3">
      <c r="A35" s="7">
        <v>34</v>
      </c>
      <c r="B35" s="7">
        <v>0</v>
      </c>
      <c r="C35" s="7">
        <v>0</v>
      </c>
      <c r="D35" s="7">
        <v>0</v>
      </c>
      <c r="E35" s="7">
        <v>0</v>
      </c>
      <c r="F35" s="7">
        <v>0</v>
      </c>
      <c r="G35" s="7">
        <v>1</v>
      </c>
      <c r="H35" s="8" t="s">
        <v>15</v>
      </c>
      <c r="I35" s="8" t="s">
        <v>83</v>
      </c>
      <c r="J35" s="8" t="s">
        <v>356</v>
      </c>
      <c r="K35" s="8" t="s">
        <v>15</v>
      </c>
      <c r="L35" s="8" t="s">
        <v>44</v>
      </c>
      <c r="M35" s="8">
        <v>3</v>
      </c>
      <c r="N35" s="8" t="s">
        <v>45</v>
      </c>
      <c r="O35" s="8" t="s">
        <v>46</v>
      </c>
      <c r="P35" s="8">
        <v>0</v>
      </c>
      <c r="Q35" s="8">
        <v>0</v>
      </c>
      <c r="R35" s="8">
        <v>1</v>
      </c>
      <c r="S35" s="8">
        <v>0</v>
      </c>
      <c r="T35" s="8">
        <v>0</v>
      </c>
      <c r="U35" s="8">
        <v>0</v>
      </c>
      <c r="V35" s="8">
        <v>0</v>
      </c>
      <c r="W35" s="8">
        <v>0</v>
      </c>
      <c r="X35" s="8">
        <v>0</v>
      </c>
      <c r="Y35" s="8">
        <v>0</v>
      </c>
      <c r="Z35" s="8" t="s">
        <v>25</v>
      </c>
      <c r="AA35" s="8" t="s">
        <v>23</v>
      </c>
      <c r="AB35" s="8" t="s">
        <v>24</v>
      </c>
      <c r="AC35" s="8" t="s">
        <v>21</v>
      </c>
    </row>
    <row r="36" spans="1:29" x14ac:dyDescent="0.3">
      <c r="A36" s="5">
        <v>35</v>
      </c>
      <c r="B36" s="5">
        <v>0</v>
      </c>
      <c r="C36" s="5">
        <v>0</v>
      </c>
      <c r="D36" s="5">
        <v>0</v>
      </c>
      <c r="E36" s="5">
        <v>0</v>
      </c>
      <c r="F36" s="5">
        <v>0</v>
      </c>
      <c r="G36" s="5">
        <v>1</v>
      </c>
      <c r="H36" s="6" t="s">
        <v>15</v>
      </c>
      <c r="I36" s="6" t="s">
        <v>83</v>
      </c>
      <c r="J36" s="6" t="s">
        <v>17</v>
      </c>
      <c r="K36" s="6" t="s">
        <v>102</v>
      </c>
      <c r="L36" s="6" t="s">
        <v>44</v>
      </c>
      <c r="M36" s="6">
        <v>2</v>
      </c>
      <c r="N36" s="6" t="s">
        <v>45</v>
      </c>
      <c r="O36" s="6" t="s">
        <v>46</v>
      </c>
      <c r="P36" s="6">
        <v>1</v>
      </c>
      <c r="Q36" s="6">
        <v>0</v>
      </c>
      <c r="R36" s="6">
        <v>1</v>
      </c>
      <c r="S36" s="6">
        <v>0</v>
      </c>
      <c r="T36" s="6">
        <v>0</v>
      </c>
      <c r="U36" s="6">
        <v>0</v>
      </c>
      <c r="V36" s="6">
        <v>0</v>
      </c>
      <c r="W36" s="6">
        <v>0</v>
      </c>
      <c r="X36" s="6">
        <v>0</v>
      </c>
      <c r="Y36" s="6">
        <v>0</v>
      </c>
      <c r="Z36" s="6" t="s">
        <v>21</v>
      </c>
      <c r="AA36" s="6" t="s">
        <v>23</v>
      </c>
      <c r="AB36" s="6" t="s">
        <v>24</v>
      </c>
      <c r="AC36" s="6" t="s">
        <v>25</v>
      </c>
    </row>
    <row r="37" spans="1:29" x14ac:dyDescent="0.3">
      <c r="A37" s="7">
        <v>36</v>
      </c>
      <c r="B37" s="7">
        <v>0</v>
      </c>
      <c r="C37" s="7">
        <v>0</v>
      </c>
      <c r="D37" s="7">
        <v>0</v>
      </c>
      <c r="E37" s="7">
        <v>0</v>
      </c>
      <c r="F37" s="7">
        <v>0</v>
      </c>
      <c r="G37" s="7">
        <v>1</v>
      </c>
      <c r="H37" s="8" t="s">
        <v>15</v>
      </c>
      <c r="I37" s="8" t="s">
        <v>36</v>
      </c>
      <c r="J37" s="8" t="s">
        <v>29</v>
      </c>
      <c r="K37" s="8" t="s">
        <v>49</v>
      </c>
      <c r="L37" s="8" t="s">
        <v>70</v>
      </c>
      <c r="M37" s="8">
        <v>1</v>
      </c>
      <c r="N37" s="8" t="s">
        <v>45</v>
      </c>
      <c r="O37" s="8" t="s">
        <v>46</v>
      </c>
      <c r="P37" s="8">
        <v>1</v>
      </c>
      <c r="Q37" s="8">
        <v>1</v>
      </c>
      <c r="R37" s="8">
        <v>1</v>
      </c>
      <c r="S37" s="8">
        <v>1</v>
      </c>
      <c r="T37" s="8">
        <v>1</v>
      </c>
      <c r="U37" s="8">
        <v>1</v>
      </c>
      <c r="V37" s="8">
        <v>1</v>
      </c>
      <c r="W37" s="8">
        <v>1</v>
      </c>
      <c r="X37" s="8">
        <v>1</v>
      </c>
      <c r="Y37" s="8">
        <v>1</v>
      </c>
      <c r="Z37" s="8" t="s">
        <v>21</v>
      </c>
      <c r="AA37" s="8" t="s">
        <v>40</v>
      </c>
      <c r="AB37" s="8" t="s">
        <v>24</v>
      </c>
      <c r="AC37" s="8" t="s">
        <v>25</v>
      </c>
    </row>
    <row r="38" spans="1:29" x14ac:dyDescent="0.3">
      <c r="A38" s="5">
        <v>37</v>
      </c>
      <c r="B38" s="5">
        <v>1</v>
      </c>
      <c r="C38" s="5">
        <v>1</v>
      </c>
      <c r="D38" s="5">
        <v>0</v>
      </c>
      <c r="E38" s="5">
        <v>0</v>
      </c>
      <c r="F38" s="5">
        <v>0</v>
      </c>
      <c r="G38" s="5">
        <v>0</v>
      </c>
      <c r="H38" s="6" t="s">
        <v>15</v>
      </c>
      <c r="I38" s="6" t="s">
        <v>43</v>
      </c>
      <c r="J38" s="6" t="s">
        <v>356</v>
      </c>
      <c r="K38" s="6" t="s">
        <v>102</v>
      </c>
      <c r="L38" s="6" t="s">
        <v>58</v>
      </c>
      <c r="M38" s="6">
        <v>1</v>
      </c>
      <c r="N38" s="6" t="s">
        <v>45</v>
      </c>
      <c r="O38" s="6" t="s">
        <v>52</v>
      </c>
      <c r="P38" s="6">
        <v>0</v>
      </c>
      <c r="Q38" s="6">
        <v>0</v>
      </c>
      <c r="R38" s="6">
        <v>0</v>
      </c>
      <c r="S38" s="6">
        <v>0</v>
      </c>
      <c r="T38" s="6">
        <v>0</v>
      </c>
      <c r="U38" s="6">
        <v>0</v>
      </c>
      <c r="V38" s="6">
        <v>0</v>
      </c>
      <c r="W38" s="6">
        <v>0</v>
      </c>
      <c r="X38" s="6">
        <v>1</v>
      </c>
      <c r="Y38" s="6">
        <v>0</v>
      </c>
      <c r="Z38" s="6" t="s">
        <v>25</v>
      </c>
      <c r="AA38" s="6" t="s">
        <v>34</v>
      </c>
      <c r="AB38" s="6" t="s">
        <v>24</v>
      </c>
      <c r="AC38" s="6" t="s">
        <v>82</v>
      </c>
    </row>
    <row r="39" spans="1:29" x14ac:dyDescent="0.3">
      <c r="A39" s="7">
        <v>38</v>
      </c>
      <c r="B39" s="7">
        <v>0</v>
      </c>
      <c r="C39" s="7">
        <v>0</v>
      </c>
      <c r="D39" s="7">
        <v>0</v>
      </c>
      <c r="E39" s="7">
        <v>0</v>
      </c>
      <c r="F39" s="7">
        <v>0</v>
      </c>
      <c r="G39" s="7">
        <v>1</v>
      </c>
      <c r="H39" s="8" t="s">
        <v>15</v>
      </c>
      <c r="I39" s="8" t="s">
        <v>43</v>
      </c>
      <c r="J39" s="8" t="s">
        <v>37</v>
      </c>
      <c r="K39" s="8" t="s">
        <v>15</v>
      </c>
      <c r="L39" s="8" t="s">
        <v>70</v>
      </c>
      <c r="M39" s="8">
        <v>5</v>
      </c>
      <c r="N39" s="8" t="s">
        <v>45</v>
      </c>
      <c r="O39" s="8" t="s">
        <v>46</v>
      </c>
      <c r="P39" s="8">
        <v>1</v>
      </c>
      <c r="Q39" s="8">
        <v>1</v>
      </c>
      <c r="R39" s="8">
        <v>1</v>
      </c>
      <c r="S39" s="8">
        <v>1</v>
      </c>
      <c r="T39" s="8">
        <v>1</v>
      </c>
      <c r="U39" s="8">
        <v>1</v>
      </c>
      <c r="V39" s="8">
        <v>1</v>
      </c>
      <c r="W39" s="8">
        <v>1</v>
      </c>
      <c r="X39" s="8">
        <v>1</v>
      </c>
      <c r="Y39" s="8">
        <v>1</v>
      </c>
      <c r="Z39" s="8" t="s">
        <v>21</v>
      </c>
      <c r="AA39" s="8" t="s">
        <v>23</v>
      </c>
      <c r="AB39" s="8" t="s">
        <v>24</v>
      </c>
      <c r="AC39" s="8" t="s">
        <v>21</v>
      </c>
    </row>
    <row r="40" spans="1:29" x14ac:dyDescent="0.3">
      <c r="A40" s="5">
        <v>39</v>
      </c>
      <c r="B40" s="5">
        <v>0</v>
      </c>
      <c r="C40" s="5">
        <v>1</v>
      </c>
      <c r="D40" s="5">
        <v>0</v>
      </c>
      <c r="E40" s="5">
        <v>0</v>
      </c>
      <c r="F40" s="5">
        <v>0</v>
      </c>
      <c r="G40" s="5">
        <v>1</v>
      </c>
      <c r="H40" s="6" t="s">
        <v>49</v>
      </c>
      <c r="I40" s="6" t="s">
        <v>43</v>
      </c>
      <c r="J40" s="6" t="s">
        <v>50</v>
      </c>
      <c r="K40" s="6" t="s">
        <v>49</v>
      </c>
      <c r="L40" s="6" t="s">
        <v>70</v>
      </c>
      <c r="M40" s="6">
        <v>5</v>
      </c>
      <c r="N40" s="6" t="s">
        <v>45</v>
      </c>
      <c r="O40" s="6" t="s">
        <v>63</v>
      </c>
      <c r="P40" s="6">
        <v>1</v>
      </c>
      <c r="Q40" s="6">
        <v>0</v>
      </c>
      <c r="R40" s="6">
        <v>1</v>
      </c>
      <c r="S40" s="6">
        <v>0</v>
      </c>
      <c r="T40" s="6">
        <v>0</v>
      </c>
      <c r="U40" s="6">
        <v>1</v>
      </c>
      <c r="V40" s="6">
        <v>0</v>
      </c>
      <c r="W40" s="6">
        <v>0</v>
      </c>
      <c r="X40" s="6">
        <v>0</v>
      </c>
      <c r="Y40" s="6">
        <v>1</v>
      </c>
      <c r="Z40" s="6" t="s">
        <v>21</v>
      </c>
      <c r="AA40" s="6" t="s">
        <v>23</v>
      </c>
      <c r="AB40" s="6" t="s">
        <v>88</v>
      </c>
      <c r="AC40" s="6" t="s">
        <v>25</v>
      </c>
    </row>
    <row r="41" spans="1:29" x14ac:dyDescent="0.3">
      <c r="A41" s="7">
        <v>40</v>
      </c>
      <c r="B41" s="7">
        <v>0</v>
      </c>
      <c r="C41" s="7">
        <v>0</v>
      </c>
      <c r="D41" s="7">
        <v>0</v>
      </c>
      <c r="E41" s="7">
        <v>0</v>
      </c>
      <c r="F41" s="7">
        <v>0</v>
      </c>
      <c r="G41" s="7">
        <v>1</v>
      </c>
      <c r="H41" s="8" t="s">
        <v>27</v>
      </c>
      <c r="I41" s="8" t="s">
        <v>43</v>
      </c>
      <c r="J41" s="8" t="s">
        <v>29</v>
      </c>
      <c r="K41" s="8" t="s">
        <v>30</v>
      </c>
      <c r="L41" s="8" t="s">
        <v>58</v>
      </c>
      <c r="M41" s="8">
        <v>4</v>
      </c>
      <c r="N41" s="8" t="s">
        <v>45</v>
      </c>
      <c r="O41" s="8" t="s">
        <v>46</v>
      </c>
      <c r="P41" s="8">
        <v>1</v>
      </c>
      <c r="Q41" s="8">
        <v>1</v>
      </c>
      <c r="R41" s="8">
        <v>1</v>
      </c>
      <c r="S41" s="8">
        <v>1</v>
      </c>
      <c r="T41" s="8">
        <v>1</v>
      </c>
      <c r="U41" s="8">
        <v>0</v>
      </c>
      <c r="V41" s="8">
        <v>1</v>
      </c>
      <c r="W41" s="8">
        <v>1</v>
      </c>
      <c r="X41" s="8">
        <v>1</v>
      </c>
      <c r="Y41" s="8">
        <v>0</v>
      </c>
      <c r="Z41" s="8" t="s">
        <v>21</v>
      </c>
      <c r="AA41" s="8" t="s">
        <v>23</v>
      </c>
      <c r="AB41" s="8" t="s">
        <v>24</v>
      </c>
      <c r="AC41" s="8" t="s">
        <v>48</v>
      </c>
    </row>
    <row r="42" spans="1:29" x14ac:dyDescent="0.3">
      <c r="A42" s="5">
        <v>41</v>
      </c>
      <c r="B42" s="5">
        <v>1</v>
      </c>
      <c r="C42" s="5">
        <v>1</v>
      </c>
      <c r="D42" s="5">
        <v>0</v>
      </c>
      <c r="E42" s="5">
        <v>0</v>
      </c>
      <c r="F42" s="5">
        <v>0</v>
      </c>
      <c r="G42" s="5">
        <v>0</v>
      </c>
      <c r="H42" s="6" t="s">
        <v>27</v>
      </c>
      <c r="I42" s="6" t="s">
        <v>43</v>
      </c>
      <c r="J42" s="6" t="s">
        <v>50</v>
      </c>
      <c r="K42" s="6" t="s">
        <v>102</v>
      </c>
      <c r="L42" s="6" t="s">
        <v>51</v>
      </c>
      <c r="M42" s="6">
        <v>1</v>
      </c>
      <c r="N42" s="6" t="s">
        <v>45</v>
      </c>
      <c r="O42" s="6" t="s">
        <v>63</v>
      </c>
      <c r="P42" s="6">
        <v>1</v>
      </c>
      <c r="Q42" s="6">
        <v>1</v>
      </c>
      <c r="R42" s="6">
        <v>1</v>
      </c>
      <c r="S42" s="6">
        <v>0</v>
      </c>
      <c r="T42" s="6">
        <v>1</v>
      </c>
      <c r="U42" s="6">
        <v>1</v>
      </c>
      <c r="V42" s="6">
        <v>1</v>
      </c>
      <c r="W42" s="6">
        <v>1</v>
      </c>
      <c r="X42" s="6">
        <v>0</v>
      </c>
      <c r="Y42" s="6">
        <v>1</v>
      </c>
      <c r="Z42" s="6" t="s">
        <v>21</v>
      </c>
      <c r="AA42" s="6" t="s">
        <v>34</v>
      </c>
      <c r="AB42" s="6" t="s">
        <v>24</v>
      </c>
      <c r="AC42" s="6" t="s">
        <v>25</v>
      </c>
    </row>
    <row r="43" spans="1:29" x14ac:dyDescent="0.3">
      <c r="A43" s="7">
        <v>42</v>
      </c>
      <c r="B43" s="7">
        <v>0</v>
      </c>
      <c r="C43" s="7">
        <v>1</v>
      </c>
      <c r="D43" s="7">
        <v>0</v>
      </c>
      <c r="E43" s="7">
        <v>0</v>
      </c>
      <c r="F43" s="7">
        <v>1</v>
      </c>
      <c r="G43" s="7">
        <v>1</v>
      </c>
      <c r="H43" s="8" t="s">
        <v>49</v>
      </c>
      <c r="I43" s="8" t="s">
        <v>43</v>
      </c>
      <c r="J43" s="8" t="s">
        <v>50</v>
      </c>
      <c r="K43" s="8" t="s">
        <v>49</v>
      </c>
      <c r="L43" s="8" t="s">
        <v>44</v>
      </c>
      <c r="M43" s="8">
        <v>5</v>
      </c>
      <c r="N43" s="8" t="s">
        <v>45</v>
      </c>
      <c r="O43" s="8" t="s">
        <v>63</v>
      </c>
      <c r="P43" s="8">
        <v>1</v>
      </c>
      <c r="Q43" s="8">
        <v>1</v>
      </c>
      <c r="R43" s="8">
        <v>0</v>
      </c>
      <c r="S43" s="8">
        <v>0</v>
      </c>
      <c r="T43" s="8">
        <v>0</v>
      </c>
      <c r="U43" s="8">
        <v>1</v>
      </c>
      <c r="V43" s="8">
        <v>1</v>
      </c>
      <c r="W43" s="8">
        <v>0</v>
      </c>
      <c r="X43" s="8">
        <v>0</v>
      </c>
      <c r="Y43" s="8">
        <v>1</v>
      </c>
      <c r="Z43" s="8" t="s">
        <v>25</v>
      </c>
      <c r="AA43" s="8" t="s">
        <v>34</v>
      </c>
      <c r="AB43" s="8" t="s">
        <v>24</v>
      </c>
      <c r="AC43" s="8" t="s">
        <v>25</v>
      </c>
    </row>
    <row r="44" spans="1:29" x14ac:dyDescent="0.3">
      <c r="A44" s="5">
        <v>43</v>
      </c>
      <c r="B44" s="5">
        <v>0</v>
      </c>
      <c r="C44" s="5">
        <v>1</v>
      </c>
      <c r="D44" s="5">
        <v>0</v>
      </c>
      <c r="E44" s="5">
        <v>0</v>
      </c>
      <c r="F44" s="5">
        <v>0</v>
      </c>
      <c r="G44" s="5">
        <v>1</v>
      </c>
      <c r="H44" s="6" t="s">
        <v>27</v>
      </c>
      <c r="I44" s="6" t="s">
        <v>43</v>
      </c>
      <c r="J44" s="6" t="s">
        <v>50</v>
      </c>
      <c r="K44" s="6" t="s">
        <v>30</v>
      </c>
      <c r="L44" s="6" t="s">
        <v>70</v>
      </c>
      <c r="M44" s="6">
        <v>5</v>
      </c>
      <c r="N44" s="6" t="s">
        <v>45</v>
      </c>
      <c r="O44" s="6" t="s">
        <v>46</v>
      </c>
      <c r="P44" s="6">
        <v>1</v>
      </c>
      <c r="Q44" s="6">
        <v>1</v>
      </c>
      <c r="R44" s="6">
        <v>1</v>
      </c>
      <c r="S44" s="6">
        <v>1</v>
      </c>
      <c r="T44" s="6">
        <v>1</v>
      </c>
      <c r="U44" s="6">
        <v>1</v>
      </c>
      <c r="V44" s="6">
        <v>1</v>
      </c>
      <c r="W44" s="6">
        <v>1</v>
      </c>
      <c r="X44" s="6">
        <v>1</v>
      </c>
      <c r="Y44" s="6">
        <v>1</v>
      </c>
      <c r="Z44" s="6" t="s">
        <v>21</v>
      </c>
      <c r="AA44" s="6" t="s">
        <v>23</v>
      </c>
      <c r="AB44" s="6" t="s">
        <v>24</v>
      </c>
      <c r="AC44" s="6" t="s">
        <v>82</v>
      </c>
    </row>
    <row r="45" spans="1:29" x14ac:dyDescent="0.3">
      <c r="A45" s="7">
        <v>44</v>
      </c>
      <c r="B45" s="7">
        <v>0</v>
      </c>
      <c r="C45" s="7">
        <v>1</v>
      </c>
      <c r="D45" s="7">
        <v>0</v>
      </c>
      <c r="E45" s="7">
        <v>0</v>
      </c>
      <c r="F45" s="7">
        <v>0</v>
      </c>
      <c r="G45" s="7">
        <v>0</v>
      </c>
      <c r="H45" s="8" t="s">
        <v>27</v>
      </c>
      <c r="I45" s="8" t="s">
        <v>43</v>
      </c>
      <c r="J45" s="8" t="s">
        <v>356</v>
      </c>
      <c r="K45" s="8" t="s">
        <v>30</v>
      </c>
      <c r="L45" s="8" t="s">
        <v>51</v>
      </c>
      <c r="M45" s="8">
        <v>5</v>
      </c>
      <c r="N45" s="8" t="s">
        <v>45</v>
      </c>
      <c r="O45" s="8" t="s">
        <v>63</v>
      </c>
      <c r="P45" s="8">
        <v>1</v>
      </c>
      <c r="Q45" s="8">
        <v>1</v>
      </c>
      <c r="R45" s="8">
        <v>0</v>
      </c>
      <c r="S45" s="8">
        <v>1</v>
      </c>
      <c r="T45" s="8">
        <v>1</v>
      </c>
      <c r="U45" s="8">
        <v>0</v>
      </c>
      <c r="V45" s="8">
        <v>1</v>
      </c>
      <c r="W45" s="8">
        <v>1</v>
      </c>
      <c r="X45" s="8">
        <v>0</v>
      </c>
      <c r="Y45" s="8">
        <v>0</v>
      </c>
      <c r="Z45" s="8" t="s">
        <v>21</v>
      </c>
      <c r="AA45" s="8" t="s">
        <v>23</v>
      </c>
      <c r="AB45" s="8" t="s">
        <v>24</v>
      </c>
      <c r="AC45" s="8" t="s">
        <v>48</v>
      </c>
    </row>
    <row r="46" spans="1:29" x14ac:dyDescent="0.3">
      <c r="A46" s="5">
        <v>45</v>
      </c>
      <c r="B46" s="5">
        <v>0</v>
      </c>
      <c r="C46" s="5">
        <v>0</v>
      </c>
      <c r="D46" s="5">
        <v>0</v>
      </c>
      <c r="E46" s="5">
        <v>0</v>
      </c>
      <c r="F46" s="5">
        <v>1</v>
      </c>
      <c r="G46" s="5">
        <v>0</v>
      </c>
      <c r="H46" s="6" t="s">
        <v>27</v>
      </c>
      <c r="I46" s="6" t="s">
        <v>43</v>
      </c>
      <c r="J46" s="6" t="s">
        <v>17</v>
      </c>
      <c r="K46" s="6" t="s">
        <v>15</v>
      </c>
      <c r="L46" s="6" t="s">
        <v>51</v>
      </c>
      <c r="M46" s="6">
        <v>5</v>
      </c>
      <c r="N46" s="6" t="s">
        <v>45</v>
      </c>
      <c r="O46" s="6" t="s">
        <v>63</v>
      </c>
      <c r="P46" s="6">
        <v>0</v>
      </c>
      <c r="Q46" s="6">
        <v>0</v>
      </c>
      <c r="R46" s="6">
        <v>1</v>
      </c>
      <c r="S46" s="6">
        <v>0</v>
      </c>
      <c r="T46" s="6">
        <v>0</v>
      </c>
      <c r="U46" s="6">
        <v>0</v>
      </c>
      <c r="V46" s="6">
        <v>0</v>
      </c>
      <c r="W46" s="6">
        <v>0</v>
      </c>
      <c r="X46" s="6">
        <v>0</v>
      </c>
      <c r="Y46" s="6">
        <v>0</v>
      </c>
      <c r="Z46" s="6" t="s">
        <v>21</v>
      </c>
      <c r="AA46" s="6" t="s">
        <v>34</v>
      </c>
      <c r="AB46" s="6" t="s">
        <v>24</v>
      </c>
      <c r="AC46" s="6" t="s">
        <v>21</v>
      </c>
    </row>
    <row r="47" spans="1:29" x14ac:dyDescent="0.3">
      <c r="A47" s="7">
        <v>46</v>
      </c>
      <c r="B47" s="7">
        <v>0</v>
      </c>
      <c r="C47" s="7">
        <v>1</v>
      </c>
      <c r="D47" s="7">
        <v>0</v>
      </c>
      <c r="E47" s="7">
        <v>0</v>
      </c>
      <c r="F47" s="7">
        <v>1</v>
      </c>
      <c r="G47" s="7">
        <v>1</v>
      </c>
      <c r="H47" s="8" t="s">
        <v>15</v>
      </c>
      <c r="I47" s="8" t="s">
        <v>43</v>
      </c>
      <c r="J47" s="8" t="s">
        <v>356</v>
      </c>
      <c r="K47" s="8" t="s">
        <v>49</v>
      </c>
      <c r="L47" s="8" t="s">
        <v>44</v>
      </c>
      <c r="M47" s="8">
        <v>3</v>
      </c>
      <c r="N47" s="8" t="s">
        <v>45</v>
      </c>
      <c r="O47" s="8" t="s">
        <v>63</v>
      </c>
      <c r="P47" s="8">
        <v>1</v>
      </c>
      <c r="Q47" s="8">
        <v>1</v>
      </c>
      <c r="R47" s="8">
        <v>0</v>
      </c>
      <c r="S47" s="8">
        <v>0</v>
      </c>
      <c r="T47" s="8">
        <v>0</v>
      </c>
      <c r="U47" s="8">
        <v>1</v>
      </c>
      <c r="V47" s="8">
        <v>1</v>
      </c>
      <c r="W47" s="8">
        <v>0</v>
      </c>
      <c r="X47" s="8">
        <v>0</v>
      </c>
      <c r="Y47" s="8">
        <v>0</v>
      </c>
      <c r="Z47" s="8" t="s">
        <v>25</v>
      </c>
      <c r="AA47" s="8" t="s">
        <v>23</v>
      </c>
      <c r="AB47" s="8" t="s">
        <v>24</v>
      </c>
      <c r="AC47" s="8" t="s">
        <v>25</v>
      </c>
    </row>
    <row r="48" spans="1:29" x14ac:dyDescent="0.3">
      <c r="A48" s="5">
        <v>47</v>
      </c>
      <c r="B48" s="5">
        <v>0</v>
      </c>
      <c r="C48" s="5">
        <v>0</v>
      </c>
      <c r="D48" s="5">
        <v>0</v>
      </c>
      <c r="E48" s="5">
        <v>0</v>
      </c>
      <c r="F48" s="5">
        <v>0</v>
      </c>
      <c r="G48" s="5">
        <v>1</v>
      </c>
      <c r="H48" s="6" t="s">
        <v>49</v>
      </c>
      <c r="I48" s="6" t="s">
        <v>43</v>
      </c>
      <c r="J48" s="6" t="s">
        <v>50</v>
      </c>
      <c r="K48" s="6" t="s">
        <v>49</v>
      </c>
      <c r="L48" s="6" t="s">
        <v>44</v>
      </c>
      <c r="M48" s="6">
        <v>1</v>
      </c>
      <c r="N48" s="6" t="s">
        <v>45</v>
      </c>
      <c r="O48" s="6" t="s">
        <v>63</v>
      </c>
      <c r="P48" s="6">
        <v>0</v>
      </c>
      <c r="Q48" s="6">
        <v>0</v>
      </c>
      <c r="R48" s="6">
        <v>0</v>
      </c>
      <c r="S48" s="6">
        <v>0</v>
      </c>
      <c r="T48" s="6">
        <v>0</v>
      </c>
      <c r="U48" s="6">
        <v>0</v>
      </c>
      <c r="V48" s="6">
        <v>1</v>
      </c>
      <c r="W48" s="6">
        <v>0</v>
      </c>
      <c r="X48" s="6">
        <v>0</v>
      </c>
      <c r="Y48" s="6">
        <v>0</v>
      </c>
      <c r="Z48" s="6" t="s">
        <v>25</v>
      </c>
      <c r="AA48" s="6" t="s">
        <v>34</v>
      </c>
      <c r="AB48" s="6" t="s">
        <v>24</v>
      </c>
      <c r="AC48" s="6" t="s">
        <v>25</v>
      </c>
    </row>
    <row r="49" spans="1:29" x14ac:dyDescent="0.3">
      <c r="A49" s="7">
        <v>48</v>
      </c>
      <c r="B49" s="7">
        <v>1</v>
      </c>
      <c r="C49" s="7">
        <v>1</v>
      </c>
      <c r="D49" s="7">
        <v>0</v>
      </c>
      <c r="E49" s="7">
        <v>0</v>
      </c>
      <c r="F49" s="7">
        <v>1</v>
      </c>
      <c r="G49" s="7">
        <v>1</v>
      </c>
      <c r="H49" s="8" t="s">
        <v>49</v>
      </c>
      <c r="I49" s="8" t="s">
        <v>353</v>
      </c>
      <c r="J49" s="8" t="s">
        <v>50</v>
      </c>
      <c r="K49" s="8" t="s">
        <v>49</v>
      </c>
      <c r="L49" s="8" t="s">
        <v>51</v>
      </c>
      <c r="M49" s="8">
        <v>5</v>
      </c>
      <c r="N49" s="8" t="s">
        <v>45</v>
      </c>
      <c r="O49" s="8" t="s">
        <v>63</v>
      </c>
      <c r="P49" s="8">
        <v>1</v>
      </c>
      <c r="Q49" s="8">
        <v>1</v>
      </c>
      <c r="R49" s="8">
        <v>1</v>
      </c>
      <c r="S49" s="8">
        <v>1</v>
      </c>
      <c r="T49" s="8">
        <v>1</v>
      </c>
      <c r="U49" s="8">
        <v>1</v>
      </c>
      <c r="V49" s="8">
        <v>1</v>
      </c>
      <c r="W49" s="8">
        <v>1</v>
      </c>
      <c r="X49" s="8">
        <v>1</v>
      </c>
      <c r="Y49" s="8">
        <v>1</v>
      </c>
      <c r="Z49" s="8" t="s">
        <v>21</v>
      </c>
      <c r="AA49" s="8" t="s">
        <v>23</v>
      </c>
      <c r="AB49" s="8" t="s">
        <v>113</v>
      </c>
      <c r="AC49" s="8" t="s">
        <v>25</v>
      </c>
    </row>
    <row r="50" spans="1:29" x14ac:dyDescent="0.3">
      <c r="A50" s="5">
        <v>49</v>
      </c>
      <c r="B50" s="5">
        <v>0</v>
      </c>
      <c r="C50" s="5">
        <v>0</v>
      </c>
      <c r="D50" s="5">
        <v>1</v>
      </c>
      <c r="E50" s="5">
        <v>0</v>
      </c>
      <c r="F50" s="5">
        <v>0</v>
      </c>
      <c r="G50" s="5">
        <v>0</v>
      </c>
      <c r="H50" s="6" t="s">
        <v>15</v>
      </c>
      <c r="I50" s="6" t="s">
        <v>16</v>
      </c>
      <c r="J50" s="6" t="s">
        <v>29</v>
      </c>
      <c r="K50" s="6" t="s">
        <v>49</v>
      </c>
      <c r="L50" s="6" t="s">
        <v>44</v>
      </c>
      <c r="M50" s="6">
        <v>5</v>
      </c>
      <c r="N50" s="6" t="s">
        <v>45</v>
      </c>
      <c r="O50" s="6" t="s">
        <v>63</v>
      </c>
      <c r="P50" s="6">
        <v>0</v>
      </c>
      <c r="Q50" s="6">
        <v>0</v>
      </c>
      <c r="R50" s="6">
        <v>0</v>
      </c>
      <c r="S50" s="6">
        <v>1</v>
      </c>
      <c r="T50" s="6">
        <v>0</v>
      </c>
      <c r="U50" s="6">
        <v>0</v>
      </c>
      <c r="V50" s="6">
        <v>0</v>
      </c>
      <c r="W50" s="6">
        <v>1</v>
      </c>
      <c r="X50" s="6">
        <v>1</v>
      </c>
      <c r="Y50" s="6">
        <v>0</v>
      </c>
      <c r="Z50" s="6" t="s">
        <v>21</v>
      </c>
      <c r="AA50" s="6" t="s">
        <v>23</v>
      </c>
      <c r="AB50" s="6" t="s">
        <v>24</v>
      </c>
      <c r="AC50" s="6" t="s">
        <v>21</v>
      </c>
    </row>
    <row r="51" spans="1:29" x14ac:dyDescent="0.3">
      <c r="A51" s="7">
        <v>50</v>
      </c>
      <c r="B51" s="7">
        <v>0</v>
      </c>
      <c r="C51" s="7">
        <v>1</v>
      </c>
      <c r="D51" s="7">
        <v>0</v>
      </c>
      <c r="E51" s="7">
        <v>0</v>
      </c>
      <c r="F51" s="7">
        <v>0</v>
      </c>
      <c r="G51" s="7">
        <v>0</v>
      </c>
      <c r="H51" s="8" t="s">
        <v>49</v>
      </c>
      <c r="I51" s="8" t="s">
        <v>43</v>
      </c>
      <c r="J51" s="8" t="s">
        <v>50</v>
      </c>
      <c r="K51" s="8" t="s">
        <v>49</v>
      </c>
      <c r="L51" s="8" t="s">
        <v>51</v>
      </c>
      <c r="M51" s="8">
        <v>5</v>
      </c>
      <c r="N51" s="8" t="s">
        <v>45</v>
      </c>
      <c r="O51" s="8" t="s">
        <v>63</v>
      </c>
      <c r="P51" s="8">
        <v>1</v>
      </c>
      <c r="Q51" s="8">
        <v>0</v>
      </c>
      <c r="R51" s="8">
        <v>0</v>
      </c>
      <c r="S51" s="8">
        <v>0</v>
      </c>
      <c r="T51" s="8">
        <v>0</v>
      </c>
      <c r="U51" s="8">
        <v>1</v>
      </c>
      <c r="V51" s="8">
        <v>1</v>
      </c>
      <c r="W51" s="8">
        <v>0</v>
      </c>
      <c r="X51" s="8">
        <v>0</v>
      </c>
      <c r="Y51" s="8">
        <v>0</v>
      </c>
      <c r="Z51" s="8" t="s">
        <v>21</v>
      </c>
      <c r="AA51" s="8" t="s">
        <v>23</v>
      </c>
      <c r="AB51" s="8" t="s">
        <v>24</v>
      </c>
      <c r="AC51" s="8" t="s">
        <v>25</v>
      </c>
    </row>
    <row r="52" spans="1:29" x14ac:dyDescent="0.3">
      <c r="A52" s="5">
        <v>51</v>
      </c>
      <c r="B52" s="5">
        <v>0</v>
      </c>
      <c r="C52" s="5">
        <v>0</v>
      </c>
      <c r="D52" s="5">
        <v>0</v>
      </c>
      <c r="E52" s="5">
        <v>0</v>
      </c>
      <c r="F52" s="5">
        <v>1</v>
      </c>
      <c r="G52" s="5">
        <v>0</v>
      </c>
      <c r="H52" s="6" t="s">
        <v>27</v>
      </c>
      <c r="I52" s="6" t="s">
        <v>43</v>
      </c>
      <c r="J52" s="6" t="s">
        <v>50</v>
      </c>
      <c r="K52" s="6" t="s">
        <v>30</v>
      </c>
      <c r="L52" s="6" t="s">
        <v>58</v>
      </c>
      <c r="M52" s="6">
        <v>5</v>
      </c>
      <c r="N52" s="6" t="s">
        <v>45</v>
      </c>
      <c r="O52" s="6" t="s">
        <v>46</v>
      </c>
      <c r="P52" s="6">
        <v>1</v>
      </c>
      <c r="Q52" s="6">
        <v>0</v>
      </c>
      <c r="R52" s="6">
        <v>1</v>
      </c>
      <c r="S52" s="6">
        <v>0</v>
      </c>
      <c r="T52" s="6">
        <v>0</v>
      </c>
      <c r="U52" s="6">
        <v>1</v>
      </c>
      <c r="V52" s="6">
        <v>1</v>
      </c>
      <c r="W52" s="6">
        <v>0</v>
      </c>
      <c r="X52" s="6">
        <v>1</v>
      </c>
      <c r="Y52" s="6">
        <v>1</v>
      </c>
      <c r="Z52" s="6" t="s">
        <v>21</v>
      </c>
      <c r="AA52" s="6" t="s">
        <v>40</v>
      </c>
      <c r="AB52" s="6" t="s">
        <v>24</v>
      </c>
      <c r="AC52" s="6" t="s">
        <v>48</v>
      </c>
    </row>
    <row r="53" spans="1:29" x14ac:dyDescent="0.3">
      <c r="A53" s="7">
        <v>52</v>
      </c>
      <c r="B53" s="7">
        <v>0</v>
      </c>
      <c r="C53" s="7">
        <v>1</v>
      </c>
      <c r="D53" s="7">
        <v>0</v>
      </c>
      <c r="E53" s="7">
        <v>0</v>
      </c>
      <c r="F53" s="7">
        <v>1</v>
      </c>
      <c r="G53" s="7">
        <v>1</v>
      </c>
      <c r="H53" s="8" t="s">
        <v>49</v>
      </c>
      <c r="I53" s="8" t="s">
        <v>117</v>
      </c>
      <c r="J53" s="8" t="s">
        <v>50</v>
      </c>
      <c r="K53" s="8" t="s">
        <v>49</v>
      </c>
      <c r="L53" s="8" t="s">
        <v>44</v>
      </c>
      <c r="M53" s="8">
        <v>3</v>
      </c>
      <c r="N53" s="8" t="s">
        <v>45</v>
      </c>
      <c r="O53" s="8" t="s">
        <v>63</v>
      </c>
      <c r="P53" s="8">
        <v>1</v>
      </c>
      <c r="Q53" s="8">
        <v>0</v>
      </c>
      <c r="R53" s="8">
        <v>0</v>
      </c>
      <c r="S53" s="8">
        <v>0</v>
      </c>
      <c r="T53" s="8">
        <v>0</v>
      </c>
      <c r="U53" s="8">
        <v>0</v>
      </c>
      <c r="V53" s="8">
        <v>0</v>
      </c>
      <c r="W53" s="8">
        <v>0</v>
      </c>
      <c r="X53" s="8">
        <v>0</v>
      </c>
      <c r="Y53" s="8">
        <v>0</v>
      </c>
      <c r="Z53" s="8" t="s">
        <v>21</v>
      </c>
      <c r="AA53" s="8" t="s">
        <v>23</v>
      </c>
      <c r="AB53" s="8" t="s">
        <v>24</v>
      </c>
      <c r="AC53" s="8" t="s">
        <v>48</v>
      </c>
    </row>
    <row r="54" spans="1:29" x14ac:dyDescent="0.3">
      <c r="A54" s="5">
        <v>53</v>
      </c>
      <c r="B54" s="5">
        <v>1</v>
      </c>
      <c r="C54" s="5">
        <v>1</v>
      </c>
      <c r="D54" s="5">
        <v>0</v>
      </c>
      <c r="E54" s="5">
        <v>0</v>
      </c>
      <c r="F54" s="5">
        <v>1</v>
      </c>
      <c r="G54" s="5">
        <v>1</v>
      </c>
      <c r="H54" s="6" t="s">
        <v>15</v>
      </c>
      <c r="I54" s="6" t="s">
        <v>43</v>
      </c>
      <c r="J54" s="6" t="s">
        <v>37</v>
      </c>
      <c r="K54" s="6" t="s">
        <v>15</v>
      </c>
      <c r="L54" s="6" t="s">
        <v>51</v>
      </c>
      <c r="M54" s="6">
        <v>3</v>
      </c>
      <c r="N54" s="6" t="s">
        <v>45</v>
      </c>
      <c r="O54" s="6" t="s">
        <v>52</v>
      </c>
      <c r="P54" s="6">
        <v>1</v>
      </c>
      <c r="Q54" s="6">
        <v>1</v>
      </c>
      <c r="R54" s="6">
        <v>1</v>
      </c>
      <c r="S54" s="6">
        <v>1</v>
      </c>
      <c r="T54" s="6">
        <v>1</v>
      </c>
      <c r="U54" s="6">
        <v>1</v>
      </c>
      <c r="V54" s="6">
        <v>1</v>
      </c>
      <c r="W54" s="6">
        <v>1</v>
      </c>
      <c r="X54" s="6">
        <v>1</v>
      </c>
      <c r="Y54" s="6">
        <v>1</v>
      </c>
      <c r="Z54" s="6" t="s">
        <v>21</v>
      </c>
      <c r="AA54" s="6" t="s">
        <v>34</v>
      </c>
      <c r="AB54" s="6" t="s">
        <v>24</v>
      </c>
      <c r="AC54" s="6" t="s">
        <v>48</v>
      </c>
    </row>
    <row r="55" spans="1:29" x14ac:dyDescent="0.3">
      <c r="A55" s="7">
        <v>54</v>
      </c>
      <c r="B55" s="7">
        <v>0</v>
      </c>
      <c r="C55" s="7">
        <v>1</v>
      </c>
      <c r="D55" s="7">
        <v>0</v>
      </c>
      <c r="E55" s="7">
        <v>0</v>
      </c>
      <c r="F55" s="7">
        <v>0</v>
      </c>
      <c r="G55" s="7">
        <v>0</v>
      </c>
      <c r="H55" s="8" t="s">
        <v>15</v>
      </c>
      <c r="I55" s="8" t="s">
        <v>43</v>
      </c>
      <c r="J55" s="8" t="s">
        <v>50</v>
      </c>
      <c r="K55" s="8" t="s">
        <v>30</v>
      </c>
      <c r="L55" s="8" t="s">
        <v>51</v>
      </c>
      <c r="M55" s="8">
        <v>5</v>
      </c>
      <c r="N55" s="8" t="s">
        <v>45</v>
      </c>
      <c r="O55" s="8" t="s">
        <v>46</v>
      </c>
      <c r="P55" s="8">
        <v>1</v>
      </c>
      <c r="Q55" s="8">
        <v>0</v>
      </c>
      <c r="R55" s="8">
        <v>0</v>
      </c>
      <c r="S55" s="8">
        <v>0</v>
      </c>
      <c r="T55" s="8">
        <v>1</v>
      </c>
      <c r="U55" s="8">
        <v>0</v>
      </c>
      <c r="V55" s="8">
        <v>0</v>
      </c>
      <c r="W55" s="8">
        <v>0</v>
      </c>
      <c r="X55" s="8">
        <v>0</v>
      </c>
      <c r="Y55" s="8">
        <v>1</v>
      </c>
      <c r="Z55" s="8" t="s">
        <v>21</v>
      </c>
      <c r="AA55" s="8" t="s">
        <v>23</v>
      </c>
      <c r="AB55" s="8" t="s">
        <v>113</v>
      </c>
      <c r="AC55" s="8" t="s">
        <v>48</v>
      </c>
    </row>
    <row r="56" spans="1:29" x14ac:dyDescent="0.3">
      <c r="A56" s="5">
        <v>55</v>
      </c>
      <c r="B56" s="5">
        <v>1</v>
      </c>
      <c r="C56" s="5">
        <v>0</v>
      </c>
      <c r="D56" s="5">
        <v>0</v>
      </c>
      <c r="E56" s="5">
        <v>0</v>
      </c>
      <c r="F56" s="5">
        <v>0</v>
      </c>
      <c r="G56" s="5">
        <v>0</v>
      </c>
      <c r="H56" s="6" t="s">
        <v>15</v>
      </c>
      <c r="I56" s="6" t="s">
        <v>43</v>
      </c>
      <c r="J56" s="6" t="s">
        <v>356</v>
      </c>
      <c r="K56" s="6" t="s">
        <v>15</v>
      </c>
      <c r="L56" s="6" t="s">
        <v>51</v>
      </c>
      <c r="M56" s="6">
        <v>5</v>
      </c>
      <c r="N56" s="6" t="s">
        <v>45</v>
      </c>
      <c r="O56" s="6" t="s">
        <v>63</v>
      </c>
      <c r="P56" s="6">
        <v>1</v>
      </c>
      <c r="Q56" s="6">
        <v>0</v>
      </c>
      <c r="R56" s="6">
        <v>0</v>
      </c>
      <c r="S56" s="6">
        <v>0</v>
      </c>
      <c r="T56" s="6">
        <v>0</v>
      </c>
      <c r="U56" s="6">
        <v>0</v>
      </c>
      <c r="V56" s="6">
        <v>0</v>
      </c>
      <c r="W56" s="6">
        <v>0</v>
      </c>
      <c r="X56" s="6">
        <v>0</v>
      </c>
      <c r="Y56" s="6">
        <v>0</v>
      </c>
      <c r="Z56" s="6" t="s">
        <v>21</v>
      </c>
      <c r="AA56" s="6" t="s">
        <v>34</v>
      </c>
      <c r="AB56" s="6" t="s">
        <v>24</v>
      </c>
      <c r="AC56" s="6" t="s">
        <v>25</v>
      </c>
    </row>
    <row r="57" spans="1:29" x14ac:dyDescent="0.3">
      <c r="A57" s="7">
        <v>56</v>
      </c>
      <c r="B57" s="7">
        <v>0</v>
      </c>
      <c r="C57" s="7">
        <v>0</v>
      </c>
      <c r="D57" s="7">
        <v>0</v>
      </c>
      <c r="E57" s="7">
        <v>0</v>
      </c>
      <c r="F57" s="7">
        <v>0</v>
      </c>
      <c r="G57" s="7">
        <v>1</v>
      </c>
      <c r="H57" s="8" t="s">
        <v>15</v>
      </c>
      <c r="I57" s="8" t="s">
        <v>43</v>
      </c>
      <c r="J57" s="8" t="s">
        <v>37</v>
      </c>
      <c r="K57" s="8" t="s">
        <v>30</v>
      </c>
      <c r="L57" s="8" t="s">
        <v>58</v>
      </c>
      <c r="M57" s="8">
        <v>5</v>
      </c>
      <c r="N57" s="8" t="s">
        <v>45</v>
      </c>
      <c r="O57" s="8" t="s">
        <v>63</v>
      </c>
      <c r="P57" s="8">
        <v>0</v>
      </c>
      <c r="Q57" s="8">
        <v>0</v>
      </c>
      <c r="R57" s="8">
        <v>1</v>
      </c>
      <c r="S57" s="8">
        <v>0</v>
      </c>
      <c r="T57" s="8">
        <v>1</v>
      </c>
      <c r="U57" s="8">
        <v>0</v>
      </c>
      <c r="V57" s="8">
        <v>0</v>
      </c>
      <c r="W57" s="8">
        <v>0</v>
      </c>
      <c r="X57" s="8">
        <v>0</v>
      </c>
      <c r="Y57" s="8">
        <v>0</v>
      </c>
      <c r="Z57" s="8" t="s">
        <v>21</v>
      </c>
      <c r="AA57" s="8" t="s">
        <v>23</v>
      </c>
      <c r="AB57" s="8" t="s">
        <v>24</v>
      </c>
      <c r="AC57" s="8" t="s">
        <v>48</v>
      </c>
    </row>
    <row r="58" spans="1:29" x14ac:dyDescent="0.3">
      <c r="A58" s="5">
        <v>57</v>
      </c>
      <c r="B58" s="5">
        <v>1</v>
      </c>
      <c r="C58" s="5">
        <v>1</v>
      </c>
      <c r="D58" s="5">
        <v>0</v>
      </c>
      <c r="E58" s="5">
        <v>0</v>
      </c>
      <c r="F58" s="5">
        <v>1</v>
      </c>
      <c r="G58" s="5">
        <v>0</v>
      </c>
      <c r="H58" s="6" t="s">
        <v>27</v>
      </c>
      <c r="I58" s="6" t="s">
        <v>43</v>
      </c>
      <c r="J58" s="6" t="s">
        <v>29</v>
      </c>
      <c r="K58" s="6" t="s">
        <v>30</v>
      </c>
      <c r="L58" s="6" t="s">
        <v>44</v>
      </c>
      <c r="M58" s="6">
        <v>4</v>
      </c>
      <c r="N58" s="6" t="s">
        <v>45</v>
      </c>
      <c r="O58" s="6" t="s">
        <v>46</v>
      </c>
      <c r="P58" s="6">
        <v>1</v>
      </c>
      <c r="Q58" s="6">
        <v>1</v>
      </c>
      <c r="R58" s="6">
        <v>0</v>
      </c>
      <c r="S58" s="6">
        <v>1</v>
      </c>
      <c r="T58" s="6">
        <v>0</v>
      </c>
      <c r="U58" s="6">
        <v>0</v>
      </c>
      <c r="V58" s="6">
        <v>1</v>
      </c>
      <c r="W58" s="6">
        <v>1</v>
      </c>
      <c r="X58" s="6">
        <v>0</v>
      </c>
      <c r="Y58" s="6">
        <v>1</v>
      </c>
      <c r="Z58" s="6" t="s">
        <v>21</v>
      </c>
      <c r="AA58" s="6" t="s">
        <v>23</v>
      </c>
      <c r="AB58" s="6" t="s">
        <v>24</v>
      </c>
      <c r="AC58" s="6" t="s">
        <v>25</v>
      </c>
    </row>
    <row r="59" spans="1:29" x14ac:dyDescent="0.3">
      <c r="A59" s="7">
        <v>58</v>
      </c>
      <c r="B59" s="7">
        <v>1</v>
      </c>
      <c r="C59" s="7">
        <v>0</v>
      </c>
      <c r="D59" s="7">
        <v>0</v>
      </c>
      <c r="E59" s="7">
        <v>0</v>
      </c>
      <c r="F59" s="7">
        <v>1</v>
      </c>
      <c r="G59" s="7">
        <v>1</v>
      </c>
      <c r="H59" s="8" t="s">
        <v>27</v>
      </c>
      <c r="I59" s="8" t="s">
        <v>43</v>
      </c>
      <c r="J59" s="8" t="s">
        <v>29</v>
      </c>
      <c r="K59" s="8" t="s">
        <v>49</v>
      </c>
      <c r="L59" s="8" t="s">
        <v>51</v>
      </c>
      <c r="M59" s="8">
        <v>5</v>
      </c>
      <c r="N59" s="8" t="s">
        <v>45</v>
      </c>
      <c r="O59" s="8" t="s">
        <v>46</v>
      </c>
      <c r="P59" s="8">
        <v>1</v>
      </c>
      <c r="Q59" s="8">
        <v>1</v>
      </c>
      <c r="R59" s="8">
        <v>0</v>
      </c>
      <c r="S59" s="8">
        <v>1</v>
      </c>
      <c r="T59" s="8">
        <v>0</v>
      </c>
      <c r="U59" s="8">
        <v>1</v>
      </c>
      <c r="V59" s="8">
        <v>1</v>
      </c>
      <c r="W59" s="8">
        <v>1</v>
      </c>
      <c r="X59" s="8">
        <v>1</v>
      </c>
      <c r="Y59" s="8">
        <v>1</v>
      </c>
      <c r="Z59" s="8" t="s">
        <v>21</v>
      </c>
      <c r="AA59" s="8" t="s">
        <v>23</v>
      </c>
      <c r="AB59" s="8" t="s">
        <v>24</v>
      </c>
      <c r="AC59" s="8" t="s">
        <v>25</v>
      </c>
    </row>
    <row r="60" spans="1:29" x14ac:dyDescent="0.3">
      <c r="A60" s="5">
        <v>59</v>
      </c>
      <c r="B60" s="5">
        <v>0</v>
      </c>
      <c r="C60" s="5">
        <v>1</v>
      </c>
      <c r="D60" s="5">
        <v>0</v>
      </c>
      <c r="E60" s="5">
        <v>0</v>
      </c>
      <c r="F60" s="5">
        <v>0</v>
      </c>
      <c r="G60" s="5">
        <v>0</v>
      </c>
      <c r="H60" s="6" t="s">
        <v>15</v>
      </c>
      <c r="I60" s="6" t="s">
        <v>43</v>
      </c>
      <c r="J60" s="6" t="s">
        <v>29</v>
      </c>
      <c r="K60" s="6" t="s">
        <v>49</v>
      </c>
      <c r="L60" s="6" t="s">
        <v>44</v>
      </c>
      <c r="M60" s="6">
        <v>5</v>
      </c>
      <c r="N60" s="6" t="s">
        <v>72</v>
      </c>
      <c r="O60" s="6" t="s">
        <v>46</v>
      </c>
      <c r="P60" s="6">
        <v>0</v>
      </c>
      <c r="Q60" s="6">
        <v>0</v>
      </c>
      <c r="R60" s="6">
        <v>1</v>
      </c>
      <c r="S60" s="6">
        <v>0</v>
      </c>
      <c r="T60" s="6">
        <v>0</v>
      </c>
      <c r="U60" s="6">
        <v>0</v>
      </c>
      <c r="V60" s="6">
        <v>0</v>
      </c>
      <c r="W60" s="6">
        <v>0</v>
      </c>
      <c r="X60" s="6">
        <v>0</v>
      </c>
      <c r="Y60" s="6">
        <v>0</v>
      </c>
      <c r="Z60" s="6" t="s">
        <v>21</v>
      </c>
      <c r="AA60" s="6" t="s">
        <v>40</v>
      </c>
      <c r="AB60" s="6" t="s">
        <v>113</v>
      </c>
      <c r="AC60" s="6" t="s">
        <v>25</v>
      </c>
    </row>
    <row r="61" spans="1:29" x14ac:dyDescent="0.3">
      <c r="A61" s="7">
        <v>60</v>
      </c>
      <c r="B61" s="7">
        <v>0</v>
      </c>
      <c r="C61" s="7">
        <v>1</v>
      </c>
      <c r="D61" s="7">
        <v>0</v>
      </c>
      <c r="E61" s="7">
        <v>0</v>
      </c>
      <c r="F61" s="7">
        <v>0</v>
      </c>
      <c r="G61" s="7">
        <v>1</v>
      </c>
      <c r="H61" s="8" t="s">
        <v>15</v>
      </c>
      <c r="I61" s="8" t="s">
        <v>43</v>
      </c>
      <c r="J61" s="8" t="s">
        <v>17</v>
      </c>
      <c r="K61" s="8" t="s">
        <v>30</v>
      </c>
      <c r="L61" s="8" t="s">
        <v>58</v>
      </c>
      <c r="M61" s="8">
        <v>5</v>
      </c>
      <c r="N61" s="8" t="s">
        <v>45</v>
      </c>
      <c r="O61" s="8" t="s">
        <v>46</v>
      </c>
      <c r="P61" s="8">
        <v>1</v>
      </c>
      <c r="Q61" s="8">
        <v>1</v>
      </c>
      <c r="R61" s="8">
        <v>1</v>
      </c>
      <c r="S61" s="8">
        <v>0</v>
      </c>
      <c r="T61" s="8">
        <v>0</v>
      </c>
      <c r="U61" s="8">
        <v>1</v>
      </c>
      <c r="V61" s="8">
        <v>1</v>
      </c>
      <c r="W61" s="8">
        <v>1</v>
      </c>
      <c r="X61" s="8">
        <v>0</v>
      </c>
      <c r="Y61" s="8">
        <v>1</v>
      </c>
      <c r="Z61" s="8" t="s">
        <v>21</v>
      </c>
      <c r="AA61" s="8" t="s">
        <v>23</v>
      </c>
      <c r="AB61" s="8" t="s">
        <v>24</v>
      </c>
      <c r="AC61" s="8" t="s">
        <v>25</v>
      </c>
    </row>
    <row r="62" spans="1:29" x14ac:dyDescent="0.3">
      <c r="A62" s="5">
        <v>61</v>
      </c>
      <c r="B62" s="5">
        <v>0</v>
      </c>
      <c r="C62" s="5">
        <v>1</v>
      </c>
      <c r="D62" s="5">
        <v>0</v>
      </c>
      <c r="E62" s="5">
        <v>0</v>
      </c>
      <c r="F62" s="5">
        <v>0</v>
      </c>
      <c r="G62" s="5">
        <v>0</v>
      </c>
      <c r="H62" s="6" t="s">
        <v>42</v>
      </c>
      <c r="I62" s="6" t="s">
        <v>83</v>
      </c>
      <c r="J62" s="6" t="s">
        <v>37</v>
      </c>
      <c r="K62" s="6" t="s">
        <v>18</v>
      </c>
      <c r="L62" s="6" t="s">
        <v>44</v>
      </c>
      <c r="M62" s="6">
        <v>3</v>
      </c>
      <c r="N62" s="6" t="s">
        <v>45</v>
      </c>
      <c r="O62" s="6" t="s">
        <v>46</v>
      </c>
      <c r="P62" s="6">
        <v>1</v>
      </c>
      <c r="Q62" s="6">
        <v>1</v>
      </c>
      <c r="R62" s="6">
        <v>0</v>
      </c>
      <c r="S62" s="6">
        <v>1</v>
      </c>
      <c r="T62" s="6">
        <v>0</v>
      </c>
      <c r="U62" s="6">
        <v>0</v>
      </c>
      <c r="V62" s="6">
        <v>0</v>
      </c>
      <c r="W62" s="6">
        <v>0</v>
      </c>
      <c r="X62" s="6">
        <v>0</v>
      </c>
      <c r="Y62" s="6">
        <v>0</v>
      </c>
      <c r="Z62" s="6" t="s">
        <v>21</v>
      </c>
      <c r="AA62" s="6" t="s">
        <v>23</v>
      </c>
      <c r="AB62" s="6" t="s">
        <v>24</v>
      </c>
      <c r="AC62" s="6" t="s">
        <v>48</v>
      </c>
    </row>
    <row r="63" spans="1:29" x14ac:dyDescent="0.3">
      <c r="A63" s="7">
        <v>62</v>
      </c>
      <c r="B63" s="7">
        <v>0</v>
      </c>
      <c r="C63" s="7">
        <v>1</v>
      </c>
      <c r="D63" s="7">
        <v>0</v>
      </c>
      <c r="E63" s="7">
        <v>0</v>
      </c>
      <c r="F63" s="7">
        <v>0</v>
      </c>
      <c r="G63" s="7">
        <v>0</v>
      </c>
      <c r="H63" s="8" t="s">
        <v>27</v>
      </c>
      <c r="I63" s="8" t="s">
        <v>83</v>
      </c>
      <c r="J63" s="8" t="s">
        <v>50</v>
      </c>
      <c r="K63" s="8" t="s">
        <v>30</v>
      </c>
      <c r="L63" s="8" t="s">
        <v>44</v>
      </c>
      <c r="M63" s="8">
        <v>4</v>
      </c>
      <c r="N63" s="8" t="s">
        <v>45</v>
      </c>
      <c r="O63" s="8" t="s">
        <v>63</v>
      </c>
      <c r="P63" s="8">
        <v>1</v>
      </c>
      <c r="Q63" s="8">
        <v>0</v>
      </c>
      <c r="R63" s="8">
        <v>1</v>
      </c>
      <c r="S63" s="8">
        <v>0</v>
      </c>
      <c r="T63" s="8">
        <v>1</v>
      </c>
      <c r="U63" s="8">
        <v>1</v>
      </c>
      <c r="V63" s="8">
        <v>1</v>
      </c>
      <c r="W63" s="8">
        <v>1</v>
      </c>
      <c r="X63" s="8">
        <v>0</v>
      </c>
      <c r="Y63" s="8">
        <v>0</v>
      </c>
      <c r="Z63" s="8" t="s">
        <v>25</v>
      </c>
      <c r="AA63" s="8" t="s">
        <v>34</v>
      </c>
      <c r="AB63" s="8" t="s">
        <v>24</v>
      </c>
      <c r="AC63" s="8" t="s">
        <v>82</v>
      </c>
    </row>
    <row r="64" spans="1:29" x14ac:dyDescent="0.3">
      <c r="A64" s="5">
        <v>63</v>
      </c>
      <c r="B64" s="5">
        <v>0</v>
      </c>
      <c r="C64" s="5">
        <v>1</v>
      </c>
      <c r="D64" s="5">
        <v>0</v>
      </c>
      <c r="E64" s="5">
        <v>0</v>
      </c>
      <c r="F64" s="5">
        <v>1</v>
      </c>
      <c r="G64" s="5">
        <v>1</v>
      </c>
      <c r="H64" s="6" t="s">
        <v>15</v>
      </c>
      <c r="I64" s="6" t="s">
        <v>16</v>
      </c>
      <c r="J64" s="6" t="s">
        <v>17</v>
      </c>
      <c r="K64" s="6" t="s">
        <v>15</v>
      </c>
      <c r="L64" s="6" t="s">
        <v>58</v>
      </c>
      <c r="M64" s="6">
        <v>5</v>
      </c>
      <c r="N64" s="6" t="s">
        <v>45</v>
      </c>
      <c r="O64" s="6" t="s">
        <v>46</v>
      </c>
      <c r="P64" s="6">
        <v>1</v>
      </c>
      <c r="Q64" s="6">
        <v>1</v>
      </c>
      <c r="R64" s="6">
        <v>1</v>
      </c>
      <c r="S64" s="6">
        <v>1</v>
      </c>
      <c r="T64" s="6">
        <v>1</v>
      </c>
      <c r="U64" s="6">
        <v>1</v>
      </c>
      <c r="V64" s="6">
        <v>1</v>
      </c>
      <c r="W64" s="6">
        <v>1</v>
      </c>
      <c r="X64" s="6">
        <v>1</v>
      </c>
      <c r="Y64" s="6">
        <v>1</v>
      </c>
      <c r="Z64" s="6" t="s">
        <v>21</v>
      </c>
      <c r="AA64" s="6" t="s">
        <v>23</v>
      </c>
      <c r="AB64" s="6" t="s">
        <v>24</v>
      </c>
      <c r="AC64" s="6" t="s">
        <v>48</v>
      </c>
    </row>
    <row r="65" spans="1:29" x14ac:dyDescent="0.3">
      <c r="A65" s="7">
        <v>64</v>
      </c>
      <c r="B65" s="7">
        <v>0</v>
      </c>
      <c r="C65" s="7">
        <v>1</v>
      </c>
      <c r="D65" s="7">
        <v>0</v>
      </c>
      <c r="E65" s="7">
        <v>0</v>
      </c>
      <c r="F65" s="7">
        <v>0</v>
      </c>
      <c r="G65" s="7">
        <v>0</v>
      </c>
      <c r="H65" s="8" t="s">
        <v>27</v>
      </c>
      <c r="I65" s="8" t="s">
        <v>43</v>
      </c>
      <c r="J65" s="8" t="s">
        <v>29</v>
      </c>
      <c r="K65" s="8" t="s">
        <v>15</v>
      </c>
      <c r="L65" s="8" t="s">
        <v>51</v>
      </c>
      <c r="M65" s="8">
        <v>5</v>
      </c>
      <c r="N65" s="8" t="s">
        <v>45</v>
      </c>
      <c r="O65" s="8" t="s">
        <v>63</v>
      </c>
      <c r="P65" s="8">
        <v>1</v>
      </c>
      <c r="Q65" s="8">
        <v>0</v>
      </c>
      <c r="R65" s="8">
        <v>1</v>
      </c>
      <c r="S65" s="8">
        <v>0</v>
      </c>
      <c r="T65" s="8">
        <v>0</v>
      </c>
      <c r="U65" s="8">
        <v>0</v>
      </c>
      <c r="V65" s="8">
        <v>0</v>
      </c>
      <c r="W65" s="8">
        <v>0</v>
      </c>
      <c r="X65" s="8">
        <v>0</v>
      </c>
      <c r="Y65" s="8">
        <v>0</v>
      </c>
      <c r="Z65" s="8" t="s">
        <v>21</v>
      </c>
      <c r="AA65" s="8" t="s">
        <v>23</v>
      </c>
      <c r="AB65" s="8" t="s">
        <v>24</v>
      </c>
      <c r="AC65" s="8" t="s">
        <v>25</v>
      </c>
    </row>
    <row r="66" spans="1:29" x14ac:dyDescent="0.3">
      <c r="A66" s="5">
        <v>65</v>
      </c>
      <c r="B66" s="5">
        <v>1</v>
      </c>
      <c r="C66" s="5">
        <v>0</v>
      </c>
      <c r="D66" s="5">
        <v>0</v>
      </c>
      <c r="E66" s="5">
        <v>0</v>
      </c>
      <c r="F66" s="5">
        <v>0</v>
      </c>
      <c r="G66" s="5">
        <v>0</v>
      </c>
      <c r="H66" s="6" t="s">
        <v>15</v>
      </c>
      <c r="I66" s="6" t="s">
        <v>43</v>
      </c>
      <c r="J66" s="6" t="s">
        <v>37</v>
      </c>
      <c r="K66" s="6" t="s">
        <v>15</v>
      </c>
      <c r="L66" s="6" t="s">
        <v>70</v>
      </c>
      <c r="M66" s="6">
        <v>3</v>
      </c>
      <c r="N66" s="6" t="s">
        <v>45</v>
      </c>
      <c r="O66" s="6" t="s">
        <v>46</v>
      </c>
      <c r="P66" s="6">
        <v>1</v>
      </c>
      <c r="Q66" s="6">
        <v>1</v>
      </c>
      <c r="R66" s="6">
        <v>1</v>
      </c>
      <c r="S66" s="6">
        <v>0</v>
      </c>
      <c r="T66" s="6">
        <v>0</v>
      </c>
      <c r="U66" s="6">
        <v>0</v>
      </c>
      <c r="V66" s="6">
        <v>1</v>
      </c>
      <c r="W66" s="6">
        <v>0</v>
      </c>
      <c r="X66" s="6">
        <v>0</v>
      </c>
      <c r="Y66" s="6">
        <v>0</v>
      </c>
      <c r="Z66" s="6" t="s">
        <v>21</v>
      </c>
      <c r="AA66" s="6" t="s">
        <v>23</v>
      </c>
      <c r="AB66" s="6" t="s">
        <v>24</v>
      </c>
      <c r="AC66" s="6" t="s">
        <v>25</v>
      </c>
    </row>
    <row r="67" spans="1:29" x14ac:dyDescent="0.3">
      <c r="A67" s="7">
        <v>66</v>
      </c>
      <c r="B67" s="7">
        <v>0</v>
      </c>
      <c r="C67" s="7">
        <v>1</v>
      </c>
      <c r="D67" s="7">
        <v>0</v>
      </c>
      <c r="E67" s="7">
        <v>0</v>
      </c>
      <c r="F67" s="7">
        <v>1</v>
      </c>
      <c r="G67" s="7">
        <v>0</v>
      </c>
      <c r="H67" s="8" t="s">
        <v>49</v>
      </c>
      <c r="I67" s="8" t="s">
        <v>43</v>
      </c>
      <c r="J67" s="8" t="s">
        <v>50</v>
      </c>
      <c r="K67" s="8" t="s">
        <v>30</v>
      </c>
      <c r="L67" s="8" t="s">
        <v>44</v>
      </c>
      <c r="M67" s="8">
        <v>4</v>
      </c>
      <c r="N67" s="8" t="s">
        <v>45</v>
      </c>
      <c r="O67" s="8" t="s">
        <v>63</v>
      </c>
      <c r="P67" s="8">
        <v>1</v>
      </c>
      <c r="Q67" s="8">
        <v>1</v>
      </c>
      <c r="R67" s="8">
        <v>0</v>
      </c>
      <c r="S67" s="8">
        <v>1</v>
      </c>
      <c r="T67" s="8">
        <v>1</v>
      </c>
      <c r="U67" s="8">
        <v>1</v>
      </c>
      <c r="V67" s="8">
        <v>1</v>
      </c>
      <c r="W67" s="8">
        <v>1</v>
      </c>
      <c r="X67" s="8">
        <v>0</v>
      </c>
      <c r="Y67" s="8">
        <v>1</v>
      </c>
      <c r="Z67" s="8" t="s">
        <v>21</v>
      </c>
      <c r="AA67" s="8" t="s">
        <v>23</v>
      </c>
      <c r="AB67" s="8" t="s">
        <v>24</v>
      </c>
      <c r="AC67" s="8" t="s">
        <v>48</v>
      </c>
    </row>
    <row r="68" spans="1:29" x14ac:dyDescent="0.3">
      <c r="A68" s="5">
        <v>67</v>
      </c>
      <c r="B68" s="5">
        <v>1</v>
      </c>
      <c r="C68" s="5">
        <v>1</v>
      </c>
      <c r="D68" s="5">
        <v>0</v>
      </c>
      <c r="E68" s="5">
        <v>0</v>
      </c>
      <c r="F68" s="5">
        <v>1</v>
      </c>
      <c r="G68" s="5">
        <v>1</v>
      </c>
      <c r="H68" s="6" t="s">
        <v>15</v>
      </c>
      <c r="I68" s="6" t="s">
        <v>83</v>
      </c>
      <c r="J68" s="6" t="s">
        <v>29</v>
      </c>
      <c r="K68" s="6" t="s">
        <v>15</v>
      </c>
      <c r="L68" s="6" t="s">
        <v>44</v>
      </c>
      <c r="M68" s="6">
        <v>4</v>
      </c>
      <c r="N68" s="6" t="s">
        <v>84</v>
      </c>
      <c r="O68" s="6" t="s">
        <v>63</v>
      </c>
      <c r="P68" s="6">
        <v>1</v>
      </c>
      <c r="Q68" s="6">
        <v>1</v>
      </c>
      <c r="R68" s="6">
        <v>0</v>
      </c>
      <c r="S68" s="6">
        <v>1</v>
      </c>
      <c r="T68" s="6">
        <v>1</v>
      </c>
      <c r="U68" s="6">
        <v>1</v>
      </c>
      <c r="V68" s="6">
        <v>0</v>
      </c>
      <c r="W68" s="6">
        <v>0</v>
      </c>
      <c r="X68" s="6">
        <v>1</v>
      </c>
      <c r="Y68" s="6">
        <v>1</v>
      </c>
      <c r="Z68" s="6" t="s">
        <v>21</v>
      </c>
      <c r="AA68" s="6" t="s">
        <v>23</v>
      </c>
      <c r="AB68" s="6" t="s">
        <v>24</v>
      </c>
      <c r="AC68" s="6" t="s">
        <v>48</v>
      </c>
    </row>
    <row r="69" spans="1:29" x14ac:dyDescent="0.3">
      <c r="A69" s="7">
        <v>68</v>
      </c>
      <c r="B69" s="7">
        <v>1</v>
      </c>
      <c r="C69" s="7">
        <v>1</v>
      </c>
      <c r="D69" s="7">
        <v>0</v>
      </c>
      <c r="E69" s="7">
        <v>0</v>
      </c>
      <c r="F69" s="7">
        <v>1</v>
      </c>
      <c r="G69" s="7">
        <v>1</v>
      </c>
      <c r="H69" s="8" t="s">
        <v>49</v>
      </c>
      <c r="I69" s="8" t="s">
        <v>43</v>
      </c>
      <c r="J69" s="8" t="s">
        <v>29</v>
      </c>
      <c r="K69" s="8" t="s">
        <v>30</v>
      </c>
      <c r="L69" s="8" t="s">
        <v>51</v>
      </c>
      <c r="M69" s="8">
        <v>5</v>
      </c>
      <c r="N69" s="8" t="s">
        <v>45</v>
      </c>
      <c r="O69" s="8" t="s">
        <v>46</v>
      </c>
      <c r="P69" s="8">
        <v>1</v>
      </c>
      <c r="Q69" s="8">
        <v>1</v>
      </c>
      <c r="R69" s="8">
        <v>1</v>
      </c>
      <c r="S69" s="8">
        <v>1</v>
      </c>
      <c r="T69" s="8">
        <v>0</v>
      </c>
      <c r="U69" s="8">
        <v>1</v>
      </c>
      <c r="V69" s="8">
        <v>1</v>
      </c>
      <c r="W69" s="8">
        <v>0</v>
      </c>
      <c r="X69" s="8">
        <v>0</v>
      </c>
      <c r="Y69" s="8">
        <v>0</v>
      </c>
      <c r="Z69" s="8" t="s">
        <v>21</v>
      </c>
      <c r="AA69" s="8" t="s">
        <v>40</v>
      </c>
      <c r="AB69" s="8" t="s">
        <v>54</v>
      </c>
      <c r="AC69" s="8" t="s">
        <v>48</v>
      </c>
    </row>
    <row r="70" spans="1:29" x14ac:dyDescent="0.3">
      <c r="A70" s="5">
        <v>69</v>
      </c>
      <c r="B70" s="5">
        <v>1</v>
      </c>
      <c r="C70" s="5">
        <v>0</v>
      </c>
      <c r="D70" s="5">
        <v>0</v>
      </c>
      <c r="E70" s="5">
        <v>0</v>
      </c>
      <c r="F70" s="5">
        <v>0</v>
      </c>
      <c r="G70" s="5">
        <v>0</v>
      </c>
      <c r="H70" s="6" t="s">
        <v>27</v>
      </c>
      <c r="I70" s="6" t="s">
        <v>43</v>
      </c>
      <c r="J70" s="6" t="s">
        <v>50</v>
      </c>
      <c r="K70" s="6" t="s">
        <v>30</v>
      </c>
      <c r="L70" s="6" t="s">
        <v>58</v>
      </c>
      <c r="M70" s="6">
        <v>4</v>
      </c>
      <c r="N70" s="6" t="s">
        <v>84</v>
      </c>
      <c r="O70" s="6" t="s">
        <v>63</v>
      </c>
      <c r="P70" s="6">
        <v>0</v>
      </c>
      <c r="Q70" s="6">
        <v>0</v>
      </c>
      <c r="R70" s="6">
        <v>0</v>
      </c>
      <c r="S70" s="6">
        <v>0</v>
      </c>
      <c r="T70" s="6">
        <v>0</v>
      </c>
      <c r="U70" s="6">
        <v>1</v>
      </c>
      <c r="V70" s="6">
        <v>0</v>
      </c>
      <c r="W70" s="6">
        <v>0</v>
      </c>
      <c r="X70" s="6">
        <v>0</v>
      </c>
      <c r="Y70" s="6">
        <v>0</v>
      </c>
      <c r="Z70" s="6" t="s">
        <v>21</v>
      </c>
      <c r="AA70" s="6" t="s">
        <v>23</v>
      </c>
      <c r="AB70" s="6" t="s">
        <v>24</v>
      </c>
      <c r="AC70" s="6" t="s">
        <v>48</v>
      </c>
    </row>
    <row r="71" spans="1:29" x14ac:dyDescent="0.3">
      <c r="A71" s="7">
        <v>70</v>
      </c>
      <c r="B71" s="7">
        <v>0</v>
      </c>
      <c r="C71" s="7">
        <v>0</v>
      </c>
      <c r="D71" s="7">
        <v>0</v>
      </c>
      <c r="E71" s="7">
        <v>0</v>
      </c>
      <c r="F71" s="7">
        <v>0</v>
      </c>
      <c r="G71" s="7">
        <v>1</v>
      </c>
      <c r="H71" s="8" t="s">
        <v>15</v>
      </c>
      <c r="I71" s="8" t="s">
        <v>83</v>
      </c>
      <c r="J71" s="8" t="s">
        <v>356</v>
      </c>
      <c r="K71" s="8" t="s">
        <v>15</v>
      </c>
      <c r="L71" s="8" t="s">
        <v>44</v>
      </c>
      <c r="M71" s="8">
        <v>5</v>
      </c>
      <c r="N71" s="8" t="s">
        <v>45</v>
      </c>
      <c r="O71" s="8" t="s">
        <v>46</v>
      </c>
      <c r="P71" s="8">
        <v>1</v>
      </c>
      <c r="Q71" s="8">
        <v>1</v>
      </c>
      <c r="R71" s="8">
        <v>1</v>
      </c>
      <c r="S71" s="8">
        <v>1</v>
      </c>
      <c r="T71" s="8">
        <v>1</v>
      </c>
      <c r="U71" s="8">
        <v>0</v>
      </c>
      <c r="V71" s="8">
        <v>1</v>
      </c>
      <c r="W71" s="8">
        <v>1</v>
      </c>
      <c r="X71" s="8">
        <v>1</v>
      </c>
      <c r="Y71" s="8">
        <v>0</v>
      </c>
      <c r="Z71" s="8" t="s">
        <v>21</v>
      </c>
      <c r="AA71" s="8" t="s">
        <v>23</v>
      </c>
      <c r="AB71" s="8" t="s">
        <v>24</v>
      </c>
      <c r="AC71" s="8" t="s">
        <v>48</v>
      </c>
    </row>
    <row r="72" spans="1:29" x14ac:dyDescent="0.3">
      <c r="A72" s="5">
        <v>71</v>
      </c>
      <c r="B72" s="5">
        <v>0</v>
      </c>
      <c r="C72" s="5">
        <v>0</v>
      </c>
      <c r="D72" s="5">
        <v>1</v>
      </c>
      <c r="E72" s="5">
        <v>0</v>
      </c>
      <c r="F72" s="5">
        <v>0</v>
      </c>
      <c r="G72" s="5">
        <v>0</v>
      </c>
      <c r="H72" s="6" t="s">
        <v>42</v>
      </c>
      <c r="I72" s="6" t="s">
        <v>43</v>
      </c>
      <c r="J72" s="6" t="s">
        <v>50</v>
      </c>
      <c r="K72" s="6" t="s">
        <v>49</v>
      </c>
      <c r="L72" s="6" t="s">
        <v>51</v>
      </c>
      <c r="M72" s="6">
        <v>5</v>
      </c>
      <c r="N72" s="6" t="s">
        <v>59</v>
      </c>
      <c r="O72" s="6" t="s">
        <v>46</v>
      </c>
      <c r="P72" s="6">
        <v>1</v>
      </c>
      <c r="Q72" s="6">
        <v>0</v>
      </c>
      <c r="R72" s="6">
        <v>1</v>
      </c>
      <c r="S72" s="6">
        <v>0</v>
      </c>
      <c r="T72" s="6">
        <v>0</v>
      </c>
      <c r="U72" s="6">
        <v>0</v>
      </c>
      <c r="V72" s="6">
        <v>0</v>
      </c>
      <c r="W72" s="6">
        <v>1</v>
      </c>
      <c r="X72" s="6">
        <v>0</v>
      </c>
      <c r="Y72" s="6">
        <v>0</v>
      </c>
      <c r="Z72" s="6" t="s">
        <v>21</v>
      </c>
      <c r="AA72" s="6" t="s">
        <v>34</v>
      </c>
      <c r="AB72" s="6" t="s">
        <v>24</v>
      </c>
      <c r="AC72" s="6" t="s">
        <v>48</v>
      </c>
    </row>
    <row r="73" spans="1:29" x14ac:dyDescent="0.3">
      <c r="A73" s="7">
        <v>72</v>
      </c>
      <c r="B73" s="7">
        <v>0</v>
      </c>
      <c r="C73" s="7">
        <v>0</v>
      </c>
      <c r="D73" s="7">
        <v>1</v>
      </c>
      <c r="E73" s="7">
        <v>0</v>
      </c>
      <c r="F73" s="7">
        <v>0</v>
      </c>
      <c r="G73" s="7">
        <v>0</v>
      </c>
      <c r="H73" s="8" t="s">
        <v>15</v>
      </c>
      <c r="I73" s="8" t="s">
        <v>43</v>
      </c>
      <c r="J73" s="8" t="s">
        <v>356</v>
      </c>
      <c r="K73" s="8" t="s">
        <v>30</v>
      </c>
      <c r="L73" s="8" t="s">
        <v>70</v>
      </c>
      <c r="M73" s="8">
        <v>4</v>
      </c>
      <c r="N73" s="8" t="s">
        <v>45</v>
      </c>
      <c r="O73" s="8" t="s">
        <v>46</v>
      </c>
      <c r="P73" s="8">
        <v>0</v>
      </c>
      <c r="Q73" s="8">
        <v>0</v>
      </c>
      <c r="R73" s="8">
        <v>0</v>
      </c>
      <c r="S73" s="8">
        <v>1</v>
      </c>
      <c r="T73" s="8">
        <v>1</v>
      </c>
      <c r="U73" s="8">
        <v>1</v>
      </c>
      <c r="V73" s="8">
        <v>1</v>
      </c>
      <c r="W73" s="8">
        <v>1</v>
      </c>
      <c r="X73" s="8">
        <v>1</v>
      </c>
      <c r="Y73" s="8">
        <v>0</v>
      </c>
      <c r="Z73" s="8" t="s">
        <v>21</v>
      </c>
      <c r="AA73" s="8" t="s">
        <v>23</v>
      </c>
      <c r="AB73" s="8" t="s">
        <v>24</v>
      </c>
      <c r="AC73" s="8" t="s">
        <v>21</v>
      </c>
    </row>
    <row r="74" spans="1:29" x14ac:dyDescent="0.3">
      <c r="A74" s="5">
        <v>73</v>
      </c>
      <c r="B74" s="5">
        <v>0</v>
      </c>
      <c r="C74" s="5">
        <v>1</v>
      </c>
      <c r="D74" s="5">
        <v>0</v>
      </c>
      <c r="E74" s="5">
        <v>0</v>
      </c>
      <c r="F74" s="5">
        <v>0</v>
      </c>
      <c r="G74" s="5">
        <v>1</v>
      </c>
      <c r="H74" s="6" t="s">
        <v>49</v>
      </c>
      <c r="I74" s="6" t="s">
        <v>43</v>
      </c>
      <c r="J74" s="6" t="s">
        <v>50</v>
      </c>
      <c r="K74" s="6" t="s">
        <v>30</v>
      </c>
      <c r="L74" s="6" t="s">
        <v>70</v>
      </c>
      <c r="M74" s="6">
        <v>5</v>
      </c>
      <c r="N74" s="6" t="s">
        <v>45</v>
      </c>
      <c r="O74" s="6" t="s">
        <v>52</v>
      </c>
      <c r="P74" s="6">
        <v>1</v>
      </c>
      <c r="Q74" s="6">
        <v>1</v>
      </c>
      <c r="R74" s="6">
        <v>0</v>
      </c>
      <c r="S74" s="6">
        <v>0</v>
      </c>
      <c r="T74" s="6">
        <v>0</v>
      </c>
      <c r="U74" s="6">
        <v>1</v>
      </c>
      <c r="V74" s="6">
        <v>1</v>
      </c>
      <c r="W74" s="6">
        <v>0</v>
      </c>
      <c r="X74" s="6">
        <v>1</v>
      </c>
      <c r="Y74" s="6">
        <v>1</v>
      </c>
      <c r="Z74" s="6" t="s">
        <v>21</v>
      </c>
      <c r="AA74" s="6" t="s">
        <v>34</v>
      </c>
      <c r="AB74" s="6" t="s">
        <v>24</v>
      </c>
      <c r="AC74" s="6" t="s">
        <v>82</v>
      </c>
    </row>
    <row r="75" spans="1:29" x14ac:dyDescent="0.3">
      <c r="A75" s="7">
        <v>74</v>
      </c>
      <c r="B75" s="7">
        <v>0</v>
      </c>
      <c r="C75" s="7">
        <v>0</v>
      </c>
      <c r="D75" s="7">
        <v>0</v>
      </c>
      <c r="E75" s="7">
        <v>0</v>
      </c>
      <c r="F75" s="7">
        <v>1</v>
      </c>
      <c r="G75" s="7">
        <v>1</v>
      </c>
      <c r="H75" s="8" t="s">
        <v>49</v>
      </c>
      <c r="I75" s="8" t="s">
        <v>83</v>
      </c>
      <c r="J75" s="8" t="s">
        <v>37</v>
      </c>
      <c r="K75" s="8" t="s">
        <v>15</v>
      </c>
      <c r="L75" s="8" t="s">
        <v>51</v>
      </c>
      <c r="M75" s="8">
        <v>1</v>
      </c>
      <c r="N75" s="8" t="s">
        <v>45</v>
      </c>
      <c r="O75" s="8" t="s">
        <v>52</v>
      </c>
      <c r="P75" s="8">
        <v>1</v>
      </c>
      <c r="Q75" s="8">
        <v>0</v>
      </c>
      <c r="R75" s="8">
        <v>0</v>
      </c>
      <c r="S75" s="8">
        <v>0</v>
      </c>
      <c r="T75" s="8">
        <v>0</v>
      </c>
      <c r="U75" s="8">
        <v>0</v>
      </c>
      <c r="V75" s="8">
        <v>0</v>
      </c>
      <c r="W75" s="8">
        <v>0</v>
      </c>
      <c r="X75" s="8">
        <v>0</v>
      </c>
      <c r="Y75" s="8">
        <v>0</v>
      </c>
      <c r="Z75" s="8" t="s">
        <v>25</v>
      </c>
      <c r="AA75" s="8" t="s">
        <v>34</v>
      </c>
      <c r="AB75" s="8" t="s">
        <v>136</v>
      </c>
      <c r="AC75" s="8" t="s">
        <v>48</v>
      </c>
    </row>
    <row r="76" spans="1:29" x14ac:dyDescent="0.3">
      <c r="A76" s="5">
        <v>75</v>
      </c>
      <c r="B76" s="5">
        <v>1</v>
      </c>
      <c r="C76" s="5">
        <v>0</v>
      </c>
      <c r="D76" s="5">
        <v>0</v>
      </c>
      <c r="E76" s="5">
        <v>0</v>
      </c>
      <c r="F76" s="5">
        <v>0</v>
      </c>
      <c r="G76" s="5">
        <v>0</v>
      </c>
      <c r="H76" s="6" t="s">
        <v>15</v>
      </c>
      <c r="I76" s="6" t="s">
        <v>16</v>
      </c>
      <c r="J76" s="6" t="s">
        <v>17</v>
      </c>
      <c r="K76" s="6" t="s">
        <v>18</v>
      </c>
      <c r="L76" s="6" t="s">
        <v>51</v>
      </c>
      <c r="M76" s="6">
        <v>2</v>
      </c>
      <c r="N76" s="6" t="s">
        <v>72</v>
      </c>
      <c r="O76" s="6" t="s">
        <v>46</v>
      </c>
      <c r="P76" s="6">
        <v>1</v>
      </c>
      <c r="Q76" s="6">
        <v>0</v>
      </c>
      <c r="R76" s="6">
        <v>0</v>
      </c>
      <c r="S76" s="6">
        <v>0</v>
      </c>
      <c r="T76" s="6">
        <v>0</v>
      </c>
      <c r="U76" s="6">
        <v>0</v>
      </c>
      <c r="V76" s="6">
        <v>0</v>
      </c>
      <c r="W76" s="6">
        <v>0</v>
      </c>
      <c r="X76" s="6">
        <v>0</v>
      </c>
      <c r="Y76" s="6">
        <v>0</v>
      </c>
      <c r="Z76" s="6" t="s">
        <v>21</v>
      </c>
      <c r="AA76" s="6" t="s">
        <v>40</v>
      </c>
      <c r="AB76" s="6" t="s">
        <v>24</v>
      </c>
      <c r="AC76" s="6" t="s">
        <v>25</v>
      </c>
    </row>
    <row r="77" spans="1:29" x14ac:dyDescent="0.3">
      <c r="A77" s="7">
        <v>76</v>
      </c>
      <c r="B77" s="7">
        <v>1</v>
      </c>
      <c r="C77" s="7">
        <v>0</v>
      </c>
      <c r="D77" s="7">
        <v>1</v>
      </c>
      <c r="E77" s="7">
        <v>0</v>
      </c>
      <c r="F77" s="7">
        <v>0</v>
      </c>
      <c r="G77" s="7">
        <v>1</v>
      </c>
      <c r="H77" s="8" t="s">
        <v>49</v>
      </c>
      <c r="I77" s="8" t="s">
        <v>43</v>
      </c>
      <c r="J77" s="8" t="s">
        <v>50</v>
      </c>
      <c r="K77" s="8" t="s">
        <v>49</v>
      </c>
      <c r="L77" s="8" t="s">
        <v>44</v>
      </c>
      <c r="M77" s="8">
        <v>5</v>
      </c>
      <c r="N77" s="8" t="s">
        <v>45</v>
      </c>
      <c r="O77" s="8" t="s">
        <v>52</v>
      </c>
      <c r="P77" s="8">
        <v>1</v>
      </c>
      <c r="Q77" s="8">
        <v>1</v>
      </c>
      <c r="R77" s="8">
        <v>0</v>
      </c>
      <c r="S77" s="8">
        <v>0</v>
      </c>
      <c r="T77" s="8">
        <v>0</v>
      </c>
      <c r="U77" s="8">
        <v>1</v>
      </c>
      <c r="V77" s="8">
        <v>1</v>
      </c>
      <c r="W77" s="8">
        <v>1</v>
      </c>
      <c r="X77" s="8">
        <v>1</v>
      </c>
      <c r="Y77" s="8">
        <v>0</v>
      </c>
      <c r="Z77" s="8" t="s">
        <v>21</v>
      </c>
      <c r="AA77" s="8" t="s">
        <v>34</v>
      </c>
      <c r="AB77" s="8" t="s">
        <v>54</v>
      </c>
      <c r="AC77" s="8" t="s">
        <v>25</v>
      </c>
    </row>
    <row r="78" spans="1:29" x14ac:dyDescent="0.3">
      <c r="A78" s="5">
        <v>77</v>
      </c>
      <c r="B78" s="5">
        <v>0</v>
      </c>
      <c r="C78" s="5">
        <v>1</v>
      </c>
      <c r="D78" s="5">
        <v>0</v>
      </c>
      <c r="E78" s="5">
        <v>0</v>
      </c>
      <c r="F78" s="5">
        <v>0</v>
      </c>
      <c r="G78" s="5">
        <v>0</v>
      </c>
      <c r="H78" s="6" t="s">
        <v>15</v>
      </c>
      <c r="I78" s="6" t="s">
        <v>83</v>
      </c>
      <c r="J78" s="6" t="s">
        <v>37</v>
      </c>
      <c r="K78" s="6" t="s">
        <v>15</v>
      </c>
      <c r="L78" s="6" t="s">
        <v>44</v>
      </c>
      <c r="M78" s="6">
        <v>3</v>
      </c>
      <c r="N78" s="6" t="s">
        <v>84</v>
      </c>
      <c r="O78" s="6" t="s">
        <v>63</v>
      </c>
      <c r="P78" s="6">
        <v>0</v>
      </c>
      <c r="Q78" s="6">
        <v>1</v>
      </c>
      <c r="R78" s="6">
        <v>0</v>
      </c>
      <c r="S78" s="6">
        <v>0</v>
      </c>
      <c r="T78" s="6">
        <v>0</v>
      </c>
      <c r="U78" s="6">
        <v>0</v>
      </c>
      <c r="V78" s="6">
        <v>0</v>
      </c>
      <c r="W78" s="6">
        <v>0</v>
      </c>
      <c r="X78" s="6">
        <v>0</v>
      </c>
      <c r="Y78" s="6">
        <v>0</v>
      </c>
      <c r="Z78" s="6" t="s">
        <v>21</v>
      </c>
      <c r="AA78" s="6" t="s">
        <v>23</v>
      </c>
      <c r="AB78" s="6" t="s">
        <v>24</v>
      </c>
      <c r="AC78" s="6" t="s">
        <v>25</v>
      </c>
    </row>
    <row r="79" spans="1:29" x14ac:dyDescent="0.3">
      <c r="A79" s="7">
        <v>78</v>
      </c>
      <c r="B79" s="7">
        <v>0</v>
      </c>
      <c r="C79" s="7">
        <v>1</v>
      </c>
      <c r="D79" s="7">
        <v>0</v>
      </c>
      <c r="E79" s="7">
        <v>0</v>
      </c>
      <c r="F79" s="7">
        <v>0</v>
      </c>
      <c r="G79" s="7">
        <v>0</v>
      </c>
      <c r="H79" s="8" t="s">
        <v>27</v>
      </c>
      <c r="I79" s="8" t="s">
        <v>43</v>
      </c>
      <c r="J79" s="8" t="s">
        <v>50</v>
      </c>
      <c r="K79" s="8" t="s">
        <v>49</v>
      </c>
      <c r="L79" s="8" t="s">
        <v>44</v>
      </c>
      <c r="M79" s="8">
        <v>1</v>
      </c>
      <c r="N79" s="8" t="s">
        <v>45</v>
      </c>
      <c r="O79" s="8" t="s">
        <v>52</v>
      </c>
      <c r="P79" s="8">
        <v>0</v>
      </c>
      <c r="Q79" s="8">
        <v>1</v>
      </c>
      <c r="R79" s="8">
        <v>0</v>
      </c>
      <c r="S79" s="8">
        <v>0</v>
      </c>
      <c r="T79" s="8">
        <v>0</v>
      </c>
      <c r="U79" s="8">
        <v>0</v>
      </c>
      <c r="V79" s="8">
        <v>1</v>
      </c>
      <c r="W79" s="8">
        <v>0</v>
      </c>
      <c r="X79" s="8">
        <v>0</v>
      </c>
      <c r="Y79" s="8">
        <v>0</v>
      </c>
      <c r="Z79" s="8" t="s">
        <v>25</v>
      </c>
      <c r="AA79" s="8" t="s">
        <v>34</v>
      </c>
      <c r="AB79" s="8" t="s">
        <v>24</v>
      </c>
      <c r="AC79" s="8" t="s">
        <v>25</v>
      </c>
    </row>
    <row r="80" spans="1:29" x14ac:dyDescent="0.3">
      <c r="A80" s="5">
        <v>79</v>
      </c>
      <c r="B80" s="5">
        <v>0</v>
      </c>
      <c r="C80" s="5">
        <v>1</v>
      </c>
      <c r="D80" s="5">
        <v>0</v>
      </c>
      <c r="E80" s="5">
        <v>0</v>
      </c>
      <c r="F80" s="5">
        <v>0</v>
      </c>
      <c r="G80" s="5">
        <v>1</v>
      </c>
      <c r="H80" s="6" t="s">
        <v>15</v>
      </c>
      <c r="I80" s="6" t="s">
        <v>43</v>
      </c>
      <c r="J80" s="6" t="s">
        <v>37</v>
      </c>
      <c r="K80" s="6" t="s">
        <v>30</v>
      </c>
      <c r="L80" s="6" t="s">
        <v>44</v>
      </c>
      <c r="M80" s="6">
        <v>4</v>
      </c>
      <c r="N80" s="6" t="s">
        <v>45</v>
      </c>
      <c r="O80" s="6" t="s">
        <v>46</v>
      </c>
      <c r="P80" s="6">
        <v>1</v>
      </c>
      <c r="Q80" s="6">
        <v>0</v>
      </c>
      <c r="R80" s="6">
        <v>0</v>
      </c>
      <c r="S80" s="6">
        <v>0</v>
      </c>
      <c r="T80" s="6">
        <v>0</v>
      </c>
      <c r="U80" s="6">
        <v>0</v>
      </c>
      <c r="V80" s="6">
        <v>0</v>
      </c>
      <c r="W80" s="6">
        <v>0</v>
      </c>
      <c r="X80" s="6">
        <v>0</v>
      </c>
      <c r="Y80" s="6">
        <v>0</v>
      </c>
      <c r="Z80" s="6" t="s">
        <v>21</v>
      </c>
      <c r="AA80" s="6" t="s">
        <v>40</v>
      </c>
      <c r="AB80" s="6" t="s">
        <v>24</v>
      </c>
      <c r="AC80" s="6" t="s">
        <v>48</v>
      </c>
    </row>
    <row r="81" spans="1:29" x14ac:dyDescent="0.3">
      <c r="A81" s="7">
        <v>80</v>
      </c>
      <c r="B81" s="7">
        <v>0</v>
      </c>
      <c r="C81" s="7">
        <v>1</v>
      </c>
      <c r="D81" s="7">
        <v>0</v>
      </c>
      <c r="E81" s="7">
        <v>0</v>
      </c>
      <c r="F81" s="7">
        <v>1</v>
      </c>
      <c r="G81" s="7">
        <v>1</v>
      </c>
      <c r="H81" s="8" t="s">
        <v>15</v>
      </c>
      <c r="I81" s="8" t="s">
        <v>16</v>
      </c>
      <c r="J81" s="8" t="s">
        <v>50</v>
      </c>
      <c r="K81" s="8" t="s">
        <v>49</v>
      </c>
      <c r="L81" s="8" t="s">
        <v>44</v>
      </c>
      <c r="M81" s="8">
        <v>4</v>
      </c>
      <c r="N81" s="8" t="s">
        <v>45</v>
      </c>
      <c r="O81" s="8" t="s">
        <v>63</v>
      </c>
      <c r="P81" s="8">
        <v>1</v>
      </c>
      <c r="Q81" s="8">
        <v>1</v>
      </c>
      <c r="R81" s="8">
        <v>1</v>
      </c>
      <c r="S81" s="8">
        <v>0</v>
      </c>
      <c r="T81" s="8">
        <v>1</v>
      </c>
      <c r="U81" s="8">
        <v>1</v>
      </c>
      <c r="V81" s="8">
        <v>1</v>
      </c>
      <c r="W81" s="8">
        <v>0</v>
      </c>
      <c r="X81" s="8">
        <v>0</v>
      </c>
      <c r="Y81" s="8">
        <v>0</v>
      </c>
      <c r="Z81" s="8" t="s">
        <v>21</v>
      </c>
      <c r="AA81" s="8" t="s">
        <v>34</v>
      </c>
      <c r="AB81" s="8" t="s">
        <v>24</v>
      </c>
      <c r="AC81" s="8" t="s">
        <v>21</v>
      </c>
    </row>
    <row r="82" spans="1:29" x14ac:dyDescent="0.3">
      <c r="A82" s="5">
        <v>81</v>
      </c>
      <c r="B82" s="5">
        <v>0</v>
      </c>
      <c r="C82" s="5">
        <v>0</v>
      </c>
      <c r="D82" s="5">
        <v>0</v>
      </c>
      <c r="E82" s="5">
        <v>0</v>
      </c>
      <c r="F82" s="5">
        <v>0</v>
      </c>
      <c r="G82" s="5">
        <v>1</v>
      </c>
      <c r="H82" s="6" t="s">
        <v>15</v>
      </c>
      <c r="I82" s="6" t="s">
        <v>43</v>
      </c>
      <c r="J82" s="6" t="s">
        <v>356</v>
      </c>
      <c r="K82" s="6" t="s">
        <v>30</v>
      </c>
      <c r="L82" s="6" t="s">
        <v>58</v>
      </c>
      <c r="M82" s="6">
        <v>5</v>
      </c>
      <c r="N82" s="6" t="s">
        <v>45</v>
      </c>
      <c r="O82" s="6" t="s">
        <v>46</v>
      </c>
      <c r="P82" s="6">
        <v>1</v>
      </c>
      <c r="Q82" s="6">
        <v>1</v>
      </c>
      <c r="R82" s="6">
        <v>0</v>
      </c>
      <c r="S82" s="6">
        <v>0</v>
      </c>
      <c r="T82" s="6">
        <v>1</v>
      </c>
      <c r="U82" s="6">
        <v>0</v>
      </c>
      <c r="V82" s="6">
        <v>1</v>
      </c>
      <c r="W82" s="6">
        <v>0</v>
      </c>
      <c r="X82" s="6">
        <v>0</v>
      </c>
      <c r="Y82" s="6">
        <v>0</v>
      </c>
      <c r="Z82" s="6" t="s">
        <v>21</v>
      </c>
      <c r="AA82" s="6" t="s">
        <v>23</v>
      </c>
      <c r="AB82" s="6" t="s">
        <v>24</v>
      </c>
      <c r="AC82" s="6" t="s">
        <v>48</v>
      </c>
    </row>
    <row r="83" spans="1:29" x14ac:dyDescent="0.3">
      <c r="A83" s="7">
        <v>82</v>
      </c>
      <c r="B83" s="7">
        <v>0</v>
      </c>
      <c r="C83" s="7">
        <v>0</v>
      </c>
      <c r="D83" s="7">
        <v>1</v>
      </c>
      <c r="E83" s="7">
        <v>0</v>
      </c>
      <c r="F83" s="7">
        <v>0</v>
      </c>
      <c r="G83" s="7">
        <v>0</v>
      </c>
      <c r="H83" s="8" t="s">
        <v>15</v>
      </c>
      <c r="I83" s="8" t="s">
        <v>43</v>
      </c>
      <c r="J83" s="8" t="s">
        <v>356</v>
      </c>
      <c r="K83" s="8" t="s">
        <v>30</v>
      </c>
      <c r="L83" s="8" t="s">
        <v>51</v>
      </c>
      <c r="M83" s="8">
        <v>3</v>
      </c>
      <c r="N83" s="8" t="s">
        <v>45</v>
      </c>
      <c r="O83" s="8" t="s">
        <v>52</v>
      </c>
      <c r="P83" s="8">
        <v>0</v>
      </c>
      <c r="Q83" s="8">
        <v>1</v>
      </c>
      <c r="R83" s="8">
        <v>1</v>
      </c>
      <c r="S83" s="8">
        <v>0</v>
      </c>
      <c r="T83" s="8">
        <v>0</v>
      </c>
      <c r="U83" s="8">
        <v>0</v>
      </c>
      <c r="V83" s="8">
        <v>0</v>
      </c>
      <c r="W83" s="8">
        <v>0</v>
      </c>
      <c r="X83" s="8">
        <v>0</v>
      </c>
      <c r="Y83" s="8">
        <v>0</v>
      </c>
      <c r="Z83" s="8" t="s">
        <v>21</v>
      </c>
      <c r="AA83" s="8" t="s">
        <v>34</v>
      </c>
      <c r="AB83" s="8" t="s">
        <v>24</v>
      </c>
      <c r="AC83" s="8" t="s">
        <v>82</v>
      </c>
    </row>
    <row r="84" spans="1:29" x14ac:dyDescent="0.3">
      <c r="A84" s="5">
        <v>83</v>
      </c>
      <c r="B84" s="5">
        <v>0</v>
      </c>
      <c r="C84" s="5">
        <v>1</v>
      </c>
      <c r="D84" s="5">
        <v>0</v>
      </c>
      <c r="E84" s="5">
        <v>0</v>
      </c>
      <c r="F84" s="5">
        <v>0</v>
      </c>
      <c r="G84" s="5">
        <v>0</v>
      </c>
      <c r="H84" s="6" t="s">
        <v>15</v>
      </c>
      <c r="I84" s="6" t="s">
        <v>43</v>
      </c>
      <c r="J84" s="6" t="s">
        <v>356</v>
      </c>
      <c r="K84" s="6" t="s">
        <v>15</v>
      </c>
      <c r="L84" s="6" t="s">
        <v>44</v>
      </c>
      <c r="M84" s="6">
        <v>3</v>
      </c>
      <c r="N84" s="6" t="s">
        <v>84</v>
      </c>
      <c r="O84" s="6" t="s">
        <v>63</v>
      </c>
      <c r="P84" s="6">
        <v>1</v>
      </c>
      <c r="Q84" s="6">
        <v>0</v>
      </c>
      <c r="R84" s="6">
        <v>1</v>
      </c>
      <c r="S84" s="6">
        <v>0</v>
      </c>
      <c r="T84" s="6">
        <v>1</v>
      </c>
      <c r="U84" s="6">
        <v>0</v>
      </c>
      <c r="V84" s="6">
        <v>0</v>
      </c>
      <c r="W84" s="6">
        <v>0</v>
      </c>
      <c r="X84" s="6">
        <v>0</v>
      </c>
      <c r="Y84" s="6">
        <v>0</v>
      </c>
      <c r="Z84" s="6" t="s">
        <v>25</v>
      </c>
      <c r="AA84" s="6" t="s">
        <v>34</v>
      </c>
      <c r="AB84" s="6" t="s">
        <v>24</v>
      </c>
      <c r="AC84" s="6" t="s">
        <v>82</v>
      </c>
    </row>
    <row r="85" spans="1:29" x14ac:dyDescent="0.3">
      <c r="A85" s="7">
        <v>84</v>
      </c>
      <c r="B85" s="7">
        <v>1</v>
      </c>
      <c r="C85" s="7">
        <v>0</v>
      </c>
      <c r="D85" s="7">
        <v>0</v>
      </c>
      <c r="E85" s="7">
        <v>0</v>
      </c>
      <c r="F85" s="7">
        <v>1</v>
      </c>
      <c r="G85" s="7">
        <v>1</v>
      </c>
      <c r="H85" s="8" t="s">
        <v>27</v>
      </c>
      <c r="I85" s="8" t="s">
        <v>43</v>
      </c>
      <c r="J85" s="8" t="s">
        <v>356</v>
      </c>
      <c r="K85" s="8" t="s">
        <v>49</v>
      </c>
      <c r="L85" s="8" t="s">
        <v>51</v>
      </c>
      <c r="M85" s="8">
        <v>5</v>
      </c>
      <c r="N85" s="8" t="s">
        <v>59</v>
      </c>
      <c r="O85" s="8" t="s">
        <v>46</v>
      </c>
      <c r="P85" s="8">
        <v>0</v>
      </c>
      <c r="Q85" s="8">
        <v>0</v>
      </c>
      <c r="R85" s="8">
        <v>1</v>
      </c>
      <c r="S85" s="8">
        <v>0</v>
      </c>
      <c r="T85" s="8">
        <v>0</v>
      </c>
      <c r="U85" s="8">
        <v>1</v>
      </c>
      <c r="V85" s="8">
        <v>0</v>
      </c>
      <c r="W85" s="8">
        <v>0</v>
      </c>
      <c r="X85" s="8">
        <v>1</v>
      </c>
      <c r="Y85" s="8">
        <v>0</v>
      </c>
      <c r="Z85" s="8" t="s">
        <v>25</v>
      </c>
      <c r="AA85" s="8" t="s">
        <v>34</v>
      </c>
      <c r="AB85" s="8" t="s">
        <v>24</v>
      </c>
      <c r="AC85" s="8" t="s">
        <v>25</v>
      </c>
    </row>
    <row r="86" spans="1:29" x14ac:dyDescent="0.3">
      <c r="A86" s="5">
        <v>85</v>
      </c>
      <c r="B86" s="5">
        <v>0</v>
      </c>
      <c r="C86" s="5">
        <v>1</v>
      </c>
      <c r="D86" s="5">
        <v>0</v>
      </c>
      <c r="E86" s="5">
        <v>0</v>
      </c>
      <c r="F86" s="5">
        <v>1</v>
      </c>
      <c r="G86" s="5">
        <v>1</v>
      </c>
      <c r="H86" s="6" t="s">
        <v>15</v>
      </c>
      <c r="I86" s="6" t="s">
        <v>43</v>
      </c>
      <c r="J86" s="6" t="s">
        <v>50</v>
      </c>
      <c r="K86" s="6" t="s">
        <v>15</v>
      </c>
      <c r="L86" s="6" t="s">
        <v>44</v>
      </c>
      <c r="M86" s="6">
        <v>5</v>
      </c>
      <c r="N86" s="6" t="s">
        <v>72</v>
      </c>
      <c r="O86" s="6" t="s">
        <v>63</v>
      </c>
      <c r="P86" s="6">
        <v>0</v>
      </c>
      <c r="Q86" s="6">
        <v>0</v>
      </c>
      <c r="R86" s="6">
        <v>1</v>
      </c>
      <c r="S86" s="6">
        <v>0</v>
      </c>
      <c r="T86" s="6">
        <v>0</v>
      </c>
      <c r="U86" s="6">
        <v>0</v>
      </c>
      <c r="V86" s="6">
        <v>0</v>
      </c>
      <c r="W86" s="6">
        <v>0</v>
      </c>
      <c r="X86" s="6">
        <v>0</v>
      </c>
      <c r="Y86" s="6">
        <v>0</v>
      </c>
      <c r="Z86" s="6" t="s">
        <v>25</v>
      </c>
      <c r="AA86" s="6" t="s">
        <v>23</v>
      </c>
      <c r="AB86" s="6" t="s">
        <v>24</v>
      </c>
      <c r="AC86" s="6" t="s">
        <v>48</v>
      </c>
    </row>
    <row r="87" spans="1:29" x14ac:dyDescent="0.3">
      <c r="A87" s="7">
        <v>86</v>
      </c>
      <c r="B87" s="7">
        <v>0</v>
      </c>
      <c r="C87" s="7">
        <v>1</v>
      </c>
      <c r="D87" s="7">
        <v>0</v>
      </c>
      <c r="E87" s="7">
        <v>0</v>
      </c>
      <c r="F87" s="7">
        <v>0</v>
      </c>
      <c r="G87" s="7">
        <v>0</v>
      </c>
      <c r="H87" s="8" t="s">
        <v>27</v>
      </c>
      <c r="I87" s="8" t="s">
        <v>43</v>
      </c>
      <c r="J87" s="8" t="s">
        <v>37</v>
      </c>
      <c r="K87" s="8" t="s">
        <v>30</v>
      </c>
      <c r="L87" s="8" t="s">
        <v>51</v>
      </c>
      <c r="M87" s="8">
        <v>1</v>
      </c>
      <c r="N87" s="8" t="s">
        <v>59</v>
      </c>
      <c r="O87" s="8" t="s">
        <v>52</v>
      </c>
      <c r="P87" s="8">
        <v>0</v>
      </c>
      <c r="Q87" s="8">
        <v>1</v>
      </c>
      <c r="R87" s="8">
        <v>0</v>
      </c>
      <c r="S87" s="8">
        <v>0</v>
      </c>
      <c r="T87" s="8">
        <v>0</v>
      </c>
      <c r="U87" s="8">
        <v>0</v>
      </c>
      <c r="V87" s="8">
        <v>0</v>
      </c>
      <c r="W87" s="8">
        <v>0</v>
      </c>
      <c r="X87" s="8">
        <v>0</v>
      </c>
      <c r="Y87" s="8">
        <v>0</v>
      </c>
      <c r="Z87" s="8" t="s">
        <v>21</v>
      </c>
      <c r="AA87" s="8" t="s">
        <v>34</v>
      </c>
      <c r="AB87" s="8" t="s">
        <v>24</v>
      </c>
      <c r="AC87" s="8" t="s">
        <v>25</v>
      </c>
    </row>
    <row r="88" spans="1:29" x14ac:dyDescent="0.3">
      <c r="A88" s="5">
        <v>87</v>
      </c>
      <c r="B88" s="5">
        <v>0</v>
      </c>
      <c r="C88" s="5">
        <v>0</v>
      </c>
      <c r="D88" s="5">
        <v>0</v>
      </c>
      <c r="E88" s="5">
        <v>0</v>
      </c>
      <c r="F88" s="5">
        <v>0</v>
      </c>
      <c r="G88" s="5">
        <v>1</v>
      </c>
      <c r="H88" s="6" t="s">
        <v>15</v>
      </c>
      <c r="I88" s="6" t="s">
        <v>36</v>
      </c>
      <c r="J88" s="6" t="s">
        <v>37</v>
      </c>
      <c r="K88" s="6" t="s">
        <v>15</v>
      </c>
      <c r="L88" s="6" t="s">
        <v>44</v>
      </c>
      <c r="M88" s="6">
        <v>1</v>
      </c>
      <c r="N88" s="6" t="s">
        <v>84</v>
      </c>
      <c r="O88" s="6" t="s">
        <v>63</v>
      </c>
      <c r="P88" s="6">
        <v>0</v>
      </c>
      <c r="Q88" s="6">
        <v>0</v>
      </c>
      <c r="R88" s="6">
        <v>0</v>
      </c>
      <c r="S88" s="6">
        <v>0</v>
      </c>
      <c r="T88" s="6">
        <v>0</v>
      </c>
      <c r="U88" s="6">
        <v>1</v>
      </c>
      <c r="V88" s="6">
        <v>0</v>
      </c>
      <c r="W88" s="6">
        <v>0</v>
      </c>
      <c r="X88" s="6">
        <v>0</v>
      </c>
      <c r="Y88" s="6">
        <v>0</v>
      </c>
      <c r="Z88" s="6" t="s">
        <v>21</v>
      </c>
      <c r="AA88" s="6" t="s">
        <v>23</v>
      </c>
      <c r="AB88" s="6" t="s">
        <v>54</v>
      </c>
      <c r="AC88" s="6" t="s">
        <v>21</v>
      </c>
    </row>
    <row r="89" spans="1:29" x14ac:dyDescent="0.3">
      <c r="A89" s="7">
        <v>88</v>
      </c>
      <c r="B89" s="7">
        <v>0</v>
      </c>
      <c r="C89" s="7">
        <v>1</v>
      </c>
      <c r="D89" s="7">
        <v>0</v>
      </c>
      <c r="E89" s="7">
        <v>0</v>
      </c>
      <c r="F89" s="7">
        <v>0</v>
      </c>
      <c r="G89" s="7">
        <v>0</v>
      </c>
      <c r="H89" s="8" t="s">
        <v>27</v>
      </c>
      <c r="I89" s="8" t="s">
        <v>43</v>
      </c>
      <c r="J89" s="8" t="s">
        <v>50</v>
      </c>
      <c r="K89" s="8" t="s">
        <v>102</v>
      </c>
      <c r="L89" s="8" t="s">
        <v>51</v>
      </c>
      <c r="M89" s="8">
        <v>3</v>
      </c>
      <c r="N89" s="8" t="s">
        <v>45</v>
      </c>
      <c r="O89" s="8" t="s">
        <v>63</v>
      </c>
      <c r="P89" s="8">
        <v>0</v>
      </c>
      <c r="Q89" s="8">
        <v>1</v>
      </c>
      <c r="R89" s="8">
        <v>0</v>
      </c>
      <c r="S89" s="8">
        <v>0</v>
      </c>
      <c r="T89" s="8">
        <v>1</v>
      </c>
      <c r="U89" s="8">
        <v>0</v>
      </c>
      <c r="V89" s="8">
        <v>0</v>
      </c>
      <c r="W89" s="8">
        <v>0</v>
      </c>
      <c r="X89" s="8">
        <v>1</v>
      </c>
      <c r="Y89" s="8">
        <v>0</v>
      </c>
      <c r="Z89" s="8" t="s">
        <v>21</v>
      </c>
      <c r="AA89" s="8" t="s">
        <v>34</v>
      </c>
      <c r="AB89" s="8" t="s">
        <v>24</v>
      </c>
      <c r="AC89" s="8" t="s">
        <v>21</v>
      </c>
    </row>
    <row r="90" spans="1:29" x14ac:dyDescent="0.3">
      <c r="A90" s="5">
        <v>89</v>
      </c>
      <c r="B90" s="5">
        <v>0</v>
      </c>
      <c r="C90" s="5">
        <v>1</v>
      </c>
      <c r="D90" s="5">
        <v>0</v>
      </c>
      <c r="E90" s="5">
        <v>0</v>
      </c>
      <c r="F90" s="5">
        <v>0</v>
      </c>
      <c r="G90" s="5">
        <v>1</v>
      </c>
      <c r="H90" s="6" t="s">
        <v>15</v>
      </c>
      <c r="I90" s="6" t="s">
        <v>43</v>
      </c>
      <c r="J90" s="6" t="s">
        <v>50</v>
      </c>
      <c r="K90" s="6" t="s">
        <v>30</v>
      </c>
      <c r="L90" s="6" t="s">
        <v>51</v>
      </c>
      <c r="M90" s="6">
        <v>4</v>
      </c>
      <c r="N90" s="6" t="s">
        <v>45</v>
      </c>
      <c r="O90" s="6" t="s">
        <v>63</v>
      </c>
      <c r="P90" s="6">
        <v>1</v>
      </c>
      <c r="Q90" s="6">
        <v>0</v>
      </c>
      <c r="R90" s="6">
        <v>1</v>
      </c>
      <c r="S90" s="6">
        <v>1</v>
      </c>
      <c r="T90" s="6">
        <v>0</v>
      </c>
      <c r="U90" s="6">
        <v>1</v>
      </c>
      <c r="V90" s="6">
        <v>1</v>
      </c>
      <c r="W90" s="6">
        <v>0</v>
      </c>
      <c r="X90" s="6">
        <v>0</v>
      </c>
      <c r="Y90" s="6">
        <v>0</v>
      </c>
      <c r="Z90" s="6" t="s">
        <v>25</v>
      </c>
      <c r="AA90" s="6" t="s">
        <v>23</v>
      </c>
      <c r="AB90" s="6" t="s">
        <v>54</v>
      </c>
      <c r="AC90" s="6" t="s">
        <v>25</v>
      </c>
    </row>
    <row r="91" spans="1:29" x14ac:dyDescent="0.3">
      <c r="A91" s="7">
        <v>90</v>
      </c>
      <c r="B91" s="7">
        <v>1</v>
      </c>
      <c r="C91" s="7">
        <v>1</v>
      </c>
      <c r="D91" s="7">
        <v>0</v>
      </c>
      <c r="E91" s="7">
        <v>0</v>
      </c>
      <c r="F91" s="7">
        <v>1</v>
      </c>
      <c r="G91" s="7">
        <v>1</v>
      </c>
      <c r="H91" s="8" t="s">
        <v>15</v>
      </c>
      <c r="I91" s="8" t="s">
        <v>43</v>
      </c>
      <c r="J91" s="8" t="s">
        <v>29</v>
      </c>
      <c r="K91" s="8" t="s">
        <v>30</v>
      </c>
      <c r="L91" s="8" t="s">
        <v>51</v>
      </c>
      <c r="M91" s="8">
        <v>5</v>
      </c>
      <c r="N91" s="8" t="s">
        <v>45</v>
      </c>
      <c r="O91" s="8" t="s">
        <v>63</v>
      </c>
      <c r="P91" s="8">
        <v>1</v>
      </c>
      <c r="Q91" s="8">
        <v>1</v>
      </c>
      <c r="R91" s="8">
        <v>1</v>
      </c>
      <c r="S91" s="8">
        <v>0</v>
      </c>
      <c r="T91" s="8">
        <v>0</v>
      </c>
      <c r="U91" s="8">
        <v>1</v>
      </c>
      <c r="V91" s="8">
        <v>1</v>
      </c>
      <c r="W91" s="8">
        <v>1</v>
      </c>
      <c r="X91" s="8">
        <v>0</v>
      </c>
      <c r="Y91" s="8">
        <v>0</v>
      </c>
      <c r="Z91" s="8" t="s">
        <v>25</v>
      </c>
      <c r="AA91" s="8" t="s">
        <v>34</v>
      </c>
      <c r="AB91" s="8" t="s">
        <v>24</v>
      </c>
      <c r="AC91" s="8" t="s">
        <v>25</v>
      </c>
    </row>
    <row r="92" spans="1:29" x14ac:dyDescent="0.3">
      <c r="A92" s="5">
        <v>91</v>
      </c>
      <c r="B92" s="5">
        <v>0</v>
      </c>
      <c r="C92" s="5">
        <v>0</v>
      </c>
      <c r="D92" s="5">
        <v>1</v>
      </c>
      <c r="E92" s="5">
        <v>0</v>
      </c>
      <c r="F92" s="5">
        <v>0</v>
      </c>
      <c r="G92" s="5">
        <v>0</v>
      </c>
      <c r="H92" s="6" t="s">
        <v>15</v>
      </c>
      <c r="I92" s="6" t="s">
        <v>16</v>
      </c>
      <c r="J92" s="6" t="s">
        <v>356</v>
      </c>
      <c r="K92" s="6" t="s">
        <v>15</v>
      </c>
      <c r="L92" s="6" t="s">
        <v>44</v>
      </c>
      <c r="M92" s="6">
        <v>4</v>
      </c>
      <c r="N92" s="6" t="s">
        <v>84</v>
      </c>
      <c r="O92" s="6" t="s">
        <v>63</v>
      </c>
      <c r="P92" s="6">
        <v>0</v>
      </c>
      <c r="Q92" s="6">
        <v>0</v>
      </c>
      <c r="R92" s="6">
        <v>0</v>
      </c>
      <c r="S92" s="6">
        <v>0</v>
      </c>
      <c r="T92" s="6">
        <v>1</v>
      </c>
      <c r="U92" s="6">
        <v>0</v>
      </c>
      <c r="V92" s="6">
        <v>0</v>
      </c>
      <c r="W92" s="6">
        <v>0</v>
      </c>
      <c r="X92" s="6">
        <v>0</v>
      </c>
      <c r="Y92" s="6">
        <v>0</v>
      </c>
      <c r="Z92" s="6" t="s">
        <v>21</v>
      </c>
      <c r="AA92" s="6" t="s">
        <v>23</v>
      </c>
      <c r="AB92" s="6" t="s">
        <v>24</v>
      </c>
      <c r="AC92" s="6" t="s">
        <v>48</v>
      </c>
    </row>
    <row r="93" spans="1:29" x14ac:dyDescent="0.3">
      <c r="A93" s="7">
        <v>92</v>
      </c>
      <c r="B93" s="7">
        <v>0</v>
      </c>
      <c r="C93" s="7">
        <v>0</v>
      </c>
      <c r="D93" s="7">
        <v>1</v>
      </c>
      <c r="E93" s="7">
        <v>0</v>
      </c>
      <c r="F93" s="7">
        <v>0</v>
      </c>
      <c r="G93" s="7">
        <v>0</v>
      </c>
      <c r="H93" s="8" t="s">
        <v>49</v>
      </c>
      <c r="I93" s="8" t="s">
        <v>352</v>
      </c>
      <c r="J93" s="8" t="s">
        <v>50</v>
      </c>
      <c r="K93" s="8" t="s">
        <v>49</v>
      </c>
      <c r="L93" s="8" t="s">
        <v>51</v>
      </c>
      <c r="M93" s="8">
        <v>4</v>
      </c>
      <c r="N93" s="8" t="s">
        <v>45</v>
      </c>
      <c r="O93" s="8" t="s">
        <v>63</v>
      </c>
      <c r="P93" s="8">
        <v>1</v>
      </c>
      <c r="Q93" s="8">
        <v>1</v>
      </c>
      <c r="R93" s="8">
        <v>0</v>
      </c>
      <c r="S93" s="8">
        <v>1</v>
      </c>
      <c r="T93" s="8">
        <v>1</v>
      </c>
      <c r="U93" s="8">
        <v>1</v>
      </c>
      <c r="V93" s="8">
        <v>0</v>
      </c>
      <c r="W93" s="8">
        <v>0</v>
      </c>
      <c r="X93" s="8">
        <v>0</v>
      </c>
      <c r="Y93" s="8">
        <v>1</v>
      </c>
      <c r="Z93" s="8" t="s">
        <v>21</v>
      </c>
      <c r="AA93" s="8" t="s">
        <v>23</v>
      </c>
      <c r="AB93" s="8" t="s">
        <v>24</v>
      </c>
      <c r="AC93" s="8" t="s">
        <v>25</v>
      </c>
    </row>
    <row r="94" spans="1:29" x14ac:dyDescent="0.3">
      <c r="A94" s="5">
        <v>93</v>
      </c>
      <c r="B94" s="5">
        <v>0</v>
      </c>
      <c r="C94" s="5">
        <v>0</v>
      </c>
      <c r="D94" s="5">
        <v>0</v>
      </c>
      <c r="E94" s="5">
        <v>0</v>
      </c>
      <c r="F94" s="5">
        <v>0</v>
      </c>
      <c r="G94" s="5">
        <v>1</v>
      </c>
      <c r="H94" s="6" t="s">
        <v>42</v>
      </c>
      <c r="I94" s="6" t="s">
        <v>83</v>
      </c>
      <c r="J94" s="6" t="s">
        <v>17</v>
      </c>
      <c r="K94" s="6" t="s">
        <v>15</v>
      </c>
      <c r="L94" s="6" t="s">
        <v>70</v>
      </c>
      <c r="M94" s="6">
        <v>5</v>
      </c>
      <c r="N94" s="6" t="s">
        <v>45</v>
      </c>
      <c r="O94" s="6" t="s">
        <v>52</v>
      </c>
      <c r="P94" s="6">
        <v>1</v>
      </c>
      <c r="Q94" s="6">
        <v>1</v>
      </c>
      <c r="R94" s="6">
        <v>0</v>
      </c>
      <c r="S94" s="6">
        <v>1</v>
      </c>
      <c r="T94" s="6">
        <v>0</v>
      </c>
      <c r="U94" s="6">
        <v>1</v>
      </c>
      <c r="V94" s="6">
        <v>0</v>
      </c>
      <c r="W94" s="6">
        <v>1</v>
      </c>
      <c r="X94" s="6">
        <v>1</v>
      </c>
      <c r="Y94" s="6">
        <v>0</v>
      </c>
      <c r="Z94" s="6" t="s">
        <v>21</v>
      </c>
      <c r="AA94" s="6" t="s">
        <v>34</v>
      </c>
      <c r="AB94" s="6" t="s">
        <v>24</v>
      </c>
      <c r="AC94" s="6" t="s">
        <v>25</v>
      </c>
    </row>
    <row r="95" spans="1:29" x14ac:dyDescent="0.3">
      <c r="A95" s="7">
        <v>94</v>
      </c>
      <c r="B95" s="7">
        <v>0</v>
      </c>
      <c r="C95" s="7">
        <v>0</v>
      </c>
      <c r="D95" s="7">
        <v>0</v>
      </c>
      <c r="E95" s="7">
        <v>0</v>
      </c>
      <c r="F95" s="7">
        <v>1</v>
      </c>
      <c r="G95" s="7">
        <v>0</v>
      </c>
      <c r="H95" s="8" t="s">
        <v>49</v>
      </c>
      <c r="I95" s="8" t="s">
        <v>352</v>
      </c>
      <c r="J95" s="8" t="s">
        <v>50</v>
      </c>
      <c r="K95" s="8" t="s">
        <v>49</v>
      </c>
      <c r="L95" s="8" t="s">
        <v>58</v>
      </c>
      <c r="M95" s="8">
        <v>5</v>
      </c>
      <c r="N95" s="8" t="s">
        <v>45</v>
      </c>
      <c r="O95" s="8" t="s">
        <v>52</v>
      </c>
      <c r="P95" s="8">
        <v>0</v>
      </c>
      <c r="Q95" s="8">
        <v>1</v>
      </c>
      <c r="R95" s="8">
        <v>0</v>
      </c>
      <c r="S95" s="8">
        <v>1</v>
      </c>
      <c r="T95" s="8">
        <v>0</v>
      </c>
      <c r="U95" s="8">
        <v>1</v>
      </c>
      <c r="V95" s="8">
        <v>1</v>
      </c>
      <c r="W95" s="8">
        <v>1</v>
      </c>
      <c r="X95" s="8">
        <v>0</v>
      </c>
      <c r="Y95" s="8">
        <v>0</v>
      </c>
      <c r="Z95" s="8" t="s">
        <v>25</v>
      </c>
      <c r="AA95" s="8" t="s">
        <v>34</v>
      </c>
      <c r="AB95" s="8" t="s">
        <v>24</v>
      </c>
      <c r="AC95" s="8" t="s">
        <v>48</v>
      </c>
    </row>
    <row r="96" spans="1:29" x14ac:dyDescent="0.3">
      <c r="A96" s="5">
        <v>95</v>
      </c>
      <c r="B96" s="5">
        <v>0</v>
      </c>
      <c r="C96" s="5">
        <v>0</v>
      </c>
      <c r="D96" s="5">
        <v>0</v>
      </c>
      <c r="E96" s="5">
        <v>0</v>
      </c>
      <c r="F96" s="5">
        <v>1</v>
      </c>
      <c r="G96" s="5">
        <v>0</v>
      </c>
      <c r="H96" s="6" t="s">
        <v>49</v>
      </c>
      <c r="I96" s="6" t="s">
        <v>43</v>
      </c>
      <c r="J96" s="6" t="s">
        <v>356</v>
      </c>
      <c r="K96" s="6" t="s">
        <v>30</v>
      </c>
      <c r="L96" s="6" t="s">
        <v>44</v>
      </c>
      <c r="M96" s="6">
        <v>4</v>
      </c>
      <c r="N96" s="6" t="s">
        <v>45</v>
      </c>
      <c r="O96" s="6" t="s">
        <v>63</v>
      </c>
      <c r="P96" s="6">
        <v>1</v>
      </c>
      <c r="Q96" s="6">
        <v>1</v>
      </c>
      <c r="R96" s="6">
        <v>0</v>
      </c>
      <c r="S96" s="6">
        <v>1</v>
      </c>
      <c r="T96" s="6">
        <v>1</v>
      </c>
      <c r="U96" s="6">
        <v>1</v>
      </c>
      <c r="V96" s="6">
        <v>1</v>
      </c>
      <c r="W96" s="6">
        <v>0</v>
      </c>
      <c r="X96" s="6">
        <v>0</v>
      </c>
      <c r="Y96" s="6">
        <v>1</v>
      </c>
      <c r="Z96" s="6" t="s">
        <v>25</v>
      </c>
      <c r="AA96" s="6" t="s">
        <v>34</v>
      </c>
      <c r="AB96" s="6" t="s">
        <v>24</v>
      </c>
      <c r="AC96" s="6" t="s">
        <v>82</v>
      </c>
    </row>
    <row r="97" spans="1:29" x14ac:dyDescent="0.3">
      <c r="A97" s="7">
        <v>96</v>
      </c>
      <c r="B97" s="7">
        <v>0</v>
      </c>
      <c r="C97" s="7">
        <v>1</v>
      </c>
      <c r="D97" s="7">
        <v>0</v>
      </c>
      <c r="E97" s="7">
        <v>0</v>
      </c>
      <c r="F97" s="7">
        <v>0</v>
      </c>
      <c r="G97" s="7">
        <v>0</v>
      </c>
      <c r="H97" s="8" t="s">
        <v>15</v>
      </c>
      <c r="I97" s="8" t="s">
        <v>43</v>
      </c>
      <c r="J97" s="8" t="s">
        <v>29</v>
      </c>
      <c r="K97" s="8" t="s">
        <v>15</v>
      </c>
      <c r="L97" s="8" t="s">
        <v>44</v>
      </c>
      <c r="M97" s="8">
        <v>5</v>
      </c>
      <c r="N97" s="8" t="s">
        <v>45</v>
      </c>
      <c r="O97" s="8" t="s">
        <v>63</v>
      </c>
      <c r="P97" s="8">
        <v>1</v>
      </c>
      <c r="Q97" s="8">
        <v>1</v>
      </c>
      <c r="R97" s="8">
        <v>0</v>
      </c>
      <c r="S97" s="8">
        <v>0</v>
      </c>
      <c r="T97" s="8">
        <v>0</v>
      </c>
      <c r="U97" s="8">
        <v>0</v>
      </c>
      <c r="V97" s="8">
        <v>0</v>
      </c>
      <c r="W97" s="8">
        <v>1</v>
      </c>
      <c r="X97" s="8">
        <v>0</v>
      </c>
      <c r="Y97" s="8">
        <v>0</v>
      </c>
      <c r="Z97" s="8" t="s">
        <v>25</v>
      </c>
      <c r="AA97" s="8" t="s">
        <v>23</v>
      </c>
      <c r="AB97" s="8" t="s">
        <v>24</v>
      </c>
      <c r="AC97" s="8" t="s">
        <v>48</v>
      </c>
    </row>
    <row r="98" spans="1:29" x14ac:dyDescent="0.3">
      <c r="A98" s="5">
        <v>97</v>
      </c>
      <c r="B98" s="5">
        <v>1</v>
      </c>
      <c r="C98" s="5">
        <v>0</v>
      </c>
      <c r="D98" s="5">
        <v>0</v>
      </c>
      <c r="E98" s="5">
        <v>0</v>
      </c>
      <c r="F98" s="5">
        <v>1</v>
      </c>
      <c r="G98" s="5">
        <v>0</v>
      </c>
      <c r="H98" s="6" t="s">
        <v>49</v>
      </c>
      <c r="I98" s="6" t="s">
        <v>16</v>
      </c>
      <c r="J98" s="6" t="s">
        <v>37</v>
      </c>
      <c r="K98" s="6" t="s">
        <v>18</v>
      </c>
      <c r="L98" s="6" t="s">
        <v>58</v>
      </c>
      <c r="M98" s="6">
        <v>2</v>
      </c>
      <c r="N98" s="6" t="s">
        <v>45</v>
      </c>
      <c r="O98" s="6" t="s">
        <v>46</v>
      </c>
      <c r="P98" s="6">
        <v>1</v>
      </c>
      <c r="Q98" s="6">
        <v>0</v>
      </c>
      <c r="R98" s="6">
        <v>0</v>
      </c>
      <c r="S98" s="6">
        <v>0</v>
      </c>
      <c r="T98" s="6">
        <v>0</v>
      </c>
      <c r="U98" s="6">
        <v>0</v>
      </c>
      <c r="V98" s="6">
        <v>0</v>
      </c>
      <c r="W98" s="6">
        <v>0</v>
      </c>
      <c r="X98" s="6">
        <v>0</v>
      </c>
      <c r="Y98" s="6">
        <v>0</v>
      </c>
      <c r="Z98" s="6" t="s">
        <v>21</v>
      </c>
      <c r="AA98" s="6" t="s">
        <v>23</v>
      </c>
      <c r="AB98" s="6" t="s">
        <v>24</v>
      </c>
      <c r="AC98" s="6" t="s">
        <v>48</v>
      </c>
    </row>
    <row r="99" spans="1:29" x14ac:dyDescent="0.3">
      <c r="A99" s="7">
        <v>98</v>
      </c>
      <c r="B99" s="7">
        <v>1</v>
      </c>
      <c r="C99" s="7">
        <v>0</v>
      </c>
      <c r="D99" s="7">
        <v>0</v>
      </c>
      <c r="E99" s="7">
        <v>0</v>
      </c>
      <c r="F99" s="7">
        <v>0</v>
      </c>
      <c r="G99" s="7">
        <v>0</v>
      </c>
      <c r="H99" s="8" t="s">
        <v>42</v>
      </c>
      <c r="I99" s="8" t="s">
        <v>36</v>
      </c>
      <c r="J99" s="8" t="s">
        <v>29</v>
      </c>
      <c r="K99" s="8" t="s">
        <v>18</v>
      </c>
      <c r="L99" s="8" t="s">
        <v>51</v>
      </c>
      <c r="M99" s="8">
        <v>2</v>
      </c>
      <c r="N99" s="8" t="s">
        <v>84</v>
      </c>
      <c r="O99" s="8" t="s">
        <v>63</v>
      </c>
      <c r="P99" s="8">
        <v>0</v>
      </c>
      <c r="Q99" s="8">
        <v>0</v>
      </c>
      <c r="R99" s="8">
        <v>0</v>
      </c>
      <c r="S99" s="8">
        <v>0</v>
      </c>
      <c r="T99" s="8">
        <v>0</v>
      </c>
      <c r="U99" s="8">
        <v>0</v>
      </c>
      <c r="V99" s="8">
        <v>0</v>
      </c>
      <c r="W99" s="8">
        <v>1</v>
      </c>
      <c r="X99" s="8">
        <v>0</v>
      </c>
      <c r="Y99" s="8">
        <v>0</v>
      </c>
      <c r="Z99" s="8" t="s">
        <v>21</v>
      </c>
      <c r="AA99" s="8" t="s">
        <v>34</v>
      </c>
      <c r="AB99" s="8" t="s">
        <v>24</v>
      </c>
      <c r="AC99" s="8" t="s">
        <v>25</v>
      </c>
    </row>
    <row r="100" spans="1:29" x14ac:dyDescent="0.3">
      <c r="A100" s="5">
        <v>99</v>
      </c>
      <c r="B100" s="5">
        <v>0</v>
      </c>
      <c r="C100" s="5">
        <v>1</v>
      </c>
      <c r="D100" s="5">
        <v>0</v>
      </c>
      <c r="E100" s="5">
        <v>0</v>
      </c>
      <c r="F100" s="5">
        <v>0</v>
      </c>
      <c r="G100" s="5">
        <v>0</v>
      </c>
      <c r="H100" s="6" t="s">
        <v>27</v>
      </c>
      <c r="I100" s="6" t="s">
        <v>43</v>
      </c>
      <c r="J100" s="6" t="s">
        <v>356</v>
      </c>
      <c r="K100" s="6" t="s">
        <v>30</v>
      </c>
      <c r="L100" s="6" t="s">
        <v>58</v>
      </c>
      <c r="M100" s="6">
        <v>4</v>
      </c>
      <c r="N100" s="6" t="s">
        <v>45</v>
      </c>
      <c r="O100" s="6" t="s">
        <v>63</v>
      </c>
      <c r="P100" s="6">
        <v>0</v>
      </c>
      <c r="Q100" s="6">
        <v>1</v>
      </c>
      <c r="R100" s="6">
        <v>1</v>
      </c>
      <c r="S100" s="6">
        <v>0</v>
      </c>
      <c r="T100" s="6">
        <v>1</v>
      </c>
      <c r="U100" s="6">
        <v>0</v>
      </c>
      <c r="V100" s="6">
        <v>0</v>
      </c>
      <c r="W100" s="6">
        <v>0</v>
      </c>
      <c r="X100" s="6">
        <v>0</v>
      </c>
      <c r="Y100" s="6">
        <v>0</v>
      </c>
      <c r="Z100" s="6" t="s">
        <v>25</v>
      </c>
      <c r="AA100" s="6" t="s">
        <v>23</v>
      </c>
      <c r="AB100" s="6" t="s">
        <v>24</v>
      </c>
      <c r="AC100" s="6" t="s">
        <v>82</v>
      </c>
    </row>
    <row r="101" spans="1:29" x14ac:dyDescent="0.3">
      <c r="A101" s="7">
        <v>100</v>
      </c>
      <c r="B101" s="7">
        <v>0</v>
      </c>
      <c r="C101" s="7">
        <v>0</v>
      </c>
      <c r="D101" s="7">
        <v>0</v>
      </c>
      <c r="E101" s="7">
        <v>0</v>
      </c>
      <c r="F101" s="7">
        <v>0</v>
      </c>
      <c r="G101" s="7">
        <v>1</v>
      </c>
      <c r="H101" s="8" t="s">
        <v>27</v>
      </c>
      <c r="I101" s="8" t="s">
        <v>117</v>
      </c>
      <c r="J101" s="8" t="s">
        <v>17</v>
      </c>
      <c r="K101" s="8" t="s">
        <v>49</v>
      </c>
      <c r="L101" s="8" t="s">
        <v>51</v>
      </c>
      <c r="M101" s="8">
        <v>5</v>
      </c>
      <c r="N101" s="8" t="s">
        <v>45</v>
      </c>
      <c r="O101" s="8" t="s">
        <v>63</v>
      </c>
      <c r="P101" s="8">
        <v>0</v>
      </c>
      <c r="Q101" s="8">
        <v>1</v>
      </c>
      <c r="R101" s="8">
        <v>0</v>
      </c>
      <c r="S101" s="8">
        <v>0</v>
      </c>
      <c r="T101" s="8">
        <v>0</v>
      </c>
      <c r="U101" s="8">
        <v>0</v>
      </c>
      <c r="V101" s="8">
        <v>0</v>
      </c>
      <c r="W101" s="8">
        <v>0</v>
      </c>
      <c r="X101" s="8">
        <v>0</v>
      </c>
      <c r="Y101" s="8">
        <v>0</v>
      </c>
      <c r="Z101" s="8" t="s">
        <v>21</v>
      </c>
      <c r="AA101" s="8" t="s">
        <v>34</v>
      </c>
      <c r="AB101" s="8" t="s">
        <v>24</v>
      </c>
      <c r="AC101" s="8" t="s">
        <v>82</v>
      </c>
    </row>
    <row r="102" spans="1:29" x14ac:dyDescent="0.3">
      <c r="A102" s="5">
        <v>101</v>
      </c>
      <c r="B102" s="5">
        <v>1</v>
      </c>
      <c r="C102" s="5">
        <v>1</v>
      </c>
      <c r="D102" s="5">
        <v>0</v>
      </c>
      <c r="E102" s="5">
        <v>0</v>
      </c>
      <c r="F102" s="5">
        <v>1</v>
      </c>
      <c r="G102" s="5">
        <v>1</v>
      </c>
      <c r="H102" s="6" t="s">
        <v>15</v>
      </c>
      <c r="I102" s="6" t="s">
        <v>43</v>
      </c>
      <c r="J102" s="6" t="s">
        <v>17</v>
      </c>
      <c r="K102" s="6" t="s">
        <v>15</v>
      </c>
      <c r="L102" s="6" t="s">
        <v>44</v>
      </c>
      <c r="M102" s="6">
        <v>3</v>
      </c>
      <c r="N102" s="6" t="s">
        <v>45</v>
      </c>
      <c r="O102" s="6" t="s">
        <v>46</v>
      </c>
      <c r="P102" s="6">
        <v>0</v>
      </c>
      <c r="Q102" s="6">
        <v>0</v>
      </c>
      <c r="R102" s="6">
        <v>1</v>
      </c>
      <c r="S102" s="6">
        <v>1</v>
      </c>
      <c r="T102" s="6">
        <v>0</v>
      </c>
      <c r="U102" s="6">
        <v>1</v>
      </c>
      <c r="V102" s="6">
        <v>0</v>
      </c>
      <c r="W102" s="6">
        <v>0</v>
      </c>
      <c r="X102" s="6">
        <v>0</v>
      </c>
      <c r="Y102" s="6">
        <v>0</v>
      </c>
      <c r="Z102" s="6" t="s">
        <v>25</v>
      </c>
      <c r="AA102" s="6" t="s">
        <v>23</v>
      </c>
      <c r="AB102" s="6" t="s">
        <v>24</v>
      </c>
      <c r="AC102" s="6" t="s">
        <v>82</v>
      </c>
    </row>
    <row r="103" spans="1:29" x14ac:dyDescent="0.3">
      <c r="A103" s="7">
        <v>102</v>
      </c>
      <c r="B103" s="7">
        <v>0</v>
      </c>
      <c r="C103" s="7">
        <v>0</v>
      </c>
      <c r="D103" s="7">
        <v>1</v>
      </c>
      <c r="E103" s="7">
        <v>0</v>
      </c>
      <c r="F103" s="7">
        <v>0</v>
      </c>
      <c r="G103" s="7">
        <v>0</v>
      </c>
      <c r="H103" s="8" t="s">
        <v>49</v>
      </c>
      <c r="I103" s="8" t="s">
        <v>43</v>
      </c>
      <c r="J103" s="8" t="s">
        <v>50</v>
      </c>
      <c r="K103" s="8" t="s">
        <v>49</v>
      </c>
      <c r="L103" s="8" t="s">
        <v>51</v>
      </c>
      <c r="M103" s="8">
        <v>4</v>
      </c>
      <c r="N103" s="8" t="s">
        <v>45</v>
      </c>
      <c r="O103" s="8" t="s">
        <v>46</v>
      </c>
      <c r="P103" s="8">
        <v>0</v>
      </c>
      <c r="Q103" s="8">
        <v>1</v>
      </c>
      <c r="R103" s="8">
        <v>1</v>
      </c>
      <c r="S103" s="8">
        <v>0</v>
      </c>
      <c r="T103" s="8">
        <v>1</v>
      </c>
      <c r="U103" s="8">
        <v>0</v>
      </c>
      <c r="V103" s="8">
        <v>0</v>
      </c>
      <c r="W103" s="8">
        <v>0</v>
      </c>
      <c r="X103" s="8">
        <v>0</v>
      </c>
      <c r="Y103" s="8">
        <v>0</v>
      </c>
      <c r="Z103" s="8" t="s">
        <v>25</v>
      </c>
      <c r="AA103" s="8" t="s">
        <v>23</v>
      </c>
      <c r="AB103" s="8" t="s">
        <v>24</v>
      </c>
      <c r="AC103" s="8" t="s">
        <v>25</v>
      </c>
    </row>
    <row r="104" spans="1:29" x14ac:dyDescent="0.3">
      <c r="A104" s="5">
        <v>103</v>
      </c>
      <c r="B104" s="5">
        <v>0</v>
      </c>
      <c r="C104" s="5">
        <v>0</v>
      </c>
      <c r="D104" s="5">
        <v>0</v>
      </c>
      <c r="E104" s="5">
        <v>0</v>
      </c>
      <c r="F104" s="5">
        <v>0</v>
      </c>
      <c r="G104" s="5">
        <v>1</v>
      </c>
      <c r="H104" s="6" t="s">
        <v>27</v>
      </c>
      <c r="I104" s="6" t="s">
        <v>43</v>
      </c>
      <c r="J104" s="6" t="s">
        <v>29</v>
      </c>
      <c r="K104" s="6" t="s">
        <v>30</v>
      </c>
      <c r="L104" s="6" t="s">
        <v>51</v>
      </c>
      <c r="M104" s="6">
        <v>3</v>
      </c>
      <c r="N104" s="6" t="s">
        <v>45</v>
      </c>
      <c r="O104" s="6" t="s">
        <v>52</v>
      </c>
      <c r="P104" s="6">
        <v>0</v>
      </c>
      <c r="Q104" s="6">
        <v>0</v>
      </c>
      <c r="R104" s="6">
        <v>0</v>
      </c>
      <c r="S104" s="6">
        <v>0</v>
      </c>
      <c r="T104" s="6">
        <v>0</v>
      </c>
      <c r="U104" s="6">
        <v>0</v>
      </c>
      <c r="V104" s="6">
        <v>0</v>
      </c>
      <c r="W104" s="6">
        <v>0</v>
      </c>
      <c r="X104" s="6">
        <v>0</v>
      </c>
      <c r="Y104" s="6">
        <v>1</v>
      </c>
      <c r="Z104" s="6" t="s">
        <v>25</v>
      </c>
      <c r="AA104" s="6" t="s">
        <v>34</v>
      </c>
      <c r="AB104" s="6" t="s">
        <v>88</v>
      </c>
      <c r="AC104" s="6" t="s">
        <v>25</v>
      </c>
    </row>
    <row r="105" spans="1:29" x14ac:dyDescent="0.3">
      <c r="A105" s="7">
        <v>104</v>
      </c>
      <c r="B105" s="7">
        <v>1</v>
      </c>
      <c r="C105" s="7">
        <v>0</v>
      </c>
      <c r="D105" s="7">
        <v>0</v>
      </c>
      <c r="E105" s="7">
        <v>0</v>
      </c>
      <c r="F105" s="7">
        <v>0</v>
      </c>
      <c r="G105" s="7">
        <v>1</v>
      </c>
      <c r="H105" s="8" t="s">
        <v>15</v>
      </c>
      <c r="I105" s="8" t="s">
        <v>43</v>
      </c>
      <c r="J105" s="8" t="s">
        <v>29</v>
      </c>
      <c r="K105" s="8" t="s">
        <v>30</v>
      </c>
      <c r="L105" s="8" t="s">
        <v>44</v>
      </c>
      <c r="M105" s="8">
        <v>5</v>
      </c>
      <c r="N105" s="8" t="s">
        <v>45</v>
      </c>
      <c r="O105" s="8" t="s">
        <v>63</v>
      </c>
      <c r="P105" s="8">
        <v>1</v>
      </c>
      <c r="Q105" s="8">
        <v>0</v>
      </c>
      <c r="R105" s="8">
        <v>1</v>
      </c>
      <c r="S105" s="8">
        <v>0</v>
      </c>
      <c r="T105" s="8">
        <v>1</v>
      </c>
      <c r="U105" s="8">
        <v>0</v>
      </c>
      <c r="V105" s="8">
        <v>1</v>
      </c>
      <c r="W105" s="8">
        <v>0</v>
      </c>
      <c r="X105" s="8">
        <v>0</v>
      </c>
      <c r="Y105" s="8">
        <v>0</v>
      </c>
      <c r="Z105" s="8" t="s">
        <v>21</v>
      </c>
      <c r="AA105" s="8" t="s">
        <v>34</v>
      </c>
      <c r="AB105" s="8" t="s">
        <v>24</v>
      </c>
      <c r="AC105" s="8" t="s">
        <v>48</v>
      </c>
    </row>
    <row r="106" spans="1:29" x14ac:dyDescent="0.3">
      <c r="A106" s="5">
        <v>105</v>
      </c>
      <c r="B106" s="5">
        <v>1</v>
      </c>
      <c r="C106" s="5">
        <v>1</v>
      </c>
      <c r="D106" s="5">
        <v>0</v>
      </c>
      <c r="E106" s="5">
        <v>0</v>
      </c>
      <c r="F106" s="5">
        <v>0</v>
      </c>
      <c r="G106" s="5">
        <v>1</v>
      </c>
      <c r="H106" s="6" t="s">
        <v>15</v>
      </c>
      <c r="I106" s="6" t="s">
        <v>16</v>
      </c>
      <c r="J106" s="6" t="s">
        <v>356</v>
      </c>
      <c r="K106" s="6" t="s">
        <v>30</v>
      </c>
      <c r="L106" s="6" t="s">
        <v>44</v>
      </c>
      <c r="M106" s="6">
        <v>5</v>
      </c>
      <c r="N106" s="6" t="s">
        <v>45</v>
      </c>
      <c r="O106" s="6" t="s">
        <v>63</v>
      </c>
      <c r="P106" s="6">
        <v>1</v>
      </c>
      <c r="Q106" s="6">
        <v>1</v>
      </c>
      <c r="R106" s="6">
        <v>1</v>
      </c>
      <c r="S106" s="6">
        <v>0</v>
      </c>
      <c r="T106" s="6">
        <v>1</v>
      </c>
      <c r="U106" s="6">
        <v>0</v>
      </c>
      <c r="V106" s="6">
        <v>1</v>
      </c>
      <c r="W106" s="6">
        <v>1</v>
      </c>
      <c r="X106" s="6">
        <v>0</v>
      </c>
      <c r="Y106" s="6">
        <v>0</v>
      </c>
      <c r="Z106" s="6" t="s">
        <v>21</v>
      </c>
      <c r="AA106" s="6" t="s">
        <v>23</v>
      </c>
      <c r="AB106" s="6" t="s">
        <v>24</v>
      </c>
      <c r="AC106" s="6" t="s">
        <v>82</v>
      </c>
    </row>
    <row r="107" spans="1:29" x14ac:dyDescent="0.3">
      <c r="A107" s="7">
        <v>106</v>
      </c>
      <c r="B107" s="7">
        <v>1</v>
      </c>
      <c r="C107" s="7">
        <v>1</v>
      </c>
      <c r="D107" s="7">
        <v>0</v>
      </c>
      <c r="E107" s="7">
        <v>0</v>
      </c>
      <c r="F107" s="7">
        <v>0</v>
      </c>
      <c r="G107" s="7">
        <v>1</v>
      </c>
      <c r="H107" s="8" t="s">
        <v>49</v>
      </c>
      <c r="I107" s="8" t="s">
        <v>43</v>
      </c>
      <c r="J107" s="8" t="s">
        <v>17</v>
      </c>
      <c r="K107" s="8" t="s">
        <v>49</v>
      </c>
      <c r="L107" s="8" t="s">
        <v>44</v>
      </c>
      <c r="M107" s="8">
        <v>3</v>
      </c>
      <c r="N107" s="8" t="s">
        <v>45</v>
      </c>
      <c r="O107" s="8" t="s">
        <v>52</v>
      </c>
      <c r="P107" s="8">
        <v>0</v>
      </c>
      <c r="Q107" s="8">
        <v>0</v>
      </c>
      <c r="R107" s="8">
        <v>0</v>
      </c>
      <c r="S107" s="8">
        <v>0</v>
      </c>
      <c r="T107" s="8">
        <v>0</v>
      </c>
      <c r="U107" s="8">
        <v>0</v>
      </c>
      <c r="V107" s="8">
        <v>0</v>
      </c>
      <c r="W107" s="8">
        <v>0</v>
      </c>
      <c r="X107" s="8">
        <v>0</v>
      </c>
      <c r="Y107" s="8">
        <v>0</v>
      </c>
      <c r="Z107" s="8" t="s">
        <v>21</v>
      </c>
      <c r="AA107" s="8" t="s">
        <v>34</v>
      </c>
      <c r="AB107" s="8" t="s">
        <v>24</v>
      </c>
      <c r="AC107" s="8" t="s">
        <v>25</v>
      </c>
    </row>
    <row r="108" spans="1:29" x14ac:dyDescent="0.3">
      <c r="A108" s="5">
        <v>107</v>
      </c>
      <c r="B108" s="5">
        <v>0</v>
      </c>
      <c r="C108" s="5">
        <v>0</v>
      </c>
      <c r="D108" s="5">
        <v>1</v>
      </c>
      <c r="E108" s="5">
        <v>0</v>
      </c>
      <c r="F108" s="5">
        <v>0</v>
      </c>
      <c r="G108" s="5">
        <v>0</v>
      </c>
      <c r="H108" s="6" t="s">
        <v>49</v>
      </c>
      <c r="I108" s="6" t="s">
        <v>43</v>
      </c>
      <c r="J108" s="6" t="s">
        <v>17</v>
      </c>
      <c r="K108" s="6" t="s">
        <v>49</v>
      </c>
      <c r="L108" s="6" t="s">
        <v>44</v>
      </c>
      <c r="M108" s="6">
        <v>5</v>
      </c>
      <c r="N108" s="6" t="s">
        <v>45</v>
      </c>
      <c r="O108" s="6" t="s">
        <v>63</v>
      </c>
      <c r="P108" s="6">
        <v>1</v>
      </c>
      <c r="Q108" s="6">
        <v>1</v>
      </c>
      <c r="R108" s="6">
        <v>0</v>
      </c>
      <c r="S108" s="6">
        <v>1</v>
      </c>
      <c r="T108" s="6">
        <v>0</v>
      </c>
      <c r="U108" s="6">
        <v>0</v>
      </c>
      <c r="V108" s="6">
        <v>0</v>
      </c>
      <c r="W108" s="6">
        <v>1</v>
      </c>
      <c r="X108" s="6">
        <v>0</v>
      </c>
      <c r="Y108" s="6">
        <v>0</v>
      </c>
      <c r="Z108" s="6" t="s">
        <v>25</v>
      </c>
      <c r="AA108" s="6" t="s">
        <v>23</v>
      </c>
      <c r="AB108" s="6" t="s">
        <v>54</v>
      </c>
      <c r="AC108" s="6" t="s">
        <v>48</v>
      </c>
    </row>
    <row r="109" spans="1:29" x14ac:dyDescent="0.3">
      <c r="A109" s="7">
        <v>108</v>
      </c>
      <c r="B109" s="7">
        <v>0</v>
      </c>
      <c r="C109" s="7">
        <v>0</v>
      </c>
      <c r="D109" s="7">
        <v>0</v>
      </c>
      <c r="E109" s="7">
        <v>0</v>
      </c>
      <c r="F109" s="7">
        <v>0</v>
      </c>
      <c r="G109" s="7">
        <v>1</v>
      </c>
      <c r="H109" s="8" t="s">
        <v>42</v>
      </c>
      <c r="I109" s="8" t="s">
        <v>83</v>
      </c>
      <c r="J109" s="8" t="s">
        <v>37</v>
      </c>
      <c r="K109" s="8" t="s">
        <v>15</v>
      </c>
      <c r="L109" s="8" t="s">
        <v>51</v>
      </c>
      <c r="M109" s="8">
        <v>5</v>
      </c>
      <c r="N109" s="8" t="s">
        <v>45</v>
      </c>
      <c r="O109" s="8" t="s">
        <v>46</v>
      </c>
      <c r="P109" s="8">
        <v>1</v>
      </c>
      <c r="Q109" s="8">
        <v>0</v>
      </c>
      <c r="R109" s="8">
        <v>0</v>
      </c>
      <c r="S109" s="8">
        <v>0</v>
      </c>
      <c r="T109" s="8">
        <v>0</v>
      </c>
      <c r="U109" s="8">
        <v>0</v>
      </c>
      <c r="V109" s="8">
        <v>0</v>
      </c>
      <c r="W109" s="8">
        <v>0</v>
      </c>
      <c r="X109" s="8">
        <v>0</v>
      </c>
      <c r="Y109" s="8">
        <v>0</v>
      </c>
      <c r="Z109" s="8" t="s">
        <v>21</v>
      </c>
      <c r="AA109" s="8" t="s">
        <v>34</v>
      </c>
      <c r="AB109" s="8" t="s">
        <v>24</v>
      </c>
      <c r="AC109" s="8" t="s">
        <v>25</v>
      </c>
    </row>
    <row r="110" spans="1:29" x14ac:dyDescent="0.3">
      <c r="A110" s="5">
        <v>109</v>
      </c>
      <c r="B110" s="5">
        <v>0</v>
      </c>
      <c r="C110" s="5">
        <v>1</v>
      </c>
      <c r="D110" s="5">
        <v>0</v>
      </c>
      <c r="E110" s="5">
        <v>0</v>
      </c>
      <c r="F110" s="5">
        <v>0</v>
      </c>
      <c r="G110" s="5">
        <v>0</v>
      </c>
      <c r="H110" s="6" t="s">
        <v>27</v>
      </c>
      <c r="I110" s="6" t="s">
        <v>43</v>
      </c>
      <c r="J110" s="6" t="s">
        <v>356</v>
      </c>
      <c r="K110" s="6" t="s">
        <v>15</v>
      </c>
      <c r="L110" s="6" t="s">
        <v>58</v>
      </c>
      <c r="M110" s="6">
        <v>4</v>
      </c>
      <c r="N110" s="6" t="s">
        <v>45</v>
      </c>
      <c r="O110" s="6" t="s">
        <v>63</v>
      </c>
      <c r="P110" s="6">
        <v>1</v>
      </c>
      <c r="Q110" s="6">
        <v>1</v>
      </c>
      <c r="R110" s="6">
        <v>1</v>
      </c>
      <c r="S110" s="6">
        <v>0</v>
      </c>
      <c r="T110" s="6">
        <v>1</v>
      </c>
      <c r="U110" s="6">
        <v>0</v>
      </c>
      <c r="V110" s="6">
        <v>1</v>
      </c>
      <c r="W110" s="6">
        <v>0</v>
      </c>
      <c r="X110" s="6">
        <v>0</v>
      </c>
      <c r="Y110" s="6">
        <v>1</v>
      </c>
      <c r="Z110" s="6" t="s">
        <v>21</v>
      </c>
      <c r="AA110" s="6" t="s">
        <v>23</v>
      </c>
      <c r="AB110" s="6" t="s">
        <v>24</v>
      </c>
      <c r="AC110" s="6" t="s">
        <v>48</v>
      </c>
    </row>
    <row r="111" spans="1:29" x14ac:dyDescent="0.3">
      <c r="A111" s="7">
        <v>110</v>
      </c>
      <c r="B111" s="7">
        <v>0</v>
      </c>
      <c r="C111" s="7">
        <v>0</v>
      </c>
      <c r="D111" s="7">
        <v>0</v>
      </c>
      <c r="E111" s="7">
        <v>0</v>
      </c>
      <c r="F111" s="7">
        <v>0</v>
      </c>
      <c r="G111" s="7">
        <v>1</v>
      </c>
      <c r="H111" s="8" t="s">
        <v>27</v>
      </c>
      <c r="I111" s="8" t="s">
        <v>36</v>
      </c>
      <c r="J111" s="8" t="s">
        <v>37</v>
      </c>
      <c r="K111" s="8" t="s">
        <v>30</v>
      </c>
      <c r="L111" s="8" t="s">
        <v>44</v>
      </c>
      <c r="M111" s="8">
        <v>5</v>
      </c>
      <c r="N111" s="8" t="s">
        <v>45</v>
      </c>
      <c r="O111" s="8" t="s">
        <v>63</v>
      </c>
      <c r="P111" s="8">
        <v>0</v>
      </c>
      <c r="Q111" s="8">
        <v>1</v>
      </c>
      <c r="R111" s="8">
        <v>1</v>
      </c>
      <c r="S111" s="8">
        <v>0</v>
      </c>
      <c r="T111" s="8">
        <v>0</v>
      </c>
      <c r="U111" s="8">
        <v>1</v>
      </c>
      <c r="V111" s="8">
        <v>0</v>
      </c>
      <c r="W111" s="8">
        <v>0</v>
      </c>
      <c r="X111" s="8">
        <v>0</v>
      </c>
      <c r="Y111" s="8">
        <v>1</v>
      </c>
      <c r="Z111" s="8" t="s">
        <v>21</v>
      </c>
      <c r="AA111" s="8" t="s">
        <v>23</v>
      </c>
      <c r="AB111" s="8" t="s">
        <v>24</v>
      </c>
      <c r="AC111" s="8" t="s">
        <v>25</v>
      </c>
    </row>
    <row r="112" spans="1:29" x14ac:dyDescent="0.3">
      <c r="A112" s="5">
        <v>111</v>
      </c>
      <c r="B112" s="5">
        <v>0</v>
      </c>
      <c r="C112" s="5">
        <v>1</v>
      </c>
      <c r="D112" s="5">
        <v>0</v>
      </c>
      <c r="E112" s="5">
        <v>0</v>
      </c>
      <c r="F112" s="5">
        <v>0</v>
      </c>
      <c r="G112" s="5">
        <v>0</v>
      </c>
      <c r="H112" s="6" t="s">
        <v>15</v>
      </c>
      <c r="I112" s="6" t="s">
        <v>43</v>
      </c>
      <c r="J112" s="6" t="s">
        <v>356</v>
      </c>
      <c r="K112" s="6" t="s">
        <v>30</v>
      </c>
      <c r="L112" s="6" t="s">
        <v>58</v>
      </c>
      <c r="M112" s="6">
        <v>5</v>
      </c>
      <c r="N112" s="6" t="s">
        <v>45</v>
      </c>
      <c r="O112" s="6" t="s">
        <v>46</v>
      </c>
      <c r="P112" s="6">
        <v>1</v>
      </c>
      <c r="Q112" s="6">
        <v>1</v>
      </c>
      <c r="R112" s="6">
        <v>1</v>
      </c>
      <c r="S112" s="6">
        <v>1</v>
      </c>
      <c r="T112" s="6">
        <v>0</v>
      </c>
      <c r="U112" s="6">
        <v>1</v>
      </c>
      <c r="V112" s="6">
        <v>1</v>
      </c>
      <c r="W112" s="6">
        <v>1</v>
      </c>
      <c r="X112" s="6">
        <v>0</v>
      </c>
      <c r="Y112" s="6">
        <v>1</v>
      </c>
      <c r="Z112" s="6" t="s">
        <v>21</v>
      </c>
      <c r="AA112" s="6" t="s">
        <v>23</v>
      </c>
      <c r="AB112" s="6" t="s">
        <v>24</v>
      </c>
      <c r="AC112" s="6" t="s">
        <v>48</v>
      </c>
    </row>
    <row r="113" spans="1:29" x14ac:dyDescent="0.3">
      <c r="A113" s="7">
        <v>112</v>
      </c>
      <c r="B113" s="7">
        <v>0</v>
      </c>
      <c r="C113" s="7">
        <v>0</v>
      </c>
      <c r="D113" s="7">
        <v>0</v>
      </c>
      <c r="E113" s="7">
        <v>0</v>
      </c>
      <c r="F113" s="7">
        <v>1</v>
      </c>
      <c r="G113" s="7">
        <v>0</v>
      </c>
      <c r="H113" s="8" t="s">
        <v>15</v>
      </c>
      <c r="I113" s="8" t="s">
        <v>36</v>
      </c>
      <c r="J113" s="8" t="s">
        <v>29</v>
      </c>
      <c r="K113" s="8" t="s">
        <v>15</v>
      </c>
      <c r="L113" s="8" t="s">
        <v>44</v>
      </c>
      <c r="M113" s="8">
        <v>5</v>
      </c>
      <c r="N113" s="8" t="s">
        <v>72</v>
      </c>
      <c r="O113" s="8" t="s">
        <v>63</v>
      </c>
      <c r="P113" s="8">
        <v>0</v>
      </c>
      <c r="Q113" s="8">
        <v>1</v>
      </c>
      <c r="R113" s="8">
        <v>0</v>
      </c>
      <c r="S113" s="8">
        <v>0</v>
      </c>
      <c r="T113" s="8">
        <v>0</v>
      </c>
      <c r="U113" s="8">
        <v>0</v>
      </c>
      <c r="V113" s="8">
        <v>0</v>
      </c>
      <c r="W113" s="8">
        <v>0</v>
      </c>
      <c r="X113" s="8">
        <v>0</v>
      </c>
      <c r="Y113" s="8">
        <v>0</v>
      </c>
      <c r="Z113" s="8" t="s">
        <v>25</v>
      </c>
      <c r="AA113" s="8" t="s">
        <v>23</v>
      </c>
      <c r="AB113" s="8" t="s">
        <v>24</v>
      </c>
      <c r="AC113" s="8" t="s">
        <v>48</v>
      </c>
    </row>
    <row r="114" spans="1:29" x14ac:dyDescent="0.3">
      <c r="A114" s="5">
        <v>113</v>
      </c>
      <c r="B114" s="5">
        <v>0</v>
      </c>
      <c r="C114" s="5">
        <v>0</v>
      </c>
      <c r="D114" s="5">
        <v>0</v>
      </c>
      <c r="E114" s="5">
        <v>0</v>
      </c>
      <c r="F114" s="5">
        <v>1</v>
      </c>
      <c r="G114" s="5">
        <v>0</v>
      </c>
      <c r="H114" s="6" t="s">
        <v>42</v>
      </c>
      <c r="I114" s="6" t="s">
        <v>43</v>
      </c>
      <c r="J114" s="6" t="s">
        <v>37</v>
      </c>
      <c r="K114" s="6" t="s">
        <v>15</v>
      </c>
      <c r="L114" s="6" t="s">
        <v>51</v>
      </c>
      <c r="M114" s="6">
        <v>5</v>
      </c>
      <c r="N114" s="6" t="s">
        <v>45</v>
      </c>
      <c r="O114" s="6" t="s">
        <v>46</v>
      </c>
      <c r="P114" s="6">
        <v>1</v>
      </c>
      <c r="Q114" s="6">
        <v>1</v>
      </c>
      <c r="R114" s="6">
        <v>1</v>
      </c>
      <c r="S114" s="6">
        <v>0</v>
      </c>
      <c r="T114" s="6">
        <v>1</v>
      </c>
      <c r="U114" s="6">
        <v>1</v>
      </c>
      <c r="V114" s="6">
        <v>0</v>
      </c>
      <c r="W114" s="6">
        <v>0</v>
      </c>
      <c r="X114" s="6">
        <v>0</v>
      </c>
      <c r="Y114" s="6">
        <v>0</v>
      </c>
      <c r="Z114" s="6" t="s">
        <v>21</v>
      </c>
      <c r="AA114" s="6" t="s">
        <v>23</v>
      </c>
      <c r="AB114" s="6" t="s">
        <v>24</v>
      </c>
      <c r="AC114" s="6" t="s">
        <v>25</v>
      </c>
    </row>
    <row r="115" spans="1:29" x14ac:dyDescent="0.3">
      <c r="A115" s="7">
        <v>114</v>
      </c>
      <c r="B115" s="7">
        <v>0</v>
      </c>
      <c r="C115" s="7">
        <v>0</v>
      </c>
      <c r="D115" s="7">
        <v>1</v>
      </c>
      <c r="E115" s="7">
        <v>0</v>
      </c>
      <c r="F115" s="7">
        <v>0</v>
      </c>
      <c r="G115" s="7">
        <v>0</v>
      </c>
      <c r="H115" s="8" t="s">
        <v>15</v>
      </c>
      <c r="I115" s="8" t="s">
        <v>43</v>
      </c>
      <c r="J115" s="8" t="s">
        <v>356</v>
      </c>
      <c r="K115" s="8" t="s">
        <v>102</v>
      </c>
      <c r="L115" s="8" t="s">
        <v>44</v>
      </c>
      <c r="M115" s="8">
        <v>3</v>
      </c>
      <c r="N115" s="8" t="s">
        <v>45</v>
      </c>
      <c r="O115" s="8" t="s">
        <v>63</v>
      </c>
      <c r="P115" s="8">
        <v>0</v>
      </c>
      <c r="Q115" s="8">
        <v>1</v>
      </c>
      <c r="R115" s="8">
        <v>0</v>
      </c>
      <c r="S115" s="8">
        <v>0</v>
      </c>
      <c r="T115" s="8">
        <v>1</v>
      </c>
      <c r="U115" s="8">
        <v>0</v>
      </c>
      <c r="V115" s="8">
        <v>0</v>
      </c>
      <c r="W115" s="8">
        <v>0</v>
      </c>
      <c r="X115" s="8">
        <v>0</v>
      </c>
      <c r="Y115" s="8">
        <v>0</v>
      </c>
      <c r="Z115" s="8" t="s">
        <v>21</v>
      </c>
      <c r="AA115" s="8" t="s">
        <v>23</v>
      </c>
      <c r="AB115" s="8" t="s">
        <v>24</v>
      </c>
      <c r="AC115" s="8" t="s">
        <v>25</v>
      </c>
    </row>
    <row r="116" spans="1:29" x14ac:dyDescent="0.3">
      <c r="A116" s="5">
        <v>115</v>
      </c>
      <c r="B116" s="5">
        <v>1</v>
      </c>
      <c r="C116" s="5">
        <v>1</v>
      </c>
      <c r="D116" s="5">
        <v>0</v>
      </c>
      <c r="E116" s="5">
        <v>0</v>
      </c>
      <c r="F116" s="5">
        <v>1</v>
      </c>
      <c r="G116" s="5">
        <v>1</v>
      </c>
      <c r="H116" s="6" t="s">
        <v>27</v>
      </c>
      <c r="I116" s="6" t="s">
        <v>36</v>
      </c>
      <c r="J116" s="6" t="s">
        <v>37</v>
      </c>
      <c r="K116" s="6" t="s">
        <v>30</v>
      </c>
      <c r="L116" s="6" t="s">
        <v>44</v>
      </c>
      <c r="M116" s="6">
        <v>4</v>
      </c>
      <c r="N116" s="6" t="s">
        <v>45</v>
      </c>
      <c r="O116" s="6" t="s">
        <v>63</v>
      </c>
      <c r="P116" s="6">
        <v>0</v>
      </c>
      <c r="Q116" s="6">
        <v>1</v>
      </c>
      <c r="R116" s="6">
        <v>1</v>
      </c>
      <c r="S116" s="6">
        <v>0</v>
      </c>
      <c r="T116" s="6">
        <v>1</v>
      </c>
      <c r="U116" s="6">
        <v>0</v>
      </c>
      <c r="V116" s="6">
        <v>0</v>
      </c>
      <c r="W116" s="6">
        <v>1</v>
      </c>
      <c r="X116" s="6">
        <v>0</v>
      </c>
      <c r="Y116" s="6">
        <v>1</v>
      </c>
      <c r="Z116" s="6" t="s">
        <v>21</v>
      </c>
      <c r="AA116" s="6" t="s">
        <v>23</v>
      </c>
      <c r="AB116" s="6" t="s">
        <v>24</v>
      </c>
      <c r="AC116" s="6" t="s">
        <v>25</v>
      </c>
    </row>
    <row r="117" spans="1:29" x14ac:dyDescent="0.3">
      <c r="A117" s="7">
        <v>116</v>
      </c>
      <c r="B117" s="7">
        <v>0</v>
      </c>
      <c r="C117" s="7">
        <v>0</v>
      </c>
      <c r="D117" s="7">
        <v>1</v>
      </c>
      <c r="E117" s="7">
        <v>0</v>
      </c>
      <c r="F117" s="7">
        <v>0</v>
      </c>
      <c r="G117" s="7">
        <v>0</v>
      </c>
      <c r="H117" s="8" t="s">
        <v>49</v>
      </c>
      <c r="I117" s="8" t="s">
        <v>43</v>
      </c>
      <c r="J117" s="8" t="s">
        <v>50</v>
      </c>
      <c r="K117" s="8" t="s">
        <v>102</v>
      </c>
      <c r="L117" s="8" t="s">
        <v>70</v>
      </c>
      <c r="M117" s="8">
        <v>3</v>
      </c>
      <c r="N117" s="8" t="s">
        <v>45</v>
      </c>
      <c r="O117" s="8" t="s">
        <v>63</v>
      </c>
      <c r="P117" s="8">
        <v>1</v>
      </c>
      <c r="Q117" s="8">
        <v>0</v>
      </c>
      <c r="R117" s="8">
        <v>1</v>
      </c>
      <c r="S117" s="8">
        <v>0</v>
      </c>
      <c r="T117" s="8">
        <v>0</v>
      </c>
      <c r="U117" s="8">
        <v>0</v>
      </c>
      <c r="V117" s="8">
        <v>1</v>
      </c>
      <c r="W117" s="8">
        <v>0</v>
      </c>
      <c r="X117" s="8">
        <v>0</v>
      </c>
      <c r="Y117" s="8">
        <v>0</v>
      </c>
      <c r="Z117" s="8" t="s">
        <v>21</v>
      </c>
      <c r="AA117" s="8" t="s">
        <v>34</v>
      </c>
      <c r="AB117" s="8" t="s">
        <v>24</v>
      </c>
      <c r="AC117" s="8" t="s">
        <v>48</v>
      </c>
    </row>
    <row r="118" spans="1:29" x14ac:dyDescent="0.3">
      <c r="A118" s="5">
        <v>117</v>
      </c>
      <c r="B118" s="5">
        <v>0</v>
      </c>
      <c r="C118" s="5">
        <v>1</v>
      </c>
      <c r="D118" s="5">
        <v>0</v>
      </c>
      <c r="E118" s="5">
        <v>0</v>
      </c>
      <c r="F118" s="5">
        <v>0</v>
      </c>
      <c r="G118" s="5">
        <v>0</v>
      </c>
      <c r="H118" s="6" t="s">
        <v>49</v>
      </c>
      <c r="I118" s="6" t="s">
        <v>43</v>
      </c>
      <c r="J118" s="6" t="s">
        <v>50</v>
      </c>
      <c r="K118" s="6" t="s">
        <v>30</v>
      </c>
      <c r="L118" s="6" t="s">
        <v>70</v>
      </c>
      <c r="M118" s="6">
        <v>5</v>
      </c>
      <c r="N118" s="6" t="s">
        <v>45</v>
      </c>
      <c r="O118" s="6" t="s">
        <v>46</v>
      </c>
      <c r="P118" s="6">
        <v>1</v>
      </c>
      <c r="Q118" s="6">
        <v>1</v>
      </c>
      <c r="R118" s="6">
        <v>0</v>
      </c>
      <c r="S118" s="6">
        <v>1</v>
      </c>
      <c r="T118" s="6">
        <v>0</v>
      </c>
      <c r="U118" s="6">
        <v>0</v>
      </c>
      <c r="V118" s="6">
        <v>0</v>
      </c>
      <c r="W118" s="6">
        <v>0</v>
      </c>
      <c r="X118" s="6">
        <v>1</v>
      </c>
      <c r="Y118" s="6">
        <v>0</v>
      </c>
      <c r="Z118" s="6" t="s">
        <v>21</v>
      </c>
      <c r="AA118" s="6" t="s">
        <v>40</v>
      </c>
      <c r="AB118" s="6" t="s">
        <v>24</v>
      </c>
      <c r="AC118" s="6" t="s">
        <v>21</v>
      </c>
    </row>
    <row r="119" spans="1:29" x14ac:dyDescent="0.3">
      <c r="A119" s="7">
        <v>118</v>
      </c>
      <c r="B119" s="7">
        <v>1</v>
      </c>
      <c r="C119" s="7">
        <v>1</v>
      </c>
      <c r="D119" s="7">
        <v>0</v>
      </c>
      <c r="E119" s="7">
        <v>0</v>
      </c>
      <c r="F119" s="7">
        <v>1</v>
      </c>
      <c r="G119" s="7">
        <v>1</v>
      </c>
      <c r="H119" s="8" t="s">
        <v>27</v>
      </c>
      <c r="I119" s="8" t="s">
        <v>43</v>
      </c>
      <c r="J119" s="8" t="s">
        <v>174</v>
      </c>
      <c r="K119" s="8" t="s">
        <v>30</v>
      </c>
      <c r="L119" s="8" t="s">
        <v>70</v>
      </c>
      <c r="M119" s="8">
        <v>5</v>
      </c>
      <c r="N119" s="8" t="s">
        <v>45</v>
      </c>
      <c r="O119" s="8" t="s">
        <v>46</v>
      </c>
      <c r="P119" s="8">
        <v>1</v>
      </c>
      <c r="Q119" s="8">
        <v>1</v>
      </c>
      <c r="R119" s="8">
        <v>1</v>
      </c>
      <c r="S119" s="8">
        <v>1</v>
      </c>
      <c r="T119" s="8">
        <v>1</v>
      </c>
      <c r="U119" s="8">
        <v>1</v>
      </c>
      <c r="V119" s="8">
        <v>1</v>
      </c>
      <c r="W119" s="8">
        <v>1</v>
      </c>
      <c r="X119" s="8">
        <v>1</v>
      </c>
      <c r="Y119" s="8">
        <v>1</v>
      </c>
      <c r="Z119" s="8" t="s">
        <v>21</v>
      </c>
      <c r="AA119" s="8" t="s">
        <v>23</v>
      </c>
      <c r="AB119" s="8" t="s">
        <v>24</v>
      </c>
      <c r="AC119" s="8" t="s">
        <v>48</v>
      </c>
    </row>
    <row r="120" spans="1:29" x14ac:dyDescent="0.3">
      <c r="A120" s="5">
        <v>119</v>
      </c>
      <c r="B120" s="5">
        <v>0</v>
      </c>
      <c r="C120" s="5">
        <v>1</v>
      </c>
      <c r="D120" s="5">
        <v>0</v>
      </c>
      <c r="E120" s="5">
        <v>0</v>
      </c>
      <c r="F120" s="5">
        <v>0</v>
      </c>
      <c r="G120" s="5">
        <v>1</v>
      </c>
      <c r="H120" s="6" t="s">
        <v>27</v>
      </c>
      <c r="I120" s="6" t="s">
        <v>43</v>
      </c>
      <c r="J120" s="6" t="s">
        <v>50</v>
      </c>
      <c r="K120" s="6" t="s">
        <v>30</v>
      </c>
      <c r="L120" s="6" t="s">
        <v>44</v>
      </c>
      <c r="M120" s="6">
        <v>5</v>
      </c>
      <c r="N120" s="6" t="s">
        <v>45</v>
      </c>
      <c r="O120" s="6" t="s">
        <v>46</v>
      </c>
      <c r="P120" s="6">
        <v>1</v>
      </c>
      <c r="Q120" s="6">
        <v>1</v>
      </c>
      <c r="R120" s="6">
        <v>1</v>
      </c>
      <c r="S120" s="6">
        <v>1</v>
      </c>
      <c r="T120" s="6">
        <v>1</v>
      </c>
      <c r="U120" s="6">
        <v>1</v>
      </c>
      <c r="V120" s="6">
        <v>1</v>
      </c>
      <c r="W120" s="6">
        <v>1</v>
      </c>
      <c r="X120" s="6">
        <v>1</v>
      </c>
      <c r="Y120" s="6">
        <v>1</v>
      </c>
      <c r="Z120" s="6" t="s">
        <v>21</v>
      </c>
      <c r="AA120" s="6" t="s">
        <v>34</v>
      </c>
      <c r="AB120" s="6" t="s">
        <v>136</v>
      </c>
      <c r="AC120" s="6" t="s">
        <v>21</v>
      </c>
    </row>
    <row r="121" spans="1:29" x14ac:dyDescent="0.3">
      <c r="A121" s="7">
        <v>120</v>
      </c>
      <c r="B121" s="7">
        <v>1</v>
      </c>
      <c r="C121" s="7">
        <v>0</v>
      </c>
      <c r="D121" s="7">
        <v>0</v>
      </c>
      <c r="E121" s="7">
        <v>0</v>
      </c>
      <c r="F121" s="7">
        <v>0</v>
      </c>
      <c r="G121" s="7">
        <v>1</v>
      </c>
      <c r="H121" s="8" t="s">
        <v>15</v>
      </c>
      <c r="I121" s="8" t="s">
        <v>43</v>
      </c>
      <c r="J121" s="8" t="s">
        <v>50</v>
      </c>
      <c r="K121" s="8" t="s">
        <v>15</v>
      </c>
      <c r="L121" s="8" t="s">
        <v>70</v>
      </c>
      <c r="M121" s="8">
        <v>4</v>
      </c>
      <c r="N121" s="8" t="s">
        <v>45</v>
      </c>
      <c r="O121" s="8" t="s">
        <v>63</v>
      </c>
      <c r="P121" s="8">
        <v>1</v>
      </c>
      <c r="Q121" s="8">
        <v>0</v>
      </c>
      <c r="R121" s="8">
        <v>1</v>
      </c>
      <c r="S121" s="8">
        <v>1</v>
      </c>
      <c r="T121" s="8">
        <v>0</v>
      </c>
      <c r="U121" s="8">
        <v>0</v>
      </c>
      <c r="V121" s="8">
        <v>0</v>
      </c>
      <c r="W121" s="8">
        <v>0</v>
      </c>
      <c r="X121" s="8">
        <v>0</v>
      </c>
      <c r="Y121" s="8">
        <v>0</v>
      </c>
      <c r="Z121" s="8" t="s">
        <v>21</v>
      </c>
      <c r="AA121" s="8" t="s">
        <v>23</v>
      </c>
      <c r="AB121" s="8" t="s">
        <v>24</v>
      </c>
      <c r="AC121" s="8" t="s">
        <v>48</v>
      </c>
    </row>
    <row r="122" spans="1:29" x14ac:dyDescent="0.3">
      <c r="A122" s="5">
        <v>121</v>
      </c>
      <c r="B122" s="5">
        <v>0</v>
      </c>
      <c r="C122" s="5">
        <v>0</v>
      </c>
      <c r="D122" s="5">
        <v>1</v>
      </c>
      <c r="E122" s="5">
        <v>0</v>
      </c>
      <c r="F122" s="5">
        <v>0</v>
      </c>
      <c r="G122" s="5">
        <v>0</v>
      </c>
      <c r="H122" s="6" t="s">
        <v>42</v>
      </c>
      <c r="I122" s="6" t="s">
        <v>43</v>
      </c>
      <c r="J122" s="6" t="s">
        <v>356</v>
      </c>
      <c r="K122" s="6" t="s">
        <v>15</v>
      </c>
      <c r="L122" s="6" t="s">
        <v>58</v>
      </c>
      <c r="M122" s="6">
        <v>3</v>
      </c>
      <c r="N122" s="6" t="s">
        <v>45</v>
      </c>
      <c r="O122" s="6" t="s">
        <v>52</v>
      </c>
      <c r="P122" s="6">
        <v>1</v>
      </c>
      <c r="Q122" s="6">
        <v>0</v>
      </c>
      <c r="R122" s="6">
        <v>1</v>
      </c>
      <c r="S122" s="6">
        <v>0</v>
      </c>
      <c r="T122" s="6">
        <v>1</v>
      </c>
      <c r="U122" s="6">
        <v>0</v>
      </c>
      <c r="V122" s="6">
        <v>0</v>
      </c>
      <c r="W122" s="6">
        <v>0</v>
      </c>
      <c r="X122" s="6">
        <v>0</v>
      </c>
      <c r="Y122" s="6">
        <v>0</v>
      </c>
      <c r="Z122" s="6" t="s">
        <v>25</v>
      </c>
      <c r="AA122" s="6" t="s">
        <v>23</v>
      </c>
      <c r="AB122" s="6" t="s">
        <v>24</v>
      </c>
      <c r="AC122" s="6" t="s">
        <v>25</v>
      </c>
    </row>
    <row r="123" spans="1:29" x14ac:dyDescent="0.3">
      <c r="A123" s="7">
        <v>122</v>
      </c>
      <c r="B123" s="7">
        <v>0</v>
      </c>
      <c r="C123" s="7">
        <v>0</v>
      </c>
      <c r="D123" s="7">
        <v>1</v>
      </c>
      <c r="E123" s="7">
        <v>0</v>
      </c>
      <c r="F123" s="7">
        <v>0</v>
      </c>
      <c r="G123" s="7">
        <v>0</v>
      </c>
      <c r="H123" s="8" t="s">
        <v>27</v>
      </c>
      <c r="I123" s="8" t="s">
        <v>43</v>
      </c>
      <c r="J123" s="8" t="s">
        <v>50</v>
      </c>
      <c r="K123" s="8" t="s">
        <v>30</v>
      </c>
      <c r="L123" s="8" t="s">
        <v>51</v>
      </c>
      <c r="M123" s="8">
        <v>5</v>
      </c>
      <c r="N123" s="8" t="s">
        <v>45</v>
      </c>
      <c r="O123" s="8" t="s">
        <v>63</v>
      </c>
      <c r="P123" s="8">
        <v>1</v>
      </c>
      <c r="Q123" s="8">
        <v>1</v>
      </c>
      <c r="R123" s="8">
        <v>0</v>
      </c>
      <c r="S123" s="8">
        <v>0</v>
      </c>
      <c r="T123" s="8">
        <v>0</v>
      </c>
      <c r="U123" s="8">
        <v>1</v>
      </c>
      <c r="V123" s="8">
        <v>0</v>
      </c>
      <c r="W123" s="8">
        <v>0</v>
      </c>
      <c r="X123" s="8">
        <v>0</v>
      </c>
      <c r="Y123" s="8">
        <v>0</v>
      </c>
      <c r="Z123" s="8" t="s">
        <v>21</v>
      </c>
      <c r="AA123" s="8" t="s">
        <v>23</v>
      </c>
      <c r="AB123" s="8" t="s">
        <v>24</v>
      </c>
      <c r="AC123" s="8" t="s">
        <v>48</v>
      </c>
    </row>
    <row r="124" spans="1:29" x14ac:dyDescent="0.3">
      <c r="A124" s="5">
        <v>123</v>
      </c>
      <c r="B124" s="5">
        <v>0</v>
      </c>
      <c r="C124" s="5">
        <v>0</v>
      </c>
      <c r="D124" s="5">
        <v>0</v>
      </c>
      <c r="E124" s="5">
        <v>0</v>
      </c>
      <c r="F124" s="5">
        <v>0</v>
      </c>
      <c r="G124" s="5">
        <v>1</v>
      </c>
      <c r="H124" s="6" t="s">
        <v>27</v>
      </c>
      <c r="I124" s="6" t="s">
        <v>43</v>
      </c>
      <c r="J124" s="6" t="s">
        <v>17</v>
      </c>
      <c r="K124" s="6" t="s">
        <v>30</v>
      </c>
      <c r="L124" s="6" t="s">
        <v>58</v>
      </c>
      <c r="M124" s="6">
        <v>5</v>
      </c>
      <c r="N124" s="6" t="s">
        <v>45</v>
      </c>
      <c r="O124" s="6" t="s">
        <v>63</v>
      </c>
      <c r="P124" s="6">
        <v>1</v>
      </c>
      <c r="Q124" s="6">
        <v>1</v>
      </c>
      <c r="R124" s="6">
        <v>0</v>
      </c>
      <c r="S124" s="6">
        <v>1</v>
      </c>
      <c r="T124" s="6">
        <v>1</v>
      </c>
      <c r="U124" s="6">
        <v>1</v>
      </c>
      <c r="V124" s="6">
        <v>0</v>
      </c>
      <c r="W124" s="6">
        <v>1</v>
      </c>
      <c r="X124" s="6">
        <v>1</v>
      </c>
      <c r="Y124" s="6">
        <v>1</v>
      </c>
      <c r="Z124" s="6" t="s">
        <v>21</v>
      </c>
      <c r="AA124" s="6" t="s">
        <v>23</v>
      </c>
      <c r="AB124" s="6" t="s">
        <v>24</v>
      </c>
      <c r="AC124" s="6" t="s">
        <v>48</v>
      </c>
    </row>
    <row r="125" spans="1:29" x14ac:dyDescent="0.3">
      <c r="A125" s="7">
        <v>124</v>
      </c>
      <c r="B125" s="7">
        <v>0</v>
      </c>
      <c r="C125" s="7">
        <v>1</v>
      </c>
      <c r="D125" s="7">
        <v>0</v>
      </c>
      <c r="E125" s="7">
        <v>0</v>
      </c>
      <c r="F125" s="7">
        <v>1</v>
      </c>
      <c r="G125" s="7">
        <v>0</v>
      </c>
      <c r="H125" s="8" t="s">
        <v>49</v>
      </c>
      <c r="I125" s="8" t="s">
        <v>43</v>
      </c>
      <c r="J125" s="8" t="s">
        <v>50</v>
      </c>
      <c r="K125" s="8" t="s">
        <v>49</v>
      </c>
      <c r="L125" s="8" t="s">
        <v>58</v>
      </c>
      <c r="M125" s="8">
        <v>5</v>
      </c>
      <c r="N125" s="8" t="s">
        <v>45</v>
      </c>
      <c r="O125" s="8" t="s">
        <v>63</v>
      </c>
      <c r="P125" s="8">
        <v>0</v>
      </c>
      <c r="Q125" s="8">
        <v>0</v>
      </c>
      <c r="R125" s="8">
        <v>1</v>
      </c>
      <c r="S125" s="8">
        <v>1</v>
      </c>
      <c r="T125" s="8">
        <v>1</v>
      </c>
      <c r="U125" s="8">
        <v>0</v>
      </c>
      <c r="V125" s="8">
        <v>1</v>
      </c>
      <c r="W125" s="8">
        <v>1</v>
      </c>
      <c r="X125" s="8">
        <v>1</v>
      </c>
      <c r="Y125" s="8">
        <v>1</v>
      </c>
      <c r="Z125" s="8" t="s">
        <v>21</v>
      </c>
      <c r="AA125" s="8" t="s">
        <v>23</v>
      </c>
      <c r="AB125" s="8" t="s">
        <v>24</v>
      </c>
      <c r="AC125" s="8" t="s">
        <v>48</v>
      </c>
    </row>
    <row r="126" spans="1:29" x14ac:dyDescent="0.3">
      <c r="A126" s="5">
        <v>125</v>
      </c>
      <c r="B126" s="5">
        <v>0</v>
      </c>
      <c r="C126" s="5">
        <v>1</v>
      </c>
      <c r="D126" s="5">
        <v>0</v>
      </c>
      <c r="E126" s="5">
        <v>0</v>
      </c>
      <c r="F126" s="5">
        <v>1</v>
      </c>
      <c r="G126" s="5">
        <v>0</v>
      </c>
      <c r="H126" s="6" t="s">
        <v>42</v>
      </c>
      <c r="I126" s="6" t="s">
        <v>16</v>
      </c>
      <c r="J126" s="6" t="s">
        <v>356</v>
      </c>
      <c r="K126" s="6" t="s">
        <v>15</v>
      </c>
      <c r="L126" s="6" t="s">
        <v>58</v>
      </c>
      <c r="M126" s="6">
        <v>4</v>
      </c>
      <c r="N126" s="6" t="s">
        <v>45</v>
      </c>
      <c r="O126" s="6" t="s">
        <v>46</v>
      </c>
      <c r="P126" s="6">
        <v>1</v>
      </c>
      <c r="Q126" s="6">
        <v>1</v>
      </c>
      <c r="R126" s="6">
        <v>1</v>
      </c>
      <c r="S126" s="6">
        <v>1</v>
      </c>
      <c r="T126" s="6">
        <v>1</v>
      </c>
      <c r="U126" s="6">
        <v>1</v>
      </c>
      <c r="V126" s="6">
        <v>1</v>
      </c>
      <c r="W126" s="6">
        <v>1</v>
      </c>
      <c r="X126" s="6">
        <v>1</v>
      </c>
      <c r="Y126" s="6">
        <v>1</v>
      </c>
      <c r="Z126" s="6" t="s">
        <v>21</v>
      </c>
      <c r="AA126" s="6" t="s">
        <v>23</v>
      </c>
      <c r="AB126" s="6" t="s">
        <v>24</v>
      </c>
      <c r="AC126" s="6" t="s">
        <v>25</v>
      </c>
    </row>
    <row r="127" spans="1:29" x14ac:dyDescent="0.3">
      <c r="A127" s="7">
        <v>126</v>
      </c>
      <c r="B127" s="7">
        <v>1</v>
      </c>
      <c r="C127" s="7">
        <v>0</v>
      </c>
      <c r="D127" s="7">
        <v>0</v>
      </c>
      <c r="E127" s="7">
        <v>0</v>
      </c>
      <c r="F127" s="7">
        <v>0</v>
      </c>
      <c r="G127" s="7">
        <v>0</v>
      </c>
      <c r="H127" s="8" t="s">
        <v>15</v>
      </c>
      <c r="I127" s="8" t="s">
        <v>43</v>
      </c>
      <c r="J127" s="8" t="s">
        <v>356</v>
      </c>
      <c r="K127" s="8" t="s">
        <v>49</v>
      </c>
      <c r="L127" s="8" t="s">
        <v>51</v>
      </c>
      <c r="M127" s="8">
        <v>5</v>
      </c>
      <c r="N127" s="8" t="s">
        <v>45</v>
      </c>
      <c r="O127" s="8" t="s">
        <v>46</v>
      </c>
      <c r="P127" s="8">
        <v>1</v>
      </c>
      <c r="Q127" s="8">
        <v>0</v>
      </c>
      <c r="R127" s="8">
        <v>0</v>
      </c>
      <c r="S127" s="8">
        <v>0</v>
      </c>
      <c r="T127" s="8">
        <v>1</v>
      </c>
      <c r="U127" s="8">
        <v>0</v>
      </c>
      <c r="V127" s="8">
        <v>1</v>
      </c>
      <c r="W127" s="8">
        <v>0</v>
      </c>
      <c r="X127" s="8">
        <v>0</v>
      </c>
      <c r="Y127" s="8">
        <v>0</v>
      </c>
      <c r="Z127" s="8" t="s">
        <v>21</v>
      </c>
      <c r="AA127" s="8" t="s">
        <v>23</v>
      </c>
      <c r="AB127" s="8" t="s">
        <v>24</v>
      </c>
      <c r="AC127" s="8" t="s">
        <v>48</v>
      </c>
    </row>
    <row r="128" spans="1:29" x14ac:dyDescent="0.3">
      <c r="A128" s="5">
        <v>127</v>
      </c>
      <c r="B128" s="5">
        <v>0</v>
      </c>
      <c r="C128" s="5">
        <v>1</v>
      </c>
      <c r="D128" s="5">
        <v>0</v>
      </c>
      <c r="E128" s="5">
        <v>0</v>
      </c>
      <c r="F128" s="5">
        <v>0</v>
      </c>
      <c r="G128" s="5">
        <v>0</v>
      </c>
      <c r="H128" s="6" t="s">
        <v>27</v>
      </c>
      <c r="I128" s="6" t="s">
        <v>352</v>
      </c>
      <c r="J128" s="6" t="s">
        <v>50</v>
      </c>
      <c r="K128" s="6" t="s">
        <v>49</v>
      </c>
      <c r="L128" s="6" t="s">
        <v>51</v>
      </c>
      <c r="M128" s="6">
        <v>5</v>
      </c>
      <c r="N128" s="6" t="s">
        <v>45</v>
      </c>
      <c r="O128" s="6" t="s">
        <v>63</v>
      </c>
      <c r="P128" s="6">
        <v>1</v>
      </c>
      <c r="Q128" s="6">
        <v>0</v>
      </c>
      <c r="R128" s="6">
        <v>0</v>
      </c>
      <c r="S128" s="6">
        <v>0</v>
      </c>
      <c r="T128" s="6">
        <v>1</v>
      </c>
      <c r="U128" s="6">
        <v>1</v>
      </c>
      <c r="V128" s="6">
        <v>0</v>
      </c>
      <c r="W128" s="6">
        <v>1</v>
      </c>
      <c r="X128" s="6">
        <v>0</v>
      </c>
      <c r="Y128" s="6">
        <v>1</v>
      </c>
      <c r="Z128" s="6" t="s">
        <v>25</v>
      </c>
      <c r="AA128" s="6" t="s">
        <v>34</v>
      </c>
      <c r="AB128" s="6" t="s">
        <v>88</v>
      </c>
      <c r="AC128" s="6" t="s">
        <v>48</v>
      </c>
    </row>
    <row r="129" spans="1:29" x14ac:dyDescent="0.3">
      <c r="A129" s="7">
        <v>128</v>
      </c>
      <c r="B129" s="7">
        <v>0</v>
      </c>
      <c r="C129" s="7">
        <v>0</v>
      </c>
      <c r="D129" s="7">
        <v>1</v>
      </c>
      <c r="E129" s="7">
        <v>0</v>
      </c>
      <c r="F129" s="7">
        <v>0</v>
      </c>
      <c r="G129" s="7">
        <v>0</v>
      </c>
      <c r="H129" s="8" t="s">
        <v>27</v>
      </c>
      <c r="I129" s="8" t="s">
        <v>43</v>
      </c>
      <c r="J129" s="8" t="s">
        <v>50</v>
      </c>
      <c r="K129" s="8" t="s">
        <v>49</v>
      </c>
      <c r="L129" s="8" t="s">
        <v>58</v>
      </c>
      <c r="M129" s="8">
        <v>1</v>
      </c>
      <c r="N129" s="8" t="s">
        <v>45</v>
      </c>
      <c r="O129" s="8" t="s">
        <v>52</v>
      </c>
      <c r="P129" s="8">
        <v>0</v>
      </c>
      <c r="Q129" s="8">
        <v>1</v>
      </c>
      <c r="R129" s="8">
        <v>1</v>
      </c>
      <c r="S129" s="8">
        <v>0</v>
      </c>
      <c r="T129" s="8">
        <v>1</v>
      </c>
      <c r="U129" s="8">
        <v>1</v>
      </c>
      <c r="V129" s="8">
        <v>0</v>
      </c>
      <c r="W129" s="8">
        <v>0</v>
      </c>
      <c r="X129" s="8">
        <v>0</v>
      </c>
      <c r="Y129" s="8">
        <v>0</v>
      </c>
      <c r="Z129" s="8" t="s">
        <v>25</v>
      </c>
      <c r="AA129" s="8" t="s">
        <v>34</v>
      </c>
      <c r="AB129" s="8" t="s">
        <v>24</v>
      </c>
      <c r="AC129" s="8" t="s">
        <v>25</v>
      </c>
    </row>
    <row r="130" spans="1:29" x14ac:dyDescent="0.3">
      <c r="A130" s="5">
        <v>129</v>
      </c>
      <c r="B130" s="5">
        <v>0</v>
      </c>
      <c r="C130" s="5">
        <v>0</v>
      </c>
      <c r="D130" s="5">
        <v>0</v>
      </c>
      <c r="E130" s="5">
        <v>0</v>
      </c>
      <c r="F130" s="5">
        <v>0</v>
      </c>
      <c r="G130" s="5">
        <v>1</v>
      </c>
      <c r="H130" s="6" t="s">
        <v>42</v>
      </c>
      <c r="I130" s="6" t="s">
        <v>43</v>
      </c>
      <c r="J130" s="6" t="s">
        <v>50</v>
      </c>
      <c r="K130" s="6" t="s">
        <v>30</v>
      </c>
      <c r="L130" s="6" t="s">
        <v>58</v>
      </c>
      <c r="M130" s="6">
        <v>5</v>
      </c>
      <c r="N130" s="6" t="s">
        <v>45</v>
      </c>
      <c r="O130" s="6" t="s">
        <v>63</v>
      </c>
      <c r="P130" s="6">
        <v>0</v>
      </c>
      <c r="Q130" s="6">
        <v>0</v>
      </c>
      <c r="R130" s="6">
        <v>0</v>
      </c>
      <c r="S130" s="6">
        <v>0</v>
      </c>
      <c r="T130" s="6">
        <v>0</v>
      </c>
      <c r="U130" s="6">
        <v>0</v>
      </c>
      <c r="V130" s="6">
        <v>1</v>
      </c>
      <c r="W130" s="6">
        <v>0</v>
      </c>
      <c r="X130" s="6">
        <v>0</v>
      </c>
      <c r="Y130" s="6">
        <v>0</v>
      </c>
      <c r="Z130" s="6" t="s">
        <v>21</v>
      </c>
      <c r="AA130" s="6" t="s">
        <v>34</v>
      </c>
      <c r="AB130" s="6" t="s">
        <v>24</v>
      </c>
      <c r="AC130" s="6" t="s">
        <v>25</v>
      </c>
    </row>
    <row r="131" spans="1:29" x14ac:dyDescent="0.3">
      <c r="A131" s="7">
        <v>130</v>
      </c>
      <c r="B131" s="7">
        <v>0</v>
      </c>
      <c r="C131" s="7">
        <v>1</v>
      </c>
      <c r="D131" s="7">
        <v>0</v>
      </c>
      <c r="E131" s="7">
        <v>0</v>
      </c>
      <c r="F131" s="7">
        <v>0</v>
      </c>
      <c r="G131" s="7">
        <v>0</v>
      </c>
      <c r="H131" s="8" t="s">
        <v>15</v>
      </c>
      <c r="I131" s="8" t="s">
        <v>43</v>
      </c>
      <c r="J131" s="8" t="s">
        <v>37</v>
      </c>
      <c r="K131" s="8" t="s">
        <v>15</v>
      </c>
      <c r="L131" s="8" t="s">
        <v>58</v>
      </c>
      <c r="M131" s="8">
        <v>4</v>
      </c>
      <c r="N131" s="8" t="s">
        <v>45</v>
      </c>
      <c r="O131" s="8" t="s">
        <v>63</v>
      </c>
      <c r="P131" s="8">
        <v>0</v>
      </c>
      <c r="Q131" s="8">
        <v>0</v>
      </c>
      <c r="R131" s="8">
        <v>0</v>
      </c>
      <c r="S131" s="8">
        <v>0</v>
      </c>
      <c r="T131" s="8">
        <v>1</v>
      </c>
      <c r="U131" s="8">
        <v>0</v>
      </c>
      <c r="V131" s="8">
        <v>0</v>
      </c>
      <c r="W131" s="8">
        <v>0</v>
      </c>
      <c r="X131" s="8">
        <v>0</v>
      </c>
      <c r="Y131" s="8">
        <v>0</v>
      </c>
      <c r="Z131" s="8" t="s">
        <v>21</v>
      </c>
      <c r="AA131" s="8" t="s">
        <v>34</v>
      </c>
      <c r="AB131" s="8" t="s">
        <v>24</v>
      </c>
      <c r="AC131" s="8" t="s">
        <v>25</v>
      </c>
    </row>
    <row r="132" spans="1:29" x14ac:dyDescent="0.3">
      <c r="A132" s="5">
        <v>131</v>
      </c>
      <c r="B132" s="5">
        <v>1</v>
      </c>
      <c r="C132" s="5">
        <v>0</v>
      </c>
      <c r="D132" s="5">
        <v>0</v>
      </c>
      <c r="E132" s="5">
        <v>0</v>
      </c>
      <c r="F132" s="5">
        <v>0</v>
      </c>
      <c r="G132" s="5">
        <v>0</v>
      </c>
      <c r="H132" s="6" t="s">
        <v>49</v>
      </c>
      <c r="I132" s="6" t="s">
        <v>117</v>
      </c>
      <c r="J132" s="6" t="s">
        <v>29</v>
      </c>
      <c r="K132" s="6" t="s">
        <v>49</v>
      </c>
      <c r="L132" s="6" t="s">
        <v>51</v>
      </c>
      <c r="M132" s="6">
        <v>5</v>
      </c>
      <c r="N132" s="6" t="s">
        <v>59</v>
      </c>
      <c r="O132" s="6" t="s">
        <v>63</v>
      </c>
      <c r="P132" s="6">
        <v>1</v>
      </c>
      <c r="Q132" s="6">
        <v>0</v>
      </c>
      <c r="R132" s="6">
        <v>1</v>
      </c>
      <c r="S132" s="6">
        <v>1</v>
      </c>
      <c r="T132" s="6">
        <v>0</v>
      </c>
      <c r="U132" s="6">
        <v>0</v>
      </c>
      <c r="V132" s="6">
        <v>1</v>
      </c>
      <c r="W132" s="6">
        <v>0</v>
      </c>
      <c r="X132" s="6">
        <v>1</v>
      </c>
      <c r="Y132" s="6">
        <v>0</v>
      </c>
      <c r="Z132" s="6" t="s">
        <v>25</v>
      </c>
      <c r="AA132" s="6" t="s">
        <v>34</v>
      </c>
      <c r="AB132" s="6" t="s">
        <v>24</v>
      </c>
      <c r="AC132" s="6" t="s">
        <v>25</v>
      </c>
    </row>
    <row r="133" spans="1:29" x14ac:dyDescent="0.3">
      <c r="A133" s="7">
        <v>132</v>
      </c>
      <c r="B133" s="7">
        <v>0</v>
      </c>
      <c r="C133" s="7">
        <v>1</v>
      </c>
      <c r="D133" s="7">
        <v>0</v>
      </c>
      <c r="E133" s="7">
        <v>0</v>
      </c>
      <c r="F133" s="7">
        <v>0</v>
      </c>
      <c r="G133" s="7">
        <v>0</v>
      </c>
      <c r="H133" s="8" t="s">
        <v>27</v>
      </c>
      <c r="I133" s="8" t="s">
        <v>43</v>
      </c>
      <c r="J133" s="8" t="s">
        <v>356</v>
      </c>
      <c r="K133" s="8" t="s">
        <v>30</v>
      </c>
      <c r="L133" s="8" t="s">
        <v>58</v>
      </c>
      <c r="M133" s="8">
        <v>3</v>
      </c>
      <c r="N133" s="8" t="s">
        <v>45</v>
      </c>
      <c r="O133" s="8" t="s">
        <v>63</v>
      </c>
      <c r="P133" s="8">
        <v>1</v>
      </c>
      <c r="Q133" s="8">
        <v>1</v>
      </c>
      <c r="R133" s="8">
        <v>0</v>
      </c>
      <c r="S133" s="8">
        <v>1</v>
      </c>
      <c r="T133" s="8">
        <v>1</v>
      </c>
      <c r="U133" s="8">
        <v>0</v>
      </c>
      <c r="V133" s="8">
        <v>0</v>
      </c>
      <c r="W133" s="8">
        <v>0</v>
      </c>
      <c r="X133" s="8">
        <v>0</v>
      </c>
      <c r="Y133" s="8">
        <v>0</v>
      </c>
      <c r="Z133" s="8" t="s">
        <v>21</v>
      </c>
      <c r="AA133" s="8" t="s">
        <v>23</v>
      </c>
      <c r="AB133" s="8" t="s">
        <v>24</v>
      </c>
      <c r="AC133" s="8" t="s">
        <v>21</v>
      </c>
    </row>
    <row r="134" spans="1:29" x14ac:dyDescent="0.3">
      <c r="A134" s="5">
        <v>133</v>
      </c>
      <c r="B134" s="5">
        <v>0</v>
      </c>
      <c r="C134" s="5">
        <v>0</v>
      </c>
      <c r="D134" s="5">
        <v>0</v>
      </c>
      <c r="E134" s="5">
        <v>0</v>
      </c>
      <c r="F134" s="5">
        <v>0</v>
      </c>
      <c r="G134" s="5">
        <v>1</v>
      </c>
      <c r="H134" s="6" t="s">
        <v>49</v>
      </c>
      <c r="I134" s="6" t="s">
        <v>352</v>
      </c>
      <c r="J134" s="6" t="s">
        <v>50</v>
      </c>
      <c r="K134" s="6" t="s">
        <v>49</v>
      </c>
      <c r="L134" s="6" t="s">
        <v>51</v>
      </c>
      <c r="M134" s="6">
        <v>5</v>
      </c>
      <c r="N134" s="6" t="s">
        <v>45</v>
      </c>
      <c r="O134" s="6" t="s">
        <v>46</v>
      </c>
      <c r="P134" s="6">
        <v>1</v>
      </c>
      <c r="Q134" s="6">
        <v>0</v>
      </c>
      <c r="R134" s="6">
        <v>0</v>
      </c>
      <c r="S134" s="6">
        <v>0</v>
      </c>
      <c r="T134" s="6">
        <v>0</v>
      </c>
      <c r="U134" s="6">
        <v>0</v>
      </c>
      <c r="V134" s="6">
        <v>0</v>
      </c>
      <c r="W134" s="6">
        <v>0</v>
      </c>
      <c r="X134" s="6">
        <v>0</v>
      </c>
      <c r="Y134" s="6">
        <v>0</v>
      </c>
      <c r="Z134" s="6" t="s">
        <v>21</v>
      </c>
      <c r="AA134" s="6" t="s">
        <v>40</v>
      </c>
      <c r="AB134" s="6" t="s">
        <v>187</v>
      </c>
      <c r="AC134" s="6" t="s">
        <v>25</v>
      </c>
    </row>
    <row r="135" spans="1:29" x14ac:dyDescent="0.3">
      <c r="A135" s="7">
        <v>134</v>
      </c>
      <c r="B135" s="7">
        <v>0</v>
      </c>
      <c r="C135" s="7">
        <v>1</v>
      </c>
      <c r="D135" s="7">
        <v>0</v>
      </c>
      <c r="E135" s="7">
        <v>0</v>
      </c>
      <c r="F135" s="7">
        <v>0</v>
      </c>
      <c r="G135" s="7">
        <v>1</v>
      </c>
      <c r="H135" s="8" t="s">
        <v>15</v>
      </c>
      <c r="I135" s="8" t="s">
        <v>43</v>
      </c>
      <c r="J135" s="8" t="s">
        <v>50</v>
      </c>
      <c r="K135" s="8" t="s">
        <v>49</v>
      </c>
      <c r="L135" s="8" t="s">
        <v>51</v>
      </c>
      <c r="M135" s="8">
        <v>5</v>
      </c>
      <c r="N135" s="8" t="s">
        <v>45</v>
      </c>
      <c r="O135" s="8" t="s">
        <v>63</v>
      </c>
      <c r="P135" s="8">
        <v>1</v>
      </c>
      <c r="Q135" s="8">
        <v>1</v>
      </c>
      <c r="R135" s="8">
        <v>0</v>
      </c>
      <c r="S135" s="8">
        <v>1</v>
      </c>
      <c r="T135" s="8">
        <v>1</v>
      </c>
      <c r="U135" s="8">
        <v>1</v>
      </c>
      <c r="V135" s="8">
        <v>0</v>
      </c>
      <c r="W135" s="8">
        <v>0</v>
      </c>
      <c r="X135" s="8">
        <v>1</v>
      </c>
      <c r="Y135" s="8">
        <v>0</v>
      </c>
      <c r="Z135" s="8" t="s">
        <v>21</v>
      </c>
      <c r="AA135" s="8" t="s">
        <v>34</v>
      </c>
      <c r="AB135" s="8" t="s">
        <v>24</v>
      </c>
      <c r="AC135" s="8" t="s">
        <v>48</v>
      </c>
    </row>
    <row r="136" spans="1:29" x14ac:dyDescent="0.3">
      <c r="A136" s="5">
        <v>135</v>
      </c>
      <c r="B136" s="5">
        <v>1</v>
      </c>
      <c r="C136" s="5">
        <v>1</v>
      </c>
      <c r="D136" s="5">
        <v>0</v>
      </c>
      <c r="E136" s="5">
        <v>0</v>
      </c>
      <c r="F136" s="5">
        <v>0</v>
      </c>
      <c r="G136" s="5">
        <v>1</v>
      </c>
      <c r="H136" s="6" t="s">
        <v>49</v>
      </c>
      <c r="I136" s="6" t="s">
        <v>16</v>
      </c>
      <c r="J136" s="6" t="s">
        <v>356</v>
      </c>
      <c r="K136" s="6" t="s">
        <v>30</v>
      </c>
      <c r="L136" s="6" t="s">
        <v>70</v>
      </c>
      <c r="M136" s="6">
        <v>4</v>
      </c>
      <c r="N136" s="6" t="s">
        <v>45</v>
      </c>
      <c r="O136" s="6" t="s">
        <v>46</v>
      </c>
      <c r="P136" s="6">
        <v>1</v>
      </c>
      <c r="Q136" s="6">
        <v>0</v>
      </c>
      <c r="R136" s="6">
        <v>1</v>
      </c>
      <c r="S136" s="6">
        <v>1</v>
      </c>
      <c r="T136" s="6">
        <v>0</v>
      </c>
      <c r="U136" s="6">
        <v>0</v>
      </c>
      <c r="V136" s="6">
        <v>1</v>
      </c>
      <c r="W136" s="6">
        <v>1</v>
      </c>
      <c r="X136" s="6">
        <v>1</v>
      </c>
      <c r="Y136" s="6">
        <v>1</v>
      </c>
      <c r="Z136" s="6" t="s">
        <v>25</v>
      </c>
      <c r="AA136" s="6" t="s">
        <v>23</v>
      </c>
      <c r="AB136" s="6" t="s">
        <v>24</v>
      </c>
      <c r="AC136" s="6" t="s">
        <v>25</v>
      </c>
    </row>
    <row r="137" spans="1:29" x14ac:dyDescent="0.3">
      <c r="A137" s="7">
        <v>136</v>
      </c>
      <c r="B137" s="7">
        <v>0</v>
      </c>
      <c r="C137" s="7">
        <v>0</v>
      </c>
      <c r="D137" s="7">
        <v>0</v>
      </c>
      <c r="E137" s="7">
        <v>0</v>
      </c>
      <c r="F137" s="7">
        <v>0</v>
      </c>
      <c r="G137" s="7">
        <v>1</v>
      </c>
      <c r="H137" s="8" t="s">
        <v>27</v>
      </c>
      <c r="I137" s="8" t="s">
        <v>43</v>
      </c>
      <c r="J137" s="8" t="s">
        <v>37</v>
      </c>
      <c r="K137" s="8" t="s">
        <v>49</v>
      </c>
      <c r="L137" s="8" t="s">
        <v>44</v>
      </c>
      <c r="M137" s="8">
        <v>5</v>
      </c>
      <c r="N137" s="8" t="s">
        <v>45</v>
      </c>
      <c r="O137" s="8" t="s">
        <v>63</v>
      </c>
      <c r="P137" s="8">
        <v>1</v>
      </c>
      <c r="Q137" s="8">
        <v>1</v>
      </c>
      <c r="R137" s="8">
        <v>1</v>
      </c>
      <c r="S137" s="8">
        <v>0</v>
      </c>
      <c r="T137" s="8">
        <v>0</v>
      </c>
      <c r="U137" s="8">
        <v>0</v>
      </c>
      <c r="V137" s="8">
        <v>0</v>
      </c>
      <c r="W137" s="8">
        <v>0</v>
      </c>
      <c r="X137" s="8">
        <v>0</v>
      </c>
      <c r="Y137" s="8">
        <v>0</v>
      </c>
      <c r="Z137" s="8" t="s">
        <v>21</v>
      </c>
      <c r="AA137" s="8" t="s">
        <v>23</v>
      </c>
      <c r="AB137" s="8" t="s">
        <v>24</v>
      </c>
      <c r="AC137" s="8" t="s">
        <v>25</v>
      </c>
    </row>
    <row r="138" spans="1:29" x14ac:dyDescent="0.3">
      <c r="A138" s="5">
        <v>137</v>
      </c>
      <c r="B138" s="5">
        <v>0</v>
      </c>
      <c r="C138" s="5">
        <v>0</v>
      </c>
      <c r="D138" s="5">
        <v>0</v>
      </c>
      <c r="E138" s="5">
        <v>0</v>
      </c>
      <c r="F138" s="5">
        <v>1</v>
      </c>
      <c r="G138" s="5">
        <v>0</v>
      </c>
      <c r="H138" s="6" t="s">
        <v>27</v>
      </c>
      <c r="I138" s="6" t="s">
        <v>43</v>
      </c>
      <c r="J138" s="6" t="s">
        <v>356</v>
      </c>
      <c r="K138" s="6" t="s">
        <v>30</v>
      </c>
      <c r="L138" s="6" t="s">
        <v>58</v>
      </c>
      <c r="M138" s="6">
        <v>3</v>
      </c>
      <c r="N138" s="6" t="s">
        <v>45</v>
      </c>
      <c r="O138" s="6" t="s">
        <v>63</v>
      </c>
      <c r="P138" s="6">
        <v>0</v>
      </c>
      <c r="Q138" s="6">
        <v>0</v>
      </c>
      <c r="R138" s="6">
        <v>1</v>
      </c>
      <c r="S138" s="6">
        <v>1</v>
      </c>
      <c r="T138" s="6">
        <v>0</v>
      </c>
      <c r="U138" s="6">
        <v>0</v>
      </c>
      <c r="V138" s="6">
        <v>0</v>
      </c>
      <c r="W138" s="6">
        <v>0</v>
      </c>
      <c r="X138" s="6">
        <v>0</v>
      </c>
      <c r="Y138" s="6">
        <v>0</v>
      </c>
      <c r="Z138" s="6" t="s">
        <v>21</v>
      </c>
      <c r="AA138" s="6" t="s">
        <v>34</v>
      </c>
      <c r="AB138" s="6" t="s">
        <v>24</v>
      </c>
      <c r="AC138" s="6" t="s">
        <v>21</v>
      </c>
    </row>
    <row r="139" spans="1:29" x14ac:dyDescent="0.3">
      <c r="A139" s="7">
        <v>138</v>
      </c>
      <c r="B139" s="7">
        <v>0</v>
      </c>
      <c r="C139" s="7">
        <v>0</v>
      </c>
      <c r="D139" s="7">
        <v>0</v>
      </c>
      <c r="E139" s="7">
        <v>0</v>
      </c>
      <c r="F139" s="7">
        <v>0</v>
      </c>
      <c r="G139" s="7">
        <v>1</v>
      </c>
      <c r="H139" s="8" t="s">
        <v>15</v>
      </c>
      <c r="I139" s="8" t="s">
        <v>83</v>
      </c>
      <c r="J139" s="8" t="s">
        <v>37</v>
      </c>
      <c r="K139" s="8" t="s">
        <v>30</v>
      </c>
      <c r="L139" s="8" t="s">
        <v>70</v>
      </c>
      <c r="M139" s="8">
        <v>5</v>
      </c>
      <c r="N139" s="8" t="s">
        <v>45</v>
      </c>
      <c r="O139" s="8" t="s">
        <v>46</v>
      </c>
      <c r="P139" s="8">
        <v>1</v>
      </c>
      <c r="Q139" s="8">
        <v>1</v>
      </c>
      <c r="R139" s="8">
        <v>1</v>
      </c>
      <c r="S139" s="8">
        <v>1</v>
      </c>
      <c r="T139" s="8">
        <v>1</v>
      </c>
      <c r="U139" s="8">
        <v>1</v>
      </c>
      <c r="V139" s="8">
        <v>1</v>
      </c>
      <c r="W139" s="8">
        <v>1</v>
      </c>
      <c r="X139" s="8">
        <v>1</v>
      </c>
      <c r="Y139" s="8">
        <v>1</v>
      </c>
      <c r="Z139" s="8" t="s">
        <v>21</v>
      </c>
      <c r="AA139" s="8" t="s">
        <v>23</v>
      </c>
      <c r="AB139" s="8" t="s">
        <v>24</v>
      </c>
      <c r="AC139" s="8" t="s">
        <v>48</v>
      </c>
    </row>
    <row r="140" spans="1:29" x14ac:dyDescent="0.3">
      <c r="A140" s="5">
        <v>139</v>
      </c>
      <c r="B140" s="5">
        <v>1</v>
      </c>
      <c r="C140" s="5">
        <v>1</v>
      </c>
      <c r="D140" s="5">
        <v>0</v>
      </c>
      <c r="E140" s="5">
        <v>0</v>
      </c>
      <c r="F140" s="5">
        <v>0</v>
      </c>
      <c r="G140" s="5">
        <v>1</v>
      </c>
      <c r="H140" s="6" t="s">
        <v>49</v>
      </c>
      <c r="I140" s="6" t="s">
        <v>352</v>
      </c>
      <c r="J140" s="6" t="s">
        <v>50</v>
      </c>
      <c r="K140" s="6" t="s">
        <v>49</v>
      </c>
      <c r="L140" s="6" t="s">
        <v>70</v>
      </c>
      <c r="M140" s="6">
        <v>5</v>
      </c>
      <c r="N140" s="6" t="s">
        <v>45</v>
      </c>
      <c r="O140" s="6" t="s">
        <v>63</v>
      </c>
      <c r="P140" s="6">
        <v>0</v>
      </c>
      <c r="Q140" s="6">
        <v>0</v>
      </c>
      <c r="R140" s="6">
        <v>1</v>
      </c>
      <c r="S140" s="6">
        <v>1</v>
      </c>
      <c r="T140" s="6">
        <v>0</v>
      </c>
      <c r="U140" s="6">
        <v>0</v>
      </c>
      <c r="V140" s="6">
        <v>1</v>
      </c>
      <c r="W140" s="6">
        <v>1</v>
      </c>
      <c r="X140" s="6">
        <v>1</v>
      </c>
      <c r="Y140" s="6">
        <v>0</v>
      </c>
      <c r="Z140" s="6" t="s">
        <v>25</v>
      </c>
      <c r="AA140" s="6" t="s">
        <v>23</v>
      </c>
      <c r="AB140" s="6" t="s">
        <v>24</v>
      </c>
      <c r="AC140" s="6" t="s">
        <v>48</v>
      </c>
    </row>
    <row r="141" spans="1:29" x14ac:dyDescent="0.3">
      <c r="A141" s="7">
        <v>140</v>
      </c>
      <c r="B141" s="7">
        <v>0</v>
      </c>
      <c r="C141" s="7">
        <v>1</v>
      </c>
      <c r="D141" s="7">
        <v>0</v>
      </c>
      <c r="E141" s="7">
        <v>0</v>
      </c>
      <c r="F141" s="7">
        <v>1</v>
      </c>
      <c r="G141" s="7">
        <v>1</v>
      </c>
      <c r="H141" s="8" t="s">
        <v>49</v>
      </c>
      <c r="I141" s="8" t="s">
        <v>43</v>
      </c>
      <c r="J141" s="8" t="s">
        <v>50</v>
      </c>
      <c r="K141" s="8" t="s">
        <v>102</v>
      </c>
      <c r="L141" s="8" t="s">
        <v>44</v>
      </c>
      <c r="M141" s="8">
        <v>4</v>
      </c>
      <c r="N141" s="8" t="s">
        <v>45</v>
      </c>
      <c r="O141" s="8" t="s">
        <v>52</v>
      </c>
      <c r="P141" s="8">
        <v>1</v>
      </c>
      <c r="Q141" s="8">
        <v>1</v>
      </c>
      <c r="R141" s="8">
        <v>0</v>
      </c>
      <c r="S141" s="8">
        <v>0</v>
      </c>
      <c r="T141" s="8">
        <v>0</v>
      </c>
      <c r="U141" s="8">
        <v>1</v>
      </c>
      <c r="V141" s="8">
        <v>0</v>
      </c>
      <c r="W141" s="8">
        <v>0</v>
      </c>
      <c r="X141" s="8">
        <v>0</v>
      </c>
      <c r="Y141" s="8">
        <v>1</v>
      </c>
      <c r="Z141" s="8" t="s">
        <v>21</v>
      </c>
      <c r="AA141" s="8" t="s">
        <v>23</v>
      </c>
      <c r="AB141" s="8" t="s">
        <v>24</v>
      </c>
      <c r="AC141" s="8" t="s">
        <v>82</v>
      </c>
    </row>
    <row r="142" spans="1:29" x14ac:dyDescent="0.3">
      <c r="A142" s="5">
        <v>141</v>
      </c>
      <c r="B142" s="5">
        <v>0</v>
      </c>
      <c r="C142" s="5">
        <v>1</v>
      </c>
      <c r="D142" s="5">
        <v>0</v>
      </c>
      <c r="E142" s="5">
        <v>0</v>
      </c>
      <c r="F142" s="5">
        <v>0</v>
      </c>
      <c r="G142" s="5">
        <v>0</v>
      </c>
      <c r="H142" s="6" t="s">
        <v>15</v>
      </c>
      <c r="I142" s="6" t="s">
        <v>36</v>
      </c>
      <c r="J142" s="6" t="s">
        <v>37</v>
      </c>
      <c r="K142" s="6" t="s">
        <v>15</v>
      </c>
      <c r="L142" s="6" t="s">
        <v>51</v>
      </c>
      <c r="M142" s="6">
        <v>5</v>
      </c>
      <c r="N142" s="6" t="s">
        <v>45</v>
      </c>
      <c r="O142" s="6" t="s">
        <v>63</v>
      </c>
      <c r="P142" s="6">
        <v>1</v>
      </c>
      <c r="Q142" s="6">
        <v>0</v>
      </c>
      <c r="R142" s="6">
        <v>0</v>
      </c>
      <c r="S142" s="6">
        <v>0</v>
      </c>
      <c r="T142" s="6">
        <v>0</v>
      </c>
      <c r="U142" s="6">
        <v>0</v>
      </c>
      <c r="V142" s="6">
        <v>0</v>
      </c>
      <c r="W142" s="6">
        <v>0</v>
      </c>
      <c r="X142" s="6">
        <v>0</v>
      </c>
      <c r="Y142" s="6">
        <v>0</v>
      </c>
      <c r="Z142" s="6" t="s">
        <v>21</v>
      </c>
      <c r="AA142" s="6" t="s">
        <v>40</v>
      </c>
      <c r="AB142" s="6" t="s">
        <v>24</v>
      </c>
      <c r="AC142" s="6" t="s">
        <v>48</v>
      </c>
    </row>
    <row r="143" spans="1:29" x14ac:dyDescent="0.3">
      <c r="A143" s="7">
        <v>142</v>
      </c>
      <c r="B143" s="7">
        <v>0</v>
      </c>
      <c r="C143" s="7">
        <v>0</v>
      </c>
      <c r="D143" s="7">
        <v>0</v>
      </c>
      <c r="E143" s="7">
        <v>0</v>
      </c>
      <c r="F143" s="7">
        <v>0</v>
      </c>
      <c r="G143" s="7">
        <v>1</v>
      </c>
      <c r="H143" s="8" t="s">
        <v>49</v>
      </c>
      <c r="I143" s="8" t="s">
        <v>43</v>
      </c>
      <c r="J143" s="8" t="s">
        <v>50</v>
      </c>
      <c r="K143" s="8" t="s">
        <v>49</v>
      </c>
      <c r="L143" s="8" t="s">
        <v>51</v>
      </c>
      <c r="M143" s="8">
        <v>1</v>
      </c>
      <c r="N143" s="8" t="s">
        <v>45</v>
      </c>
      <c r="O143" s="8" t="s">
        <v>52</v>
      </c>
      <c r="P143" s="8">
        <v>0</v>
      </c>
      <c r="Q143" s="8">
        <v>0</v>
      </c>
      <c r="R143" s="8">
        <v>0</v>
      </c>
      <c r="S143" s="8">
        <v>0</v>
      </c>
      <c r="T143" s="8">
        <v>0</v>
      </c>
      <c r="U143" s="8">
        <v>1</v>
      </c>
      <c r="V143" s="8">
        <v>0</v>
      </c>
      <c r="W143" s="8">
        <v>0</v>
      </c>
      <c r="X143" s="8">
        <v>0</v>
      </c>
      <c r="Y143" s="8">
        <v>0</v>
      </c>
      <c r="Z143" s="8" t="s">
        <v>21</v>
      </c>
      <c r="AA143" s="8" t="s">
        <v>23</v>
      </c>
      <c r="AB143" s="8" t="s">
        <v>187</v>
      </c>
      <c r="AC143" s="8" t="s">
        <v>25</v>
      </c>
    </row>
    <row r="144" spans="1:29" x14ac:dyDescent="0.3">
      <c r="A144" s="5">
        <v>143</v>
      </c>
      <c r="B144" s="5">
        <v>0</v>
      </c>
      <c r="C144" s="5">
        <v>0</v>
      </c>
      <c r="D144" s="5">
        <v>0</v>
      </c>
      <c r="E144" s="5">
        <v>0</v>
      </c>
      <c r="F144" s="5">
        <v>0</v>
      </c>
      <c r="G144" s="5">
        <v>1</v>
      </c>
      <c r="H144" s="6" t="s">
        <v>15</v>
      </c>
      <c r="I144" s="6" t="s">
        <v>83</v>
      </c>
      <c r="J144" s="6" t="s">
        <v>17</v>
      </c>
      <c r="K144" s="6" t="s">
        <v>15</v>
      </c>
      <c r="L144" s="6" t="s">
        <v>51</v>
      </c>
      <c r="M144" s="6">
        <v>5</v>
      </c>
      <c r="N144" s="6" t="s">
        <v>45</v>
      </c>
      <c r="O144" s="6" t="s">
        <v>46</v>
      </c>
      <c r="P144" s="6">
        <v>1</v>
      </c>
      <c r="Q144" s="6">
        <v>0</v>
      </c>
      <c r="R144" s="6">
        <v>1</v>
      </c>
      <c r="S144" s="6">
        <v>0</v>
      </c>
      <c r="T144" s="6">
        <v>0</v>
      </c>
      <c r="U144" s="6">
        <v>0</v>
      </c>
      <c r="V144" s="6">
        <v>0</v>
      </c>
      <c r="W144" s="6">
        <v>0</v>
      </c>
      <c r="X144" s="6">
        <v>0</v>
      </c>
      <c r="Y144" s="6">
        <v>0</v>
      </c>
      <c r="Z144" s="6" t="s">
        <v>21</v>
      </c>
      <c r="AA144" s="6" t="s">
        <v>23</v>
      </c>
      <c r="AB144" s="6" t="s">
        <v>113</v>
      </c>
      <c r="AC144" s="6" t="s">
        <v>25</v>
      </c>
    </row>
    <row r="145" spans="1:29" x14ac:dyDescent="0.3">
      <c r="A145" s="7">
        <v>144</v>
      </c>
      <c r="B145" s="7">
        <v>0</v>
      </c>
      <c r="C145" s="7">
        <v>1</v>
      </c>
      <c r="D145" s="7">
        <v>0</v>
      </c>
      <c r="E145" s="7">
        <v>0</v>
      </c>
      <c r="F145" s="7">
        <v>0</v>
      </c>
      <c r="G145" s="7">
        <v>0</v>
      </c>
      <c r="H145" s="8" t="s">
        <v>49</v>
      </c>
      <c r="I145" s="8" t="s">
        <v>352</v>
      </c>
      <c r="J145" s="8" t="s">
        <v>50</v>
      </c>
      <c r="K145" s="8" t="s">
        <v>49</v>
      </c>
      <c r="L145" s="8" t="s">
        <v>51</v>
      </c>
      <c r="M145" s="8">
        <v>3</v>
      </c>
      <c r="N145" s="8" t="s">
        <v>45</v>
      </c>
      <c r="O145" s="8" t="s">
        <v>52</v>
      </c>
      <c r="P145" s="8">
        <v>0</v>
      </c>
      <c r="Q145" s="8">
        <v>0</v>
      </c>
      <c r="R145" s="8">
        <v>0</v>
      </c>
      <c r="S145" s="8">
        <v>0</v>
      </c>
      <c r="T145" s="8">
        <v>1</v>
      </c>
      <c r="U145" s="8">
        <v>0</v>
      </c>
      <c r="V145" s="8">
        <v>0</v>
      </c>
      <c r="W145" s="8">
        <v>0</v>
      </c>
      <c r="X145" s="8">
        <v>0</v>
      </c>
      <c r="Y145" s="8">
        <v>0</v>
      </c>
      <c r="Z145" s="8" t="s">
        <v>21</v>
      </c>
      <c r="AA145" s="8" t="s">
        <v>34</v>
      </c>
      <c r="AB145" s="8" t="s">
        <v>54</v>
      </c>
      <c r="AC145" s="8" t="s">
        <v>25</v>
      </c>
    </row>
    <row r="146" spans="1:29" x14ac:dyDescent="0.3">
      <c r="A146" s="5">
        <v>145</v>
      </c>
      <c r="B146" s="5">
        <v>0</v>
      </c>
      <c r="C146" s="5">
        <v>1</v>
      </c>
      <c r="D146" s="5">
        <v>0</v>
      </c>
      <c r="E146" s="5">
        <v>0</v>
      </c>
      <c r="F146" s="5">
        <v>0</v>
      </c>
      <c r="G146" s="5">
        <v>0</v>
      </c>
      <c r="H146" s="6" t="s">
        <v>42</v>
      </c>
      <c r="I146" s="6" t="s">
        <v>83</v>
      </c>
      <c r="J146" s="6" t="s">
        <v>356</v>
      </c>
      <c r="K146" s="6" t="s">
        <v>15</v>
      </c>
      <c r="L146" s="6" t="s">
        <v>44</v>
      </c>
      <c r="M146" s="6">
        <v>1</v>
      </c>
      <c r="N146" s="6" t="s">
        <v>59</v>
      </c>
      <c r="O146" s="6" t="s">
        <v>63</v>
      </c>
      <c r="P146" s="6">
        <v>0</v>
      </c>
      <c r="Q146" s="6">
        <v>0</v>
      </c>
      <c r="R146" s="6">
        <v>1</v>
      </c>
      <c r="S146" s="6">
        <v>0</v>
      </c>
      <c r="T146" s="6">
        <v>0</v>
      </c>
      <c r="U146" s="6">
        <v>0</v>
      </c>
      <c r="V146" s="6">
        <v>0</v>
      </c>
      <c r="W146" s="6">
        <v>0</v>
      </c>
      <c r="X146" s="6">
        <v>0</v>
      </c>
      <c r="Y146" s="6">
        <v>0</v>
      </c>
      <c r="Z146" s="6" t="s">
        <v>21</v>
      </c>
      <c r="AA146" s="6" t="s">
        <v>23</v>
      </c>
      <c r="AB146" s="6" t="s">
        <v>136</v>
      </c>
      <c r="AC146" s="6" t="s">
        <v>48</v>
      </c>
    </row>
    <row r="147" spans="1:29" x14ac:dyDescent="0.3">
      <c r="A147" s="7">
        <v>146</v>
      </c>
      <c r="B147" s="7">
        <v>0</v>
      </c>
      <c r="C147" s="7">
        <v>0</v>
      </c>
      <c r="D147" s="7">
        <v>1</v>
      </c>
      <c r="E147" s="7">
        <v>0</v>
      </c>
      <c r="F147" s="7">
        <v>0</v>
      </c>
      <c r="G147" s="7">
        <v>0</v>
      </c>
      <c r="H147" s="8" t="s">
        <v>49</v>
      </c>
      <c r="I147" s="8" t="s">
        <v>43</v>
      </c>
      <c r="J147" s="8" t="s">
        <v>356</v>
      </c>
      <c r="K147" s="8" t="s">
        <v>102</v>
      </c>
      <c r="L147" s="8" t="s">
        <v>51</v>
      </c>
      <c r="M147" s="8">
        <v>4</v>
      </c>
      <c r="N147" s="8" t="s">
        <v>45</v>
      </c>
      <c r="O147" s="8" t="s">
        <v>63</v>
      </c>
      <c r="P147" s="8">
        <v>1</v>
      </c>
      <c r="Q147" s="8">
        <v>1</v>
      </c>
      <c r="R147" s="8">
        <v>1</v>
      </c>
      <c r="S147" s="8">
        <v>1</v>
      </c>
      <c r="T147" s="8">
        <v>1</v>
      </c>
      <c r="U147" s="8">
        <v>1</v>
      </c>
      <c r="V147" s="8">
        <v>1</v>
      </c>
      <c r="W147" s="8">
        <v>1</v>
      </c>
      <c r="X147" s="8">
        <v>1</v>
      </c>
      <c r="Y147" s="8">
        <v>1</v>
      </c>
      <c r="Z147" s="8" t="s">
        <v>21</v>
      </c>
      <c r="AA147" s="8" t="s">
        <v>34</v>
      </c>
      <c r="AB147" s="8" t="s">
        <v>88</v>
      </c>
      <c r="AC147" s="8" t="s">
        <v>21</v>
      </c>
    </row>
    <row r="148" spans="1:29" x14ac:dyDescent="0.3">
      <c r="A148" s="5">
        <v>147</v>
      </c>
      <c r="B148" s="5">
        <v>1</v>
      </c>
      <c r="C148" s="5">
        <v>0</v>
      </c>
      <c r="D148" s="5">
        <v>0</v>
      </c>
      <c r="E148" s="5">
        <v>0</v>
      </c>
      <c r="F148" s="5">
        <v>0</v>
      </c>
      <c r="G148" s="5">
        <v>0</v>
      </c>
      <c r="H148" s="6" t="s">
        <v>27</v>
      </c>
      <c r="I148" s="6" t="s">
        <v>43</v>
      </c>
      <c r="J148" s="6" t="s">
        <v>17</v>
      </c>
      <c r="K148" s="6" t="s">
        <v>49</v>
      </c>
      <c r="L148" s="6" t="s">
        <v>58</v>
      </c>
      <c r="M148" s="6">
        <v>5</v>
      </c>
      <c r="N148" s="6" t="s">
        <v>59</v>
      </c>
      <c r="O148" s="6" t="s">
        <v>63</v>
      </c>
      <c r="P148" s="6">
        <v>1</v>
      </c>
      <c r="Q148" s="6">
        <v>0</v>
      </c>
      <c r="R148" s="6">
        <v>1</v>
      </c>
      <c r="S148" s="6">
        <v>0</v>
      </c>
      <c r="T148" s="6">
        <v>1</v>
      </c>
      <c r="U148" s="6">
        <v>0</v>
      </c>
      <c r="V148" s="6">
        <v>0</v>
      </c>
      <c r="W148" s="6">
        <v>0</v>
      </c>
      <c r="X148" s="6">
        <v>0</v>
      </c>
      <c r="Y148" s="6">
        <v>0</v>
      </c>
      <c r="Z148" s="6" t="s">
        <v>21</v>
      </c>
      <c r="AA148" s="6" t="s">
        <v>23</v>
      </c>
      <c r="AB148" s="6" t="s">
        <v>136</v>
      </c>
      <c r="AC148" s="6" t="s">
        <v>25</v>
      </c>
    </row>
    <row r="149" spans="1:29" x14ac:dyDescent="0.3">
      <c r="A149" s="7">
        <v>148</v>
      </c>
      <c r="B149" s="7">
        <v>1</v>
      </c>
      <c r="C149" s="7">
        <v>0</v>
      </c>
      <c r="D149" s="7">
        <v>0</v>
      </c>
      <c r="E149" s="7">
        <v>0</v>
      </c>
      <c r="F149" s="7">
        <v>1</v>
      </c>
      <c r="G149" s="7">
        <v>0</v>
      </c>
      <c r="H149" s="8" t="s">
        <v>42</v>
      </c>
      <c r="I149" s="8" t="s">
        <v>43</v>
      </c>
      <c r="J149" s="8" t="s">
        <v>50</v>
      </c>
      <c r="K149" s="8" t="s">
        <v>30</v>
      </c>
      <c r="L149" s="8" t="s">
        <v>51</v>
      </c>
      <c r="M149" s="8">
        <v>5</v>
      </c>
      <c r="N149" s="8" t="s">
        <v>45</v>
      </c>
      <c r="O149" s="8" t="s">
        <v>63</v>
      </c>
      <c r="P149" s="8">
        <v>1</v>
      </c>
      <c r="Q149" s="8">
        <v>1</v>
      </c>
      <c r="R149" s="8">
        <v>1</v>
      </c>
      <c r="S149" s="8">
        <v>0</v>
      </c>
      <c r="T149" s="8">
        <v>1</v>
      </c>
      <c r="U149" s="8">
        <v>0</v>
      </c>
      <c r="V149" s="8">
        <v>1</v>
      </c>
      <c r="W149" s="8">
        <v>0</v>
      </c>
      <c r="X149" s="8">
        <v>0</v>
      </c>
      <c r="Y149" s="8">
        <v>0</v>
      </c>
      <c r="Z149" s="8" t="s">
        <v>21</v>
      </c>
      <c r="AA149" s="8" t="s">
        <v>23</v>
      </c>
      <c r="AB149" s="8" t="s">
        <v>24</v>
      </c>
      <c r="AC149" s="8" t="s">
        <v>48</v>
      </c>
    </row>
    <row r="150" spans="1:29" x14ac:dyDescent="0.3">
      <c r="A150" s="5">
        <v>149</v>
      </c>
      <c r="B150" s="5">
        <v>0</v>
      </c>
      <c r="C150" s="5">
        <v>0</v>
      </c>
      <c r="D150" s="5">
        <v>0</v>
      </c>
      <c r="E150" s="5">
        <v>0</v>
      </c>
      <c r="F150" s="5">
        <v>0</v>
      </c>
      <c r="G150" s="5">
        <v>1</v>
      </c>
      <c r="H150" s="6" t="s">
        <v>49</v>
      </c>
      <c r="I150" s="6" t="s">
        <v>352</v>
      </c>
      <c r="J150" s="6" t="s">
        <v>50</v>
      </c>
      <c r="K150" s="6" t="s">
        <v>49</v>
      </c>
      <c r="L150" s="6" t="s">
        <v>44</v>
      </c>
      <c r="M150" s="6">
        <v>4</v>
      </c>
      <c r="N150" s="6" t="s">
        <v>45</v>
      </c>
      <c r="O150" s="6" t="s">
        <v>52</v>
      </c>
      <c r="P150" s="6">
        <v>0</v>
      </c>
      <c r="Q150" s="6">
        <v>0</v>
      </c>
      <c r="R150" s="6">
        <v>0</v>
      </c>
      <c r="S150" s="6">
        <v>0</v>
      </c>
      <c r="T150" s="6">
        <v>1</v>
      </c>
      <c r="U150" s="6">
        <v>0</v>
      </c>
      <c r="V150" s="6">
        <v>0</v>
      </c>
      <c r="W150" s="6">
        <v>0</v>
      </c>
      <c r="X150" s="6">
        <v>0</v>
      </c>
      <c r="Y150" s="6">
        <v>0</v>
      </c>
      <c r="Z150" s="6" t="s">
        <v>25</v>
      </c>
      <c r="AA150" s="6" t="s">
        <v>34</v>
      </c>
      <c r="AB150" s="6" t="s">
        <v>24</v>
      </c>
      <c r="AC150" s="6" t="s">
        <v>25</v>
      </c>
    </row>
    <row r="151" spans="1:29" x14ac:dyDescent="0.3">
      <c r="A151" s="7">
        <v>150</v>
      </c>
      <c r="B151" s="7">
        <v>1</v>
      </c>
      <c r="C151" s="7">
        <v>0</v>
      </c>
      <c r="D151" s="7">
        <v>0</v>
      </c>
      <c r="E151" s="7">
        <v>0</v>
      </c>
      <c r="F151" s="7">
        <v>0</v>
      </c>
      <c r="G151" s="7">
        <v>0</v>
      </c>
      <c r="H151" s="8" t="s">
        <v>42</v>
      </c>
      <c r="I151" s="8" t="s">
        <v>43</v>
      </c>
      <c r="J151" s="8" t="s">
        <v>37</v>
      </c>
      <c r="K151" s="8" t="s">
        <v>30</v>
      </c>
      <c r="L151" s="8" t="s">
        <v>51</v>
      </c>
      <c r="M151" s="8">
        <v>5</v>
      </c>
      <c r="N151" s="8" t="s">
        <v>59</v>
      </c>
      <c r="O151" s="8" t="s">
        <v>63</v>
      </c>
      <c r="P151" s="8">
        <v>1</v>
      </c>
      <c r="Q151" s="8">
        <v>0</v>
      </c>
      <c r="R151" s="8">
        <v>0</v>
      </c>
      <c r="S151" s="8">
        <v>0</v>
      </c>
      <c r="T151" s="8">
        <v>0</v>
      </c>
      <c r="U151" s="8">
        <v>0</v>
      </c>
      <c r="V151" s="8">
        <v>0</v>
      </c>
      <c r="W151" s="8">
        <v>0</v>
      </c>
      <c r="X151" s="8">
        <v>0</v>
      </c>
      <c r="Y151" s="8">
        <v>0</v>
      </c>
      <c r="Z151" s="8" t="s">
        <v>25</v>
      </c>
      <c r="AA151" s="8" t="s">
        <v>23</v>
      </c>
      <c r="AB151" s="8" t="s">
        <v>24</v>
      </c>
      <c r="AC151" s="8" t="s">
        <v>25</v>
      </c>
    </row>
    <row r="152" spans="1:29" x14ac:dyDescent="0.3">
      <c r="A152" s="5">
        <v>151</v>
      </c>
      <c r="B152" s="5">
        <v>0</v>
      </c>
      <c r="C152" s="5">
        <v>0</v>
      </c>
      <c r="D152" s="5">
        <v>0</v>
      </c>
      <c r="E152" s="5">
        <v>0</v>
      </c>
      <c r="F152" s="5">
        <v>0</v>
      </c>
      <c r="G152" s="5">
        <v>1</v>
      </c>
      <c r="H152" s="6" t="s">
        <v>15</v>
      </c>
      <c r="I152" s="6" t="s">
        <v>83</v>
      </c>
      <c r="J152" s="6" t="s">
        <v>17</v>
      </c>
      <c r="K152" s="6" t="s">
        <v>15</v>
      </c>
      <c r="L152" s="6" t="s">
        <v>44</v>
      </c>
      <c r="M152" s="6">
        <v>5</v>
      </c>
      <c r="N152" s="6" t="s">
        <v>45</v>
      </c>
      <c r="O152" s="6" t="s">
        <v>46</v>
      </c>
      <c r="P152" s="6">
        <v>1</v>
      </c>
      <c r="Q152" s="6">
        <v>0</v>
      </c>
      <c r="R152" s="6">
        <v>0</v>
      </c>
      <c r="S152" s="6">
        <v>1</v>
      </c>
      <c r="T152" s="6">
        <v>1</v>
      </c>
      <c r="U152" s="6">
        <v>1</v>
      </c>
      <c r="V152" s="6">
        <v>0</v>
      </c>
      <c r="W152" s="6">
        <v>0</v>
      </c>
      <c r="X152" s="6">
        <v>0</v>
      </c>
      <c r="Y152" s="6">
        <v>0</v>
      </c>
      <c r="Z152" s="6" t="s">
        <v>21</v>
      </c>
      <c r="AA152" s="6" t="s">
        <v>34</v>
      </c>
      <c r="AB152" s="6" t="s">
        <v>24</v>
      </c>
      <c r="AC152" s="6" t="s">
        <v>25</v>
      </c>
    </row>
    <row r="153" spans="1:29" x14ac:dyDescent="0.3">
      <c r="A153" s="7">
        <v>152</v>
      </c>
      <c r="B153" s="7">
        <v>1</v>
      </c>
      <c r="C153" s="7">
        <v>1</v>
      </c>
      <c r="D153" s="7">
        <v>0</v>
      </c>
      <c r="E153" s="7">
        <v>0</v>
      </c>
      <c r="F153" s="7">
        <v>1</v>
      </c>
      <c r="G153" s="7">
        <v>1</v>
      </c>
      <c r="H153" s="8" t="s">
        <v>15</v>
      </c>
      <c r="I153" s="8" t="s">
        <v>43</v>
      </c>
      <c r="J153" s="8" t="s">
        <v>50</v>
      </c>
      <c r="K153" s="8" t="s">
        <v>49</v>
      </c>
      <c r="L153" s="8" t="s">
        <v>51</v>
      </c>
      <c r="M153" s="8">
        <v>4</v>
      </c>
      <c r="N153" s="8" t="s">
        <v>45</v>
      </c>
      <c r="O153" s="8" t="s">
        <v>63</v>
      </c>
      <c r="P153" s="8">
        <v>1</v>
      </c>
      <c r="Q153" s="8">
        <v>1</v>
      </c>
      <c r="R153" s="8">
        <v>1</v>
      </c>
      <c r="S153" s="8">
        <v>1</v>
      </c>
      <c r="T153" s="8">
        <v>1</v>
      </c>
      <c r="U153" s="8">
        <v>1</v>
      </c>
      <c r="V153" s="8">
        <v>1</v>
      </c>
      <c r="W153" s="8">
        <v>1</v>
      </c>
      <c r="X153" s="8">
        <v>1</v>
      </c>
      <c r="Y153" s="8">
        <v>1</v>
      </c>
      <c r="Z153" s="8" t="s">
        <v>21</v>
      </c>
      <c r="AA153" s="8" t="s">
        <v>23</v>
      </c>
      <c r="AB153" s="8" t="s">
        <v>24</v>
      </c>
      <c r="AC153" s="8" t="s">
        <v>48</v>
      </c>
    </row>
    <row r="154" spans="1:29" x14ac:dyDescent="0.3">
      <c r="A154" s="5">
        <v>153</v>
      </c>
      <c r="B154" s="5">
        <v>1</v>
      </c>
      <c r="C154" s="5">
        <v>0</v>
      </c>
      <c r="D154" s="5">
        <v>0</v>
      </c>
      <c r="E154" s="5">
        <v>0</v>
      </c>
      <c r="F154" s="5">
        <v>0</v>
      </c>
      <c r="G154" s="5">
        <v>1</v>
      </c>
      <c r="H154" s="6" t="s">
        <v>15</v>
      </c>
      <c r="I154" s="6" t="s">
        <v>43</v>
      </c>
      <c r="J154" s="6" t="s">
        <v>37</v>
      </c>
      <c r="K154" s="6" t="s">
        <v>15</v>
      </c>
      <c r="L154" s="6" t="s">
        <v>51</v>
      </c>
      <c r="M154" s="6">
        <v>2</v>
      </c>
      <c r="N154" s="6" t="s">
        <v>45</v>
      </c>
      <c r="O154" s="6" t="s">
        <v>46</v>
      </c>
      <c r="P154" s="6">
        <v>1</v>
      </c>
      <c r="Q154" s="6">
        <v>1</v>
      </c>
      <c r="R154" s="6">
        <v>1</v>
      </c>
      <c r="S154" s="6">
        <v>1</v>
      </c>
      <c r="T154" s="6">
        <v>1</v>
      </c>
      <c r="U154" s="6">
        <v>1</v>
      </c>
      <c r="V154" s="6">
        <v>1</v>
      </c>
      <c r="W154" s="6">
        <v>1</v>
      </c>
      <c r="X154" s="6">
        <v>1</v>
      </c>
      <c r="Y154" s="6">
        <v>1</v>
      </c>
      <c r="Z154" s="6" t="s">
        <v>25</v>
      </c>
      <c r="AA154" s="6" t="s">
        <v>34</v>
      </c>
      <c r="AB154" s="6" t="s">
        <v>24</v>
      </c>
      <c r="AC154" s="6" t="s">
        <v>25</v>
      </c>
    </row>
    <row r="155" spans="1:29" x14ac:dyDescent="0.3">
      <c r="A155" s="7">
        <v>154</v>
      </c>
      <c r="B155" s="7">
        <v>1</v>
      </c>
      <c r="C155" s="7">
        <v>0</v>
      </c>
      <c r="D155" s="7">
        <v>0</v>
      </c>
      <c r="E155" s="7">
        <v>0</v>
      </c>
      <c r="F155" s="7">
        <v>0</v>
      </c>
      <c r="G155" s="7">
        <v>0</v>
      </c>
      <c r="H155" s="8" t="s">
        <v>49</v>
      </c>
      <c r="I155" s="8" t="s">
        <v>43</v>
      </c>
      <c r="J155" s="8" t="s">
        <v>50</v>
      </c>
      <c r="K155" s="8" t="s">
        <v>30</v>
      </c>
      <c r="L155" s="8" t="s">
        <v>51</v>
      </c>
      <c r="M155" s="8">
        <v>1</v>
      </c>
      <c r="N155" s="8" t="s">
        <v>45</v>
      </c>
      <c r="O155" s="8" t="s">
        <v>52</v>
      </c>
      <c r="P155" s="8">
        <v>0</v>
      </c>
      <c r="Q155" s="8">
        <v>0</v>
      </c>
      <c r="R155" s="8">
        <v>1</v>
      </c>
      <c r="S155" s="8">
        <v>0</v>
      </c>
      <c r="T155" s="8">
        <v>0</v>
      </c>
      <c r="U155" s="8">
        <v>0</v>
      </c>
      <c r="V155" s="8">
        <v>0</v>
      </c>
      <c r="W155" s="8">
        <v>0</v>
      </c>
      <c r="X155" s="8">
        <v>0</v>
      </c>
      <c r="Y155" s="8">
        <v>0</v>
      </c>
      <c r="Z155" s="8" t="s">
        <v>25</v>
      </c>
      <c r="AA155" s="8" t="s">
        <v>23</v>
      </c>
      <c r="AB155" s="8" t="s">
        <v>54</v>
      </c>
      <c r="AC155" s="8" t="s">
        <v>25</v>
      </c>
    </row>
    <row r="156" spans="1:29" x14ac:dyDescent="0.3">
      <c r="A156" s="5">
        <v>155</v>
      </c>
      <c r="B156" s="5">
        <v>0</v>
      </c>
      <c r="C156" s="5">
        <v>0</v>
      </c>
      <c r="D156" s="5">
        <v>0</v>
      </c>
      <c r="E156" s="5">
        <v>0</v>
      </c>
      <c r="F156" s="5">
        <v>0</v>
      </c>
      <c r="G156" s="5">
        <v>1</v>
      </c>
      <c r="H156" s="6" t="s">
        <v>27</v>
      </c>
      <c r="I156" s="6" t="s">
        <v>43</v>
      </c>
      <c r="J156" s="6" t="s">
        <v>29</v>
      </c>
      <c r="K156" s="6" t="s">
        <v>102</v>
      </c>
      <c r="L156" s="6" t="s">
        <v>58</v>
      </c>
      <c r="M156" s="6">
        <v>4</v>
      </c>
      <c r="N156" s="6" t="s">
        <v>45</v>
      </c>
      <c r="O156" s="6" t="s">
        <v>63</v>
      </c>
      <c r="P156" s="6">
        <v>0</v>
      </c>
      <c r="Q156" s="6">
        <v>1</v>
      </c>
      <c r="R156" s="6">
        <v>0</v>
      </c>
      <c r="S156" s="6">
        <v>0</v>
      </c>
      <c r="T156" s="6">
        <v>0</v>
      </c>
      <c r="U156" s="6">
        <v>1</v>
      </c>
      <c r="V156" s="6">
        <v>1</v>
      </c>
      <c r="W156" s="6">
        <v>1</v>
      </c>
      <c r="X156" s="6">
        <v>1</v>
      </c>
      <c r="Y156" s="6">
        <v>1</v>
      </c>
      <c r="Z156" s="6" t="s">
        <v>21</v>
      </c>
      <c r="AA156" s="6" t="s">
        <v>34</v>
      </c>
      <c r="AB156" s="6" t="s">
        <v>24</v>
      </c>
      <c r="AC156" s="6" t="s">
        <v>82</v>
      </c>
    </row>
    <row r="157" spans="1:29" x14ac:dyDescent="0.3">
      <c r="A157" s="7">
        <v>156</v>
      </c>
      <c r="B157" s="7">
        <v>0</v>
      </c>
      <c r="C157" s="7">
        <v>0</v>
      </c>
      <c r="D157" s="7">
        <v>0</v>
      </c>
      <c r="E157" s="7">
        <v>0</v>
      </c>
      <c r="F157" s="7">
        <v>1</v>
      </c>
      <c r="G157" s="7">
        <v>0</v>
      </c>
      <c r="H157" s="8" t="s">
        <v>49</v>
      </c>
      <c r="I157" s="8" t="s">
        <v>83</v>
      </c>
      <c r="J157" s="8" t="s">
        <v>50</v>
      </c>
      <c r="K157" s="8" t="s">
        <v>102</v>
      </c>
      <c r="L157" s="8" t="s">
        <v>51</v>
      </c>
      <c r="M157" s="8">
        <v>4</v>
      </c>
      <c r="N157" s="8" t="s">
        <v>45</v>
      </c>
      <c r="O157" s="8" t="s">
        <v>52</v>
      </c>
      <c r="P157" s="8">
        <v>0</v>
      </c>
      <c r="Q157" s="8">
        <v>0</v>
      </c>
      <c r="R157" s="8">
        <v>0</v>
      </c>
      <c r="S157" s="8">
        <v>0</v>
      </c>
      <c r="T157" s="8">
        <v>1</v>
      </c>
      <c r="U157" s="8">
        <v>0</v>
      </c>
      <c r="V157" s="8">
        <v>0</v>
      </c>
      <c r="W157" s="8">
        <v>0</v>
      </c>
      <c r="X157" s="8">
        <v>0</v>
      </c>
      <c r="Y157" s="8">
        <v>0</v>
      </c>
      <c r="Z157" s="8" t="s">
        <v>21</v>
      </c>
      <c r="AA157" s="8" t="s">
        <v>34</v>
      </c>
      <c r="AB157" s="8" t="s">
        <v>113</v>
      </c>
      <c r="AC157" s="8" t="s">
        <v>25</v>
      </c>
    </row>
    <row r="158" spans="1:29" x14ac:dyDescent="0.3">
      <c r="A158" s="5">
        <v>157</v>
      </c>
      <c r="B158" s="5">
        <v>1</v>
      </c>
      <c r="C158" s="5">
        <v>1</v>
      </c>
      <c r="D158" s="5">
        <v>0</v>
      </c>
      <c r="E158" s="5">
        <v>0</v>
      </c>
      <c r="F158" s="5">
        <v>0</v>
      </c>
      <c r="G158" s="5">
        <v>1</v>
      </c>
      <c r="H158" s="6" t="s">
        <v>27</v>
      </c>
      <c r="I158" s="6" t="s">
        <v>43</v>
      </c>
      <c r="J158" s="6" t="s">
        <v>356</v>
      </c>
      <c r="K158" s="6" t="s">
        <v>15</v>
      </c>
      <c r="L158" s="6" t="s">
        <v>70</v>
      </c>
      <c r="M158" s="6">
        <v>5</v>
      </c>
      <c r="N158" s="6" t="s">
        <v>45</v>
      </c>
      <c r="O158" s="6" t="s">
        <v>63</v>
      </c>
      <c r="P158" s="6">
        <v>1</v>
      </c>
      <c r="Q158" s="6">
        <v>1</v>
      </c>
      <c r="R158" s="6">
        <v>0</v>
      </c>
      <c r="S158" s="6">
        <v>1</v>
      </c>
      <c r="T158" s="6">
        <v>1</v>
      </c>
      <c r="U158" s="6">
        <v>0</v>
      </c>
      <c r="V158" s="6">
        <v>1</v>
      </c>
      <c r="W158" s="6">
        <v>1</v>
      </c>
      <c r="X158" s="6">
        <v>0</v>
      </c>
      <c r="Y158" s="6">
        <v>0</v>
      </c>
      <c r="Z158" s="6" t="s">
        <v>21</v>
      </c>
      <c r="AA158" s="6" t="s">
        <v>34</v>
      </c>
      <c r="AB158" s="6" t="s">
        <v>24</v>
      </c>
      <c r="AC158" s="6" t="s">
        <v>25</v>
      </c>
    </row>
    <row r="159" spans="1:29" x14ac:dyDescent="0.3">
      <c r="A159" s="7">
        <v>158</v>
      </c>
      <c r="B159" s="7">
        <v>0</v>
      </c>
      <c r="C159" s="7">
        <v>0</v>
      </c>
      <c r="D159" s="7">
        <v>0</v>
      </c>
      <c r="E159" s="7">
        <v>0</v>
      </c>
      <c r="F159" s="7">
        <v>1</v>
      </c>
      <c r="G159" s="7">
        <v>0</v>
      </c>
      <c r="H159" s="8" t="s">
        <v>15</v>
      </c>
      <c r="I159" s="8" t="s">
        <v>83</v>
      </c>
      <c r="J159" s="8" t="s">
        <v>50</v>
      </c>
      <c r="K159" s="8" t="s">
        <v>15</v>
      </c>
      <c r="L159" s="8" t="s">
        <v>44</v>
      </c>
      <c r="M159" s="8">
        <v>3</v>
      </c>
      <c r="N159" s="8" t="s">
        <v>45</v>
      </c>
      <c r="O159" s="8" t="s">
        <v>46</v>
      </c>
      <c r="P159" s="8">
        <v>1</v>
      </c>
      <c r="Q159" s="8">
        <v>0</v>
      </c>
      <c r="R159" s="8">
        <v>0</v>
      </c>
      <c r="S159" s="8">
        <v>0</v>
      </c>
      <c r="T159" s="8">
        <v>0</v>
      </c>
      <c r="U159" s="8">
        <v>0</v>
      </c>
      <c r="V159" s="8">
        <v>0</v>
      </c>
      <c r="W159" s="8">
        <v>0</v>
      </c>
      <c r="X159" s="8">
        <v>0</v>
      </c>
      <c r="Y159" s="8">
        <v>0</v>
      </c>
      <c r="Z159" s="8" t="s">
        <v>25</v>
      </c>
      <c r="AA159" s="8" t="s">
        <v>34</v>
      </c>
      <c r="AB159" s="8" t="s">
        <v>24</v>
      </c>
      <c r="AC159" s="8" t="s">
        <v>48</v>
      </c>
    </row>
    <row r="160" spans="1:29" x14ac:dyDescent="0.3">
      <c r="A160" s="5">
        <v>159</v>
      </c>
      <c r="B160" s="5">
        <v>0</v>
      </c>
      <c r="C160" s="5">
        <v>1</v>
      </c>
      <c r="D160" s="5">
        <v>0</v>
      </c>
      <c r="E160" s="5">
        <v>0</v>
      </c>
      <c r="F160" s="5">
        <v>0</v>
      </c>
      <c r="G160" s="5">
        <v>0</v>
      </c>
      <c r="H160" s="6" t="s">
        <v>27</v>
      </c>
      <c r="I160" s="6" t="s">
        <v>43</v>
      </c>
      <c r="J160" s="6" t="s">
        <v>356</v>
      </c>
      <c r="K160" s="6" t="s">
        <v>30</v>
      </c>
      <c r="L160" s="6" t="s">
        <v>51</v>
      </c>
      <c r="M160" s="6">
        <v>5</v>
      </c>
      <c r="N160" s="6" t="s">
        <v>45</v>
      </c>
      <c r="O160" s="6" t="s">
        <v>63</v>
      </c>
      <c r="P160" s="6">
        <v>1</v>
      </c>
      <c r="Q160" s="6">
        <v>1</v>
      </c>
      <c r="R160" s="6">
        <v>0</v>
      </c>
      <c r="S160" s="6">
        <v>0</v>
      </c>
      <c r="T160" s="6">
        <v>1</v>
      </c>
      <c r="U160" s="6">
        <v>0</v>
      </c>
      <c r="V160" s="6">
        <v>0</v>
      </c>
      <c r="W160" s="6">
        <v>0</v>
      </c>
      <c r="X160" s="6">
        <v>0</v>
      </c>
      <c r="Y160" s="6">
        <v>1</v>
      </c>
      <c r="Z160" s="6" t="s">
        <v>21</v>
      </c>
      <c r="AA160" s="6" t="s">
        <v>23</v>
      </c>
      <c r="AB160" s="6" t="s">
        <v>113</v>
      </c>
      <c r="AC160" s="6" t="s">
        <v>48</v>
      </c>
    </row>
    <row r="161" spans="1:29" x14ac:dyDescent="0.3">
      <c r="A161" s="7">
        <v>160</v>
      </c>
      <c r="B161" s="7">
        <v>0</v>
      </c>
      <c r="C161" s="7">
        <v>1</v>
      </c>
      <c r="D161" s="7">
        <v>0</v>
      </c>
      <c r="E161" s="7">
        <v>0</v>
      </c>
      <c r="F161" s="7">
        <v>0</v>
      </c>
      <c r="G161" s="7">
        <v>0</v>
      </c>
      <c r="H161" s="8" t="s">
        <v>49</v>
      </c>
      <c r="I161" s="8" t="s">
        <v>43</v>
      </c>
      <c r="J161" s="8" t="s">
        <v>356</v>
      </c>
      <c r="K161" s="8" t="s">
        <v>30</v>
      </c>
      <c r="L161" s="8" t="s">
        <v>51</v>
      </c>
      <c r="M161" s="8">
        <v>3</v>
      </c>
      <c r="N161" s="8" t="s">
        <v>45</v>
      </c>
      <c r="O161" s="8" t="s">
        <v>52</v>
      </c>
      <c r="P161" s="8">
        <v>1</v>
      </c>
      <c r="Q161" s="8">
        <v>1</v>
      </c>
      <c r="R161" s="8">
        <v>0</v>
      </c>
      <c r="S161" s="8">
        <v>1</v>
      </c>
      <c r="T161" s="8">
        <v>1</v>
      </c>
      <c r="U161" s="8">
        <v>0</v>
      </c>
      <c r="V161" s="8">
        <v>0</v>
      </c>
      <c r="W161" s="8">
        <v>0</v>
      </c>
      <c r="X161" s="8">
        <v>0</v>
      </c>
      <c r="Y161" s="8">
        <v>0</v>
      </c>
      <c r="Z161" s="8" t="s">
        <v>25</v>
      </c>
      <c r="AA161" s="8" t="s">
        <v>34</v>
      </c>
      <c r="AB161" s="8" t="s">
        <v>24</v>
      </c>
      <c r="AC161" s="8" t="s">
        <v>25</v>
      </c>
    </row>
    <row r="162" spans="1:29" x14ac:dyDescent="0.3">
      <c r="A162" s="5">
        <v>161</v>
      </c>
      <c r="B162" s="5">
        <v>1</v>
      </c>
      <c r="C162" s="5">
        <v>1</v>
      </c>
      <c r="D162" s="5">
        <v>0</v>
      </c>
      <c r="E162" s="5">
        <v>0</v>
      </c>
      <c r="F162" s="5">
        <v>1</v>
      </c>
      <c r="G162" s="5">
        <v>1</v>
      </c>
      <c r="H162" s="6" t="s">
        <v>49</v>
      </c>
      <c r="I162" s="6" t="s">
        <v>352</v>
      </c>
      <c r="J162" s="6" t="s">
        <v>50</v>
      </c>
      <c r="K162" s="6" t="s">
        <v>49</v>
      </c>
      <c r="L162" s="6" t="s">
        <v>51</v>
      </c>
      <c r="M162" s="6">
        <v>5</v>
      </c>
      <c r="N162" s="6" t="s">
        <v>45</v>
      </c>
      <c r="O162" s="6" t="s">
        <v>63</v>
      </c>
      <c r="P162" s="6">
        <v>0</v>
      </c>
      <c r="Q162" s="6">
        <v>0</v>
      </c>
      <c r="R162" s="6">
        <v>0</v>
      </c>
      <c r="S162" s="6">
        <v>0</v>
      </c>
      <c r="T162" s="6">
        <v>0</v>
      </c>
      <c r="U162" s="6">
        <v>0</v>
      </c>
      <c r="V162" s="6">
        <v>0</v>
      </c>
      <c r="W162" s="6">
        <v>0</v>
      </c>
      <c r="X162" s="6">
        <v>0</v>
      </c>
      <c r="Y162" s="6">
        <v>0</v>
      </c>
      <c r="Z162" s="6" t="s">
        <v>21</v>
      </c>
      <c r="AA162" s="6" t="s">
        <v>34</v>
      </c>
      <c r="AB162" s="6" t="s">
        <v>24</v>
      </c>
      <c r="AC162" s="6" t="s">
        <v>25</v>
      </c>
    </row>
    <row r="163" spans="1:29" x14ac:dyDescent="0.3">
      <c r="A163" s="7">
        <v>162</v>
      </c>
      <c r="B163" s="7">
        <v>1</v>
      </c>
      <c r="C163" s="7">
        <v>0</v>
      </c>
      <c r="D163" s="7">
        <v>0</v>
      </c>
      <c r="E163" s="7">
        <v>0</v>
      </c>
      <c r="F163" s="7">
        <v>0</v>
      </c>
      <c r="G163" s="7">
        <v>0</v>
      </c>
      <c r="H163" s="8" t="s">
        <v>15</v>
      </c>
      <c r="I163" s="8" t="s">
        <v>83</v>
      </c>
      <c r="J163" s="8" t="s">
        <v>37</v>
      </c>
      <c r="K163" s="8" t="s">
        <v>30</v>
      </c>
      <c r="L163" s="8" t="s">
        <v>51</v>
      </c>
      <c r="M163" s="8">
        <v>4</v>
      </c>
      <c r="N163" s="8" t="s">
        <v>45</v>
      </c>
      <c r="O163" s="8" t="s">
        <v>52</v>
      </c>
      <c r="P163" s="8">
        <v>0</v>
      </c>
      <c r="Q163" s="8">
        <v>1</v>
      </c>
      <c r="R163" s="8">
        <v>0</v>
      </c>
      <c r="S163" s="8">
        <v>1</v>
      </c>
      <c r="T163" s="8">
        <v>1</v>
      </c>
      <c r="U163" s="8">
        <v>0</v>
      </c>
      <c r="V163" s="8">
        <v>0</v>
      </c>
      <c r="W163" s="8">
        <v>1</v>
      </c>
      <c r="X163" s="8">
        <v>0</v>
      </c>
      <c r="Y163" s="8">
        <v>0</v>
      </c>
      <c r="Z163" s="8" t="s">
        <v>21</v>
      </c>
      <c r="AA163" s="8" t="s">
        <v>34</v>
      </c>
      <c r="AB163" s="8" t="s">
        <v>24</v>
      </c>
      <c r="AC163" s="8" t="s">
        <v>21</v>
      </c>
    </row>
    <row r="164" spans="1:29" x14ac:dyDescent="0.3">
      <c r="A164" s="5">
        <v>163</v>
      </c>
      <c r="B164" s="5">
        <v>0</v>
      </c>
      <c r="C164" s="5">
        <v>0</v>
      </c>
      <c r="D164" s="5">
        <v>1</v>
      </c>
      <c r="E164" s="5">
        <v>0</v>
      </c>
      <c r="F164" s="5">
        <v>0</v>
      </c>
      <c r="G164" s="5">
        <v>0</v>
      </c>
      <c r="H164" s="6" t="s">
        <v>49</v>
      </c>
      <c r="I164" s="6" t="s">
        <v>43</v>
      </c>
      <c r="J164" s="6" t="s">
        <v>37</v>
      </c>
      <c r="K164" s="6" t="s">
        <v>30</v>
      </c>
      <c r="L164" s="6" t="s">
        <v>58</v>
      </c>
      <c r="M164" s="6">
        <v>4</v>
      </c>
      <c r="N164" s="6" t="s">
        <v>45</v>
      </c>
      <c r="O164" s="6" t="s">
        <v>63</v>
      </c>
      <c r="P164" s="6">
        <v>1</v>
      </c>
      <c r="Q164" s="6">
        <v>0</v>
      </c>
      <c r="R164" s="6">
        <v>0</v>
      </c>
      <c r="S164" s="6">
        <v>0</v>
      </c>
      <c r="T164" s="6">
        <v>1</v>
      </c>
      <c r="U164" s="6">
        <v>0</v>
      </c>
      <c r="V164" s="6">
        <v>1</v>
      </c>
      <c r="W164" s="6">
        <v>0</v>
      </c>
      <c r="X164" s="6">
        <v>0</v>
      </c>
      <c r="Y164" s="6">
        <v>0</v>
      </c>
      <c r="Z164" s="6" t="s">
        <v>21</v>
      </c>
      <c r="AA164" s="6" t="s">
        <v>40</v>
      </c>
      <c r="AB164" s="6" t="s">
        <v>24</v>
      </c>
      <c r="AC164" s="6" t="s">
        <v>48</v>
      </c>
    </row>
    <row r="165" spans="1:29" x14ac:dyDescent="0.3">
      <c r="A165" s="7">
        <v>164</v>
      </c>
      <c r="B165" s="7">
        <v>0</v>
      </c>
      <c r="C165" s="7">
        <v>1</v>
      </c>
      <c r="D165" s="7">
        <v>0</v>
      </c>
      <c r="E165" s="7">
        <v>0</v>
      </c>
      <c r="F165" s="7">
        <v>1</v>
      </c>
      <c r="G165" s="7">
        <v>1</v>
      </c>
      <c r="H165" s="8" t="s">
        <v>15</v>
      </c>
      <c r="I165" s="8" t="s">
        <v>43</v>
      </c>
      <c r="J165" s="8" t="s">
        <v>356</v>
      </c>
      <c r="K165" s="8" t="s">
        <v>49</v>
      </c>
      <c r="L165" s="8" t="s">
        <v>44</v>
      </c>
      <c r="M165" s="8">
        <v>3</v>
      </c>
      <c r="N165" s="8" t="s">
        <v>45</v>
      </c>
      <c r="O165" s="8" t="s">
        <v>52</v>
      </c>
      <c r="P165" s="8">
        <v>0</v>
      </c>
      <c r="Q165" s="8">
        <v>1</v>
      </c>
      <c r="R165" s="8">
        <v>0</v>
      </c>
      <c r="S165" s="8">
        <v>0</v>
      </c>
      <c r="T165" s="8">
        <v>1</v>
      </c>
      <c r="U165" s="8">
        <v>1</v>
      </c>
      <c r="V165" s="8">
        <v>1</v>
      </c>
      <c r="W165" s="8">
        <v>0</v>
      </c>
      <c r="X165" s="8">
        <v>0</v>
      </c>
      <c r="Y165" s="8">
        <v>0</v>
      </c>
      <c r="Z165" s="8" t="s">
        <v>25</v>
      </c>
      <c r="AA165" s="8" t="s">
        <v>23</v>
      </c>
      <c r="AB165" s="8" t="s">
        <v>24</v>
      </c>
      <c r="AC165" s="8" t="s">
        <v>25</v>
      </c>
    </row>
    <row r="166" spans="1:29" x14ac:dyDescent="0.3">
      <c r="A166" s="5">
        <v>165</v>
      </c>
      <c r="B166" s="5">
        <v>0</v>
      </c>
      <c r="C166" s="5">
        <v>1</v>
      </c>
      <c r="D166" s="5">
        <v>0</v>
      </c>
      <c r="E166" s="5">
        <v>0</v>
      </c>
      <c r="F166" s="5">
        <v>0</v>
      </c>
      <c r="G166" s="5">
        <v>0</v>
      </c>
      <c r="H166" s="6" t="s">
        <v>15</v>
      </c>
      <c r="I166" s="6" t="s">
        <v>43</v>
      </c>
      <c r="J166" s="6" t="s">
        <v>50</v>
      </c>
      <c r="K166" s="6" t="s">
        <v>49</v>
      </c>
      <c r="L166" s="6" t="s">
        <v>58</v>
      </c>
      <c r="M166" s="6">
        <v>5</v>
      </c>
      <c r="N166" s="6" t="s">
        <v>45</v>
      </c>
      <c r="O166" s="6" t="s">
        <v>63</v>
      </c>
      <c r="P166" s="6">
        <v>1</v>
      </c>
      <c r="Q166" s="6">
        <v>0</v>
      </c>
      <c r="R166" s="6">
        <v>1</v>
      </c>
      <c r="S166" s="6">
        <v>0</v>
      </c>
      <c r="T166" s="6">
        <v>0</v>
      </c>
      <c r="U166" s="6">
        <v>0</v>
      </c>
      <c r="V166" s="6">
        <v>0</v>
      </c>
      <c r="W166" s="6">
        <v>0</v>
      </c>
      <c r="X166" s="6">
        <v>0</v>
      </c>
      <c r="Y166" s="6">
        <v>0</v>
      </c>
      <c r="Z166" s="6" t="s">
        <v>21</v>
      </c>
      <c r="AA166" s="6" t="s">
        <v>34</v>
      </c>
      <c r="AB166" s="6" t="s">
        <v>24</v>
      </c>
      <c r="AC166" s="6" t="s">
        <v>82</v>
      </c>
    </row>
    <row r="167" spans="1:29" x14ac:dyDescent="0.3">
      <c r="A167" s="7">
        <v>166</v>
      </c>
      <c r="B167" s="7">
        <v>1</v>
      </c>
      <c r="C167" s="7">
        <v>0</v>
      </c>
      <c r="D167" s="7">
        <v>0</v>
      </c>
      <c r="E167" s="7">
        <v>0</v>
      </c>
      <c r="F167" s="7">
        <v>0</v>
      </c>
      <c r="G167" s="7">
        <v>0</v>
      </c>
      <c r="H167" s="8" t="s">
        <v>15</v>
      </c>
      <c r="I167" s="8" t="s">
        <v>43</v>
      </c>
      <c r="J167" s="8" t="s">
        <v>29</v>
      </c>
      <c r="K167" s="8" t="s">
        <v>15</v>
      </c>
      <c r="L167" s="8" t="s">
        <v>70</v>
      </c>
      <c r="M167" s="8">
        <v>5</v>
      </c>
      <c r="N167" s="8" t="s">
        <v>45</v>
      </c>
      <c r="O167" s="8" t="s">
        <v>46</v>
      </c>
      <c r="P167" s="8">
        <v>0</v>
      </c>
      <c r="Q167" s="8">
        <v>0</v>
      </c>
      <c r="R167" s="8">
        <v>0</v>
      </c>
      <c r="S167" s="8">
        <v>1</v>
      </c>
      <c r="T167" s="8">
        <v>0</v>
      </c>
      <c r="U167" s="8">
        <v>1</v>
      </c>
      <c r="V167" s="8">
        <v>0</v>
      </c>
      <c r="W167" s="8">
        <v>1</v>
      </c>
      <c r="X167" s="8">
        <v>0</v>
      </c>
      <c r="Y167" s="8">
        <v>0</v>
      </c>
      <c r="Z167" s="8" t="s">
        <v>21</v>
      </c>
      <c r="AA167" s="8" t="s">
        <v>23</v>
      </c>
      <c r="AB167" s="8" t="s">
        <v>24</v>
      </c>
      <c r="AC167" s="8" t="s">
        <v>21</v>
      </c>
    </row>
    <row r="168" spans="1:29" x14ac:dyDescent="0.3">
      <c r="A168" s="5">
        <v>167</v>
      </c>
      <c r="B168" s="5">
        <v>0</v>
      </c>
      <c r="C168" s="5">
        <v>1</v>
      </c>
      <c r="D168" s="5">
        <v>0</v>
      </c>
      <c r="E168" s="5">
        <v>0</v>
      </c>
      <c r="F168" s="5">
        <v>0</v>
      </c>
      <c r="G168" s="5">
        <v>1</v>
      </c>
      <c r="H168" s="6" t="s">
        <v>49</v>
      </c>
      <c r="I168" s="6" t="s">
        <v>43</v>
      </c>
      <c r="J168" s="6" t="s">
        <v>37</v>
      </c>
      <c r="K168" s="6" t="s">
        <v>15</v>
      </c>
      <c r="L168" s="6" t="s">
        <v>51</v>
      </c>
      <c r="M168" s="6">
        <v>5</v>
      </c>
      <c r="N168" s="6" t="s">
        <v>45</v>
      </c>
      <c r="O168" s="6" t="s">
        <v>63</v>
      </c>
      <c r="P168" s="6">
        <v>1</v>
      </c>
      <c r="Q168" s="6">
        <v>1</v>
      </c>
      <c r="R168" s="6">
        <v>1</v>
      </c>
      <c r="S168" s="6">
        <v>1</v>
      </c>
      <c r="T168" s="6">
        <v>0</v>
      </c>
      <c r="U168" s="6">
        <v>0</v>
      </c>
      <c r="V168" s="6">
        <v>0</v>
      </c>
      <c r="W168" s="6">
        <v>0</v>
      </c>
      <c r="X168" s="6">
        <v>1</v>
      </c>
      <c r="Y168" s="6">
        <v>0</v>
      </c>
      <c r="Z168" s="6" t="s">
        <v>25</v>
      </c>
      <c r="AA168" s="6" t="s">
        <v>34</v>
      </c>
      <c r="AB168" s="6" t="s">
        <v>24</v>
      </c>
      <c r="AC168" s="6" t="s">
        <v>21</v>
      </c>
    </row>
    <row r="169" spans="1:29" x14ac:dyDescent="0.3">
      <c r="A169" s="7">
        <v>168</v>
      </c>
      <c r="B169" s="7">
        <v>0</v>
      </c>
      <c r="C169" s="7">
        <v>1</v>
      </c>
      <c r="D169" s="7">
        <v>0</v>
      </c>
      <c r="E169" s="7">
        <v>0</v>
      </c>
      <c r="F169" s="7">
        <v>1</v>
      </c>
      <c r="G169" s="7">
        <v>0</v>
      </c>
      <c r="H169" s="8" t="s">
        <v>27</v>
      </c>
      <c r="I169" s="8" t="s">
        <v>43</v>
      </c>
      <c r="J169" s="8" t="s">
        <v>50</v>
      </c>
      <c r="K169" s="8" t="s">
        <v>49</v>
      </c>
      <c r="L169" s="8" t="s">
        <v>58</v>
      </c>
      <c r="M169" s="8">
        <v>4</v>
      </c>
      <c r="N169" s="8" t="s">
        <v>45</v>
      </c>
      <c r="O169" s="8" t="s">
        <v>46</v>
      </c>
      <c r="P169" s="8">
        <v>0</v>
      </c>
      <c r="Q169" s="8">
        <v>0</v>
      </c>
      <c r="R169" s="8">
        <v>1</v>
      </c>
      <c r="S169" s="8">
        <v>0</v>
      </c>
      <c r="T169" s="8">
        <v>0</v>
      </c>
      <c r="U169" s="8">
        <v>0</v>
      </c>
      <c r="V169" s="8">
        <v>0</v>
      </c>
      <c r="W169" s="8">
        <v>0</v>
      </c>
      <c r="X169" s="8">
        <v>0</v>
      </c>
      <c r="Y169" s="8">
        <v>0</v>
      </c>
      <c r="Z169" s="8" t="s">
        <v>21</v>
      </c>
      <c r="AA169" s="8" t="s">
        <v>23</v>
      </c>
      <c r="AB169" s="8" t="s">
        <v>24</v>
      </c>
      <c r="AC169" s="8" t="s">
        <v>25</v>
      </c>
    </row>
    <row r="170" spans="1:29" x14ac:dyDescent="0.3">
      <c r="A170" s="5">
        <v>169</v>
      </c>
      <c r="B170" s="5">
        <v>0</v>
      </c>
      <c r="C170" s="5">
        <v>1</v>
      </c>
      <c r="D170" s="5">
        <v>0</v>
      </c>
      <c r="E170" s="5">
        <v>0</v>
      </c>
      <c r="F170" s="5">
        <v>0</v>
      </c>
      <c r="G170" s="5">
        <v>0</v>
      </c>
      <c r="H170" s="6" t="s">
        <v>15</v>
      </c>
      <c r="I170" s="6" t="s">
        <v>43</v>
      </c>
      <c r="J170" s="6" t="s">
        <v>29</v>
      </c>
      <c r="K170" s="6" t="s">
        <v>18</v>
      </c>
      <c r="L170" s="6" t="s">
        <v>58</v>
      </c>
      <c r="M170" s="6">
        <v>5</v>
      </c>
      <c r="N170" s="6" t="s">
        <v>45</v>
      </c>
      <c r="O170" s="6" t="s">
        <v>46</v>
      </c>
      <c r="P170" s="6">
        <v>1</v>
      </c>
      <c r="Q170" s="6">
        <v>1</v>
      </c>
      <c r="R170" s="6">
        <v>1</v>
      </c>
      <c r="S170" s="6">
        <v>0</v>
      </c>
      <c r="T170" s="6">
        <v>0</v>
      </c>
      <c r="U170" s="6">
        <v>1</v>
      </c>
      <c r="V170" s="6">
        <v>1</v>
      </c>
      <c r="W170" s="6">
        <v>0</v>
      </c>
      <c r="X170" s="6">
        <v>0</v>
      </c>
      <c r="Y170" s="6">
        <v>0</v>
      </c>
      <c r="Z170" s="6" t="s">
        <v>21</v>
      </c>
      <c r="AA170" s="6" t="s">
        <v>40</v>
      </c>
      <c r="AB170" s="6" t="s">
        <v>24</v>
      </c>
      <c r="AC170" s="6" t="s">
        <v>48</v>
      </c>
    </row>
    <row r="171" spans="1:29" x14ac:dyDescent="0.3">
      <c r="A171" s="7">
        <v>170</v>
      </c>
      <c r="B171" s="7">
        <v>1</v>
      </c>
      <c r="C171" s="7">
        <v>0</v>
      </c>
      <c r="D171" s="7">
        <v>0</v>
      </c>
      <c r="E171" s="7">
        <v>0</v>
      </c>
      <c r="F171" s="7">
        <v>0</v>
      </c>
      <c r="G171" s="7">
        <v>0</v>
      </c>
      <c r="H171" s="8" t="s">
        <v>49</v>
      </c>
      <c r="I171" s="8" t="s">
        <v>43</v>
      </c>
      <c r="J171" s="8" t="s">
        <v>29</v>
      </c>
      <c r="K171" s="8" t="s">
        <v>30</v>
      </c>
      <c r="L171" s="8" t="s">
        <v>58</v>
      </c>
      <c r="M171" s="8">
        <v>5</v>
      </c>
      <c r="N171" s="8" t="s">
        <v>45</v>
      </c>
      <c r="O171" s="8" t="s">
        <v>46</v>
      </c>
      <c r="P171" s="8">
        <v>1</v>
      </c>
      <c r="Q171" s="8">
        <v>0</v>
      </c>
      <c r="R171" s="8">
        <v>1</v>
      </c>
      <c r="S171" s="8">
        <v>0</v>
      </c>
      <c r="T171" s="8">
        <v>0</v>
      </c>
      <c r="U171" s="8">
        <v>1</v>
      </c>
      <c r="V171" s="8">
        <v>0</v>
      </c>
      <c r="W171" s="8">
        <v>1</v>
      </c>
      <c r="X171" s="8">
        <v>0</v>
      </c>
      <c r="Y171" s="8">
        <v>0</v>
      </c>
      <c r="Z171" s="8" t="s">
        <v>21</v>
      </c>
      <c r="AA171" s="8" t="s">
        <v>23</v>
      </c>
      <c r="AB171" s="8" t="s">
        <v>24</v>
      </c>
      <c r="AC171" s="8" t="s">
        <v>48</v>
      </c>
    </row>
    <row r="172" spans="1:29" x14ac:dyDescent="0.3">
      <c r="A172" s="5">
        <v>171</v>
      </c>
      <c r="B172" s="5">
        <v>0</v>
      </c>
      <c r="C172" s="5">
        <v>0</v>
      </c>
      <c r="D172" s="5">
        <v>1</v>
      </c>
      <c r="E172" s="5">
        <v>0</v>
      </c>
      <c r="F172" s="5">
        <v>0</v>
      </c>
      <c r="G172" s="5">
        <v>0</v>
      </c>
      <c r="H172" s="6" t="s">
        <v>49</v>
      </c>
      <c r="I172" s="6" t="s">
        <v>43</v>
      </c>
      <c r="J172" s="6" t="s">
        <v>50</v>
      </c>
      <c r="K172" s="6" t="s">
        <v>49</v>
      </c>
      <c r="L172" s="6" t="s">
        <v>70</v>
      </c>
      <c r="M172" s="6">
        <v>3</v>
      </c>
      <c r="N172" s="6" t="s">
        <v>45</v>
      </c>
      <c r="O172" s="6" t="s">
        <v>63</v>
      </c>
      <c r="P172" s="6">
        <v>1</v>
      </c>
      <c r="Q172" s="6">
        <v>0</v>
      </c>
      <c r="R172" s="6">
        <v>0</v>
      </c>
      <c r="S172" s="6">
        <v>0</v>
      </c>
      <c r="T172" s="6">
        <v>0</v>
      </c>
      <c r="U172" s="6">
        <v>0</v>
      </c>
      <c r="V172" s="6">
        <v>0</v>
      </c>
      <c r="W172" s="6">
        <v>0</v>
      </c>
      <c r="X172" s="6">
        <v>0</v>
      </c>
      <c r="Y172" s="6">
        <v>0</v>
      </c>
      <c r="Z172" s="6" t="s">
        <v>21</v>
      </c>
      <c r="AA172" s="6" t="s">
        <v>40</v>
      </c>
      <c r="AB172" s="6" t="s">
        <v>24</v>
      </c>
      <c r="AC172" s="6" t="s">
        <v>25</v>
      </c>
    </row>
    <row r="173" spans="1:29" x14ac:dyDescent="0.3">
      <c r="A173" s="7">
        <v>172</v>
      </c>
      <c r="B173" s="7">
        <v>0</v>
      </c>
      <c r="C173" s="7">
        <v>0</v>
      </c>
      <c r="D173" s="7">
        <v>1</v>
      </c>
      <c r="E173" s="7">
        <v>0</v>
      </c>
      <c r="F173" s="7">
        <v>0</v>
      </c>
      <c r="G173" s="7">
        <v>0</v>
      </c>
      <c r="H173" s="8" t="s">
        <v>27</v>
      </c>
      <c r="I173" s="8" t="s">
        <v>43</v>
      </c>
      <c r="J173" s="8" t="s">
        <v>17</v>
      </c>
      <c r="K173" s="8" t="s">
        <v>15</v>
      </c>
      <c r="L173" s="8" t="s">
        <v>44</v>
      </c>
      <c r="M173" s="8">
        <v>4</v>
      </c>
      <c r="N173" s="8" t="s">
        <v>45</v>
      </c>
      <c r="O173" s="8" t="s">
        <v>52</v>
      </c>
      <c r="P173" s="8">
        <v>1</v>
      </c>
      <c r="Q173" s="8">
        <v>1</v>
      </c>
      <c r="R173" s="8">
        <v>1</v>
      </c>
      <c r="S173" s="8">
        <v>0</v>
      </c>
      <c r="T173" s="8">
        <v>1</v>
      </c>
      <c r="U173" s="8">
        <v>0</v>
      </c>
      <c r="V173" s="8">
        <v>0</v>
      </c>
      <c r="W173" s="8">
        <v>0</v>
      </c>
      <c r="X173" s="8">
        <v>0</v>
      </c>
      <c r="Y173" s="8">
        <v>0</v>
      </c>
      <c r="Z173" s="8" t="s">
        <v>25</v>
      </c>
      <c r="AA173" s="8" t="s">
        <v>40</v>
      </c>
      <c r="AB173" s="8" t="s">
        <v>24</v>
      </c>
      <c r="AC173" s="8" t="s">
        <v>48</v>
      </c>
    </row>
    <row r="174" spans="1:29" x14ac:dyDescent="0.3">
      <c r="A174" s="5">
        <v>173</v>
      </c>
      <c r="B174" s="5">
        <v>0</v>
      </c>
      <c r="C174" s="5">
        <v>1</v>
      </c>
      <c r="D174" s="5">
        <v>0</v>
      </c>
      <c r="E174" s="5">
        <v>0</v>
      </c>
      <c r="F174" s="5">
        <v>0</v>
      </c>
      <c r="G174" s="5">
        <v>1</v>
      </c>
      <c r="H174" s="6" t="s">
        <v>27</v>
      </c>
      <c r="I174" s="6" t="s">
        <v>43</v>
      </c>
      <c r="J174" s="6" t="s">
        <v>50</v>
      </c>
      <c r="K174" s="6" t="s">
        <v>30</v>
      </c>
      <c r="L174" s="6" t="s">
        <v>58</v>
      </c>
      <c r="M174" s="6">
        <v>4</v>
      </c>
      <c r="N174" s="6" t="s">
        <v>45</v>
      </c>
      <c r="O174" s="6" t="s">
        <v>63</v>
      </c>
      <c r="P174" s="6">
        <v>1</v>
      </c>
      <c r="Q174" s="6">
        <v>1</v>
      </c>
      <c r="R174" s="6">
        <v>0</v>
      </c>
      <c r="S174" s="6">
        <v>1</v>
      </c>
      <c r="T174" s="6">
        <v>0</v>
      </c>
      <c r="U174" s="6">
        <v>0</v>
      </c>
      <c r="V174" s="6">
        <v>1</v>
      </c>
      <c r="W174" s="6">
        <v>0</v>
      </c>
      <c r="X174" s="6">
        <v>0</v>
      </c>
      <c r="Y174" s="6">
        <v>0</v>
      </c>
      <c r="Z174" s="6" t="s">
        <v>25</v>
      </c>
      <c r="AA174" s="6" t="s">
        <v>34</v>
      </c>
      <c r="AB174" s="6" t="s">
        <v>24</v>
      </c>
      <c r="AC174" s="6" t="s">
        <v>82</v>
      </c>
    </row>
    <row r="175" spans="1:29" x14ac:dyDescent="0.3">
      <c r="A175" s="7">
        <v>174</v>
      </c>
      <c r="B175" s="7">
        <v>0</v>
      </c>
      <c r="C175" s="7">
        <v>0</v>
      </c>
      <c r="D175" s="7">
        <v>1</v>
      </c>
      <c r="E175" s="7">
        <v>0</v>
      </c>
      <c r="F175" s="7">
        <v>0</v>
      </c>
      <c r="G175" s="7">
        <v>0</v>
      </c>
      <c r="H175" s="8" t="s">
        <v>15</v>
      </c>
      <c r="I175" s="8" t="s">
        <v>16</v>
      </c>
      <c r="J175" s="8" t="s">
        <v>50</v>
      </c>
      <c r="K175" s="8" t="s">
        <v>30</v>
      </c>
      <c r="L175" s="8" t="s">
        <v>51</v>
      </c>
      <c r="M175" s="8">
        <v>5</v>
      </c>
      <c r="N175" s="8" t="s">
        <v>45</v>
      </c>
      <c r="O175" s="8" t="s">
        <v>52</v>
      </c>
      <c r="P175" s="8">
        <v>0</v>
      </c>
      <c r="Q175" s="8">
        <v>0</v>
      </c>
      <c r="R175" s="8">
        <v>1</v>
      </c>
      <c r="S175" s="8">
        <v>1</v>
      </c>
      <c r="T175" s="8">
        <v>0</v>
      </c>
      <c r="U175" s="8">
        <v>0</v>
      </c>
      <c r="V175" s="8">
        <v>0</v>
      </c>
      <c r="W175" s="8">
        <v>0</v>
      </c>
      <c r="X175" s="8">
        <v>0</v>
      </c>
      <c r="Y175" s="8">
        <v>0</v>
      </c>
      <c r="Z175" s="8" t="s">
        <v>25</v>
      </c>
      <c r="AA175" s="8" t="s">
        <v>34</v>
      </c>
      <c r="AB175" s="8" t="s">
        <v>24</v>
      </c>
      <c r="AC175" s="8" t="s">
        <v>25</v>
      </c>
    </row>
    <row r="176" spans="1:29" x14ac:dyDescent="0.3">
      <c r="A176" s="5">
        <v>175</v>
      </c>
      <c r="B176" s="5">
        <v>0</v>
      </c>
      <c r="C176" s="5">
        <v>1</v>
      </c>
      <c r="D176" s="5">
        <v>0</v>
      </c>
      <c r="E176" s="5">
        <v>0</v>
      </c>
      <c r="F176" s="5">
        <v>0</v>
      </c>
      <c r="G176" s="5">
        <v>0</v>
      </c>
      <c r="H176" s="6" t="s">
        <v>15</v>
      </c>
      <c r="I176" s="6" t="s">
        <v>16</v>
      </c>
      <c r="J176" s="6" t="s">
        <v>37</v>
      </c>
      <c r="K176" s="6" t="s">
        <v>15</v>
      </c>
      <c r="L176" s="6" t="s">
        <v>51</v>
      </c>
      <c r="M176" s="6">
        <v>2</v>
      </c>
      <c r="N176" s="6" t="s">
        <v>45</v>
      </c>
      <c r="O176" s="6" t="s">
        <v>52</v>
      </c>
      <c r="P176" s="6">
        <v>1</v>
      </c>
      <c r="Q176" s="6">
        <v>1</v>
      </c>
      <c r="R176" s="6">
        <v>0</v>
      </c>
      <c r="S176" s="6">
        <v>0</v>
      </c>
      <c r="T176" s="6">
        <v>0</v>
      </c>
      <c r="U176" s="6">
        <v>0</v>
      </c>
      <c r="V176" s="6">
        <v>0</v>
      </c>
      <c r="W176" s="6">
        <v>0</v>
      </c>
      <c r="X176" s="6">
        <v>0</v>
      </c>
      <c r="Y176" s="6">
        <v>0</v>
      </c>
      <c r="Z176" s="6" t="s">
        <v>25</v>
      </c>
      <c r="AA176" s="6" t="s">
        <v>34</v>
      </c>
      <c r="AB176" s="6" t="s">
        <v>113</v>
      </c>
      <c r="AC176" s="6" t="s">
        <v>25</v>
      </c>
    </row>
    <row r="177" spans="1:29" x14ac:dyDescent="0.3">
      <c r="A177" s="7">
        <v>176</v>
      </c>
      <c r="B177" s="7">
        <v>0</v>
      </c>
      <c r="C177" s="7">
        <v>0</v>
      </c>
      <c r="D177" s="7">
        <v>0</v>
      </c>
      <c r="E177" s="7">
        <v>0</v>
      </c>
      <c r="F177" s="7">
        <v>0</v>
      </c>
      <c r="G177" s="7">
        <v>1</v>
      </c>
      <c r="H177" s="8" t="s">
        <v>49</v>
      </c>
      <c r="I177" s="8" t="s">
        <v>43</v>
      </c>
      <c r="J177" s="8" t="s">
        <v>356</v>
      </c>
      <c r="K177" s="8" t="s">
        <v>49</v>
      </c>
      <c r="L177" s="8" t="s">
        <v>51</v>
      </c>
      <c r="M177" s="8">
        <v>5</v>
      </c>
      <c r="N177" s="8" t="s">
        <v>59</v>
      </c>
      <c r="O177" s="8" t="s">
        <v>52</v>
      </c>
      <c r="P177" s="8">
        <v>0</v>
      </c>
      <c r="Q177" s="8">
        <v>1</v>
      </c>
      <c r="R177" s="8">
        <v>1</v>
      </c>
      <c r="S177" s="8">
        <v>0</v>
      </c>
      <c r="T177" s="8">
        <v>1</v>
      </c>
      <c r="U177" s="8">
        <v>1</v>
      </c>
      <c r="V177" s="8">
        <v>0</v>
      </c>
      <c r="W177" s="8">
        <v>0</v>
      </c>
      <c r="X177" s="8">
        <v>0</v>
      </c>
      <c r="Y177" s="8">
        <v>0</v>
      </c>
      <c r="Z177" s="8" t="s">
        <v>21</v>
      </c>
      <c r="AA177" s="8" t="s">
        <v>34</v>
      </c>
      <c r="AB177" s="8" t="s">
        <v>24</v>
      </c>
      <c r="AC177" s="8" t="s">
        <v>82</v>
      </c>
    </row>
    <row r="178" spans="1:29" x14ac:dyDescent="0.3">
      <c r="A178" s="5">
        <v>177</v>
      </c>
      <c r="B178" s="5">
        <v>0</v>
      </c>
      <c r="C178" s="5">
        <v>1</v>
      </c>
      <c r="D178" s="5">
        <v>0</v>
      </c>
      <c r="E178" s="5">
        <v>0</v>
      </c>
      <c r="F178" s="5">
        <v>0</v>
      </c>
      <c r="G178" s="5">
        <v>0</v>
      </c>
      <c r="H178" s="6" t="s">
        <v>49</v>
      </c>
      <c r="I178" s="6" t="s">
        <v>43</v>
      </c>
      <c r="J178" s="6" t="s">
        <v>50</v>
      </c>
      <c r="K178" s="6" t="s">
        <v>102</v>
      </c>
      <c r="L178" s="6" t="s">
        <v>58</v>
      </c>
      <c r="M178" s="6">
        <v>2</v>
      </c>
      <c r="N178" s="6" t="s">
        <v>45</v>
      </c>
      <c r="O178" s="6" t="s">
        <v>46</v>
      </c>
      <c r="P178" s="6">
        <v>1</v>
      </c>
      <c r="Q178" s="6">
        <v>0</v>
      </c>
      <c r="R178" s="6">
        <v>1</v>
      </c>
      <c r="S178" s="6">
        <v>0</v>
      </c>
      <c r="T178" s="6">
        <v>0</v>
      </c>
      <c r="U178" s="6">
        <v>0</v>
      </c>
      <c r="V178" s="6">
        <v>0</v>
      </c>
      <c r="W178" s="6">
        <v>0</v>
      </c>
      <c r="X178" s="6">
        <v>0</v>
      </c>
      <c r="Y178" s="6">
        <v>0</v>
      </c>
      <c r="Z178" s="6" t="s">
        <v>21</v>
      </c>
      <c r="AA178" s="6" t="s">
        <v>23</v>
      </c>
      <c r="AB178" s="6" t="s">
        <v>24</v>
      </c>
      <c r="AC178" s="6" t="s">
        <v>25</v>
      </c>
    </row>
    <row r="179" spans="1:29" x14ac:dyDescent="0.3">
      <c r="A179" s="7">
        <v>178</v>
      </c>
      <c r="B179" s="7">
        <v>0</v>
      </c>
      <c r="C179" s="7">
        <v>1</v>
      </c>
      <c r="D179" s="7">
        <v>0</v>
      </c>
      <c r="E179" s="7">
        <v>0</v>
      </c>
      <c r="F179" s="7">
        <v>0</v>
      </c>
      <c r="G179" s="7">
        <v>0</v>
      </c>
      <c r="H179" s="8" t="s">
        <v>15</v>
      </c>
      <c r="I179" s="8" t="s">
        <v>83</v>
      </c>
      <c r="J179" s="8" t="s">
        <v>50</v>
      </c>
      <c r="K179" s="8" t="s">
        <v>49</v>
      </c>
      <c r="L179" s="8" t="s">
        <v>44</v>
      </c>
      <c r="M179" s="8">
        <v>5</v>
      </c>
      <c r="N179" s="8" t="s">
        <v>72</v>
      </c>
      <c r="O179" s="8" t="s">
        <v>63</v>
      </c>
      <c r="P179" s="8">
        <v>1</v>
      </c>
      <c r="Q179" s="8">
        <v>1</v>
      </c>
      <c r="R179" s="8">
        <v>0</v>
      </c>
      <c r="S179" s="8">
        <v>1</v>
      </c>
      <c r="T179" s="8">
        <v>1</v>
      </c>
      <c r="U179" s="8">
        <v>1</v>
      </c>
      <c r="V179" s="8">
        <v>0</v>
      </c>
      <c r="W179" s="8">
        <v>1</v>
      </c>
      <c r="X179" s="8">
        <v>0</v>
      </c>
      <c r="Y179" s="8">
        <v>0</v>
      </c>
      <c r="Z179" s="8" t="s">
        <v>21</v>
      </c>
      <c r="AA179" s="8" t="s">
        <v>23</v>
      </c>
      <c r="AB179" s="8" t="s">
        <v>54</v>
      </c>
      <c r="AC179" s="8" t="s">
        <v>25</v>
      </c>
    </row>
    <row r="180" spans="1:29" x14ac:dyDescent="0.3">
      <c r="A180" s="5">
        <v>179</v>
      </c>
      <c r="B180" s="5">
        <v>0</v>
      </c>
      <c r="C180" s="5">
        <v>0</v>
      </c>
      <c r="D180" s="5">
        <v>0</v>
      </c>
      <c r="E180" s="5">
        <v>0</v>
      </c>
      <c r="F180" s="5">
        <v>0</v>
      </c>
      <c r="G180" s="5">
        <v>1</v>
      </c>
      <c r="H180" s="6" t="s">
        <v>49</v>
      </c>
      <c r="I180" s="6" t="s">
        <v>43</v>
      </c>
      <c r="J180" s="6" t="s">
        <v>50</v>
      </c>
      <c r="K180" s="6" t="s">
        <v>49</v>
      </c>
      <c r="L180" s="6" t="s">
        <v>51</v>
      </c>
      <c r="M180" s="6">
        <v>5</v>
      </c>
      <c r="N180" s="6" t="s">
        <v>45</v>
      </c>
      <c r="O180" s="6" t="s">
        <v>52</v>
      </c>
      <c r="P180" s="6">
        <v>0</v>
      </c>
      <c r="Q180" s="6">
        <v>1</v>
      </c>
      <c r="R180" s="6">
        <v>1</v>
      </c>
      <c r="S180" s="6">
        <v>1</v>
      </c>
      <c r="T180" s="6">
        <v>1</v>
      </c>
      <c r="U180" s="6">
        <v>0</v>
      </c>
      <c r="V180" s="6">
        <v>0</v>
      </c>
      <c r="W180" s="6">
        <v>0</v>
      </c>
      <c r="X180" s="6">
        <v>0</v>
      </c>
      <c r="Y180" s="6">
        <v>1</v>
      </c>
      <c r="Z180" s="6" t="s">
        <v>21</v>
      </c>
      <c r="AA180" s="6" t="s">
        <v>34</v>
      </c>
      <c r="AB180" s="6" t="s">
        <v>24</v>
      </c>
      <c r="AC180" s="6" t="s">
        <v>25</v>
      </c>
    </row>
    <row r="181" spans="1:29" x14ac:dyDescent="0.3">
      <c r="A181" s="7">
        <v>180</v>
      </c>
      <c r="B181" s="7">
        <v>0</v>
      </c>
      <c r="C181" s="7">
        <v>1</v>
      </c>
      <c r="D181" s="7">
        <v>0</v>
      </c>
      <c r="E181" s="7">
        <v>0</v>
      </c>
      <c r="F181" s="7">
        <v>0</v>
      </c>
      <c r="G181" s="7">
        <v>1</v>
      </c>
      <c r="H181" s="8" t="s">
        <v>49</v>
      </c>
      <c r="I181" s="8" t="s">
        <v>353</v>
      </c>
      <c r="J181" s="8" t="s">
        <v>50</v>
      </c>
      <c r="K181" s="8" t="s">
        <v>49</v>
      </c>
      <c r="L181" s="8" t="s">
        <v>44</v>
      </c>
      <c r="M181" s="8">
        <v>5</v>
      </c>
      <c r="N181" s="8" t="s">
        <v>45</v>
      </c>
      <c r="O181" s="8" t="s">
        <v>52</v>
      </c>
      <c r="P181" s="8">
        <v>0</v>
      </c>
      <c r="Q181" s="8">
        <v>1</v>
      </c>
      <c r="R181" s="8">
        <v>0</v>
      </c>
      <c r="S181" s="8">
        <v>0</v>
      </c>
      <c r="T181" s="8">
        <v>0</v>
      </c>
      <c r="U181" s="8">
        <v>0</v>
      </c>
      <c r="V181" s="8">
        <v>0</v>
      </c>
      <c r="W181" s="8">
        <v>0</v>
      </c>
      <c r="X181" s="8">
        <v>0</v>
      </c>
      <c r="Y181" s="8">
        <v>0</v>
      </c>
      <c r="Z181" s="8" t="s">
        <v>21</v>
      </c>
      <c r="AA181" s="8" t="s">
        <v>34</v>
      </c>
      <c r="AB181" s="8" t="s">
        <v>24</v>
      </c>
      <c r="AC181" s="8" t="s">
        <v>25</v>
      </c>
    </row>
    <row r="182" spans="1:29" x14ac:dyDescent="0.3">
      <c r="A182" s="5">
        <v>181</v>
      </c>
      <c r="B182" s="5">
        <v>1</v>
      </c>
      <c r="C182" s="5">
        <v>1</v>
      </c>
      <c r="D182" s="5">
        <v>0</v>
      </c>
      <c r="E182" s="5">
        <v>0</v>
      </c>
      <c r="F182" s="5">
        <v>1</v>
      </c>
      <c r="G182" s="5">
        <v>1</v>
      </c>
      <c r="H182" s="6" t="s">
        <v>49</v>
      </c>
      <c r="I182" s="6" t="s">
        <v>352</v>
      </c>
      <c r="J182" s="6" t="s">
        <v>50</v>
      </c>
      <c r="K182" s="6" t="s">
        <v>30</v>
      </c>
      <c r="L182" s="6" t="s">
        <v>51</v>
      </c>
      <c r="M182" s="6">
        <v>5</v>
      </c>
      <c r="N182" s="6" t="s">
        <v>45</v>
      </c>
      <c r="O182" s="6" t="s">
        <v>46</v>
      </c>
      <c r="P182" s="6">
        <v>0</v>
      </c>
      <c r="Q182" s="6">
        <v>0</v>
      </c>
      <c r="R182" s="6">
        <v>0</v>
      </c>
      <c r="S182" s="6">
        <v>1</v>
      </c>
      <c r="T182" s="6">
        <v>1</v>
      </c>
      <c r="U182" s="6">
        <v>0</v>
      </c>
      <c r="V182" s="6">
        <v>0</v>
      </c>
      <c r="W182" s="6">
        <v>1</v>
      </c>
      <c r="X182" s="6">
        <v>0</v>
      </c>
      <c r="Y182" s="6">
        <v>0</v>
      </c>
      <c r="Z182" s="6" t="s">
        <v>21</v>
      </c>
      <c r="AA182" s="6" t="s">
        <v>34</v>
      </c>
      <c r="AB182" s="6" t="s">
        <v>113</v>
      </c>
      <c r="AC182" s="6" t="s">
        <v>25</v>
      </c>
    </row>
    <row r="183" spans="1:29" x14ac:dyDescent="0.3">
      <c r="A183" s="7">
        <v>182</v>
      </c>
      <c r="B183" s="7">
        <v>0</v>
      </c>
      <c r="C183" s="7">
        <v>1</v>
      </c>
      <c r="D183" s="7">
        <v>0</v>
      </c>
      <c r="E183" s="7">
        <v>0</v>
      </c>
      <c r="F183" s="7">
        <v>0</v>
      </c>
      <c r="G183" s="7">
        <v>0</v>
      </c>
      <c r="H183" s="8" t="s">
        <v>49</v>
      </c>
      <c r="I183" s="8" t="s">
        <v>43</v>
      </c>
      <c r="J183" s="8" t="s">
        <v>50</v>
      </c>
      <c r="K183" s="8" t="s">
        <v>49</v>
      </c>
      <c r="L183" s="8" t="s">
        <v>58</v>
      </c>
      <c r="M183" s="8">
        <v>3</v>
      </c>
      <c r="N183" s="8" t="s">
        <v>45</v>
      </c>
      <c r="O183" s="8" t="s">
        <v>52</v>
      </c>
      <c r="P183" s="8">
        <v>0</v>
      </c>
      <c r="Q183" s="8">
        <v>1</v>
      </c>
      <c r="R183" s="8">
        <v>0</v>
      </c>
      <c r="S183" s="8">
        <v>0</v>
      </c>
      <c r="T183" s="8">
        <v>0</v>
      </c>
      <c r="U183" s="8">
        <v>1</v>
      </c>
      <c r="V183" s="8">
        <v>0</v>
      </c>
      <c r="W183" s="8">
        <v>0</v>
      </c>
      <c r="X183" s="8">
        <v>0</v>
      </c>
      <c r="Y183" s="8">
        <v>0</v>
      </c>
      <c r="Z183" s="8" t="s">
        <v>21</v>
      </c>
      <c r="AA183" s="8" t="s">
        <v>34</v>
      </c>
      <c r="AB183" s="8" t="s">
        <v>24</v>
      </c>
      <c r="AC183" s="8" t="s">
        <v>48</v>
      </c>
    </row>
    <row r="184" spans="1:29" x14ac:dyDescent="0.3">
      <c r="A184" s="5">
        <v>183</v>
      </c>
      <c r="B184" s="5">
        <v>1</v>
      </c>
      <c r="C184" s="5">
        <v>0</v>
      </c>
      <c r="D184" s="5">
        <v>0</v>
      </c>
      <c r="E184" s="5">
        <v>0</v>
      </c>
      <c r="F184" s="5">
        <v>0</v>
      </c>
      <c r="G184" s="5">
        <v>1</v>
      </c>
      <c r="H184" s="6" t="s">
        <v>27</v>
      </c>
      <c r="I184" s="6" t="s">
        <v>83</v>
      </c>
      <c r="J184" s="6" t="s">
        <v>29</v>
      </c>
      <c r="K184" s="6" t="s">
        <v>30</v>
      </c>
      <c r="L184" s="6" t="s">
        <v>51</v>
      </c>
      <c r="M184" s="6">
        <v>5</v>
      </c>
      <c r="N184" s="6" t="s">
        <v>45</v>
      </c>
      <c r="O184" s="6" t="s">
        <v>52</v>
      </c>
      <c r="P184" s="6">
        <v>0</v>
      </c>
      <c r="Q184" s="6">
        <v>1</v>
      </c>
      <c r="R184" s="6">
        <v>0</v>
      </c>
      <c r="S184" s="6">
        <v>0</v>
      </c>
      <c r="T184" s="6">
        <v>0</v>
      </c>
      <c r="U184" s="6">
        <v>0</v>
      </c>
      <c r="V184" s="6">
        <v>0</v>
      </c>
      <c r="W184" s="6">
        <v>0</v>
      </c>
      <c r="X184" s="6">
        <v>0</v>
      </c>
      <c r="Y184" s="6">
        <v>0</v>
      </c>
      <c r="Z184" s="6" t="s">
        <v>21</v>
      </c>
      <c r="AA184" s="6" t="s">
        <v>40</v>
      </c>
      <c r="AB184" s="6" t="s">
        <v>88</v>
      </c>
      <c r="AC184" s="6" t="s">
        <v>48</v>
      </c>
    </row>
    <row r="185" spans="1:29" x14ac:dyDescent="0.3">
      <c r="A185" s="7">
        <v>184</v>
      </c>
      <c r="B185" s="7">
        <v>1</v>
      </c>
      <c r="C185" s="7">
        <v>1</v>
      </c>
      <c r="D185" s="7">
        <v>0</v>
      </c>
      <c r="E185" s="7">
        <v>0</v>
      </c>
      <c r="F185" s="7">
        <v>1</v>
      </c>
      <c r="G185" s="7">
        <v>1</v>
      </c>
      <c r="H185" s="8" t="s">
        <v>49</v>
      </c>
      <c r="I185" s="8" t="s">
        <v>43</v>
      </c>
      <c r="J185" s="8" t="s">
        <v>50</v>
      </c>
      <c r="K185" s="8" t="s">
        <v>49</v>
      </c>
      <c r="L185" s="8" t="s">
        <v>44</v>
      </c>
      <c r="M185" s="8">
        <v>4</v>
      </c>
      <c r="N185" s="8" t="s">
        <v>45</v>
      </c>
      <c r="O185" s="8" t="s">
        <v>63</v>
      </c>
      <c r="P185" s="8">
        <v>1</v>
      </c>
      <c r="Q185" s="8">
        <v>1</v>
      </c>
      <c r="R185" s="8">
        <v>1</v>
      </c>
      <c r="S185" s="8">
        <v>1</v>
      </c>
      <c r="T185" s="8">
        <v>1</v>
      </c>
      <c r="U185" s="8">
        <v>0</v>
      </c>
      <c r="V185" s="8">
        <v>0</v>
      </c>
      <c r="W185" s="8">
        <v>1</v>
      </c>
      <c r="X185" s="8">
        <v>1</v>
      </c>
      <c r="Y185" s="8">
        <v>0</v>
      </c>
      <c r="Z185" s="8" t="s">
        <v>21</v>
      </c>
      <c r="AA185" s="8" t="s">
        <v>40</v>
      </c>
      <c r="AB185" s="8" t="s">
        <v>24</v>
      </c>
      <c r="AC185" s="8" t="s">
        <v>25</v>
      </c>
    </row>
    <row r="186" spans="1:29" x14ac:dyDescent="0.3">
      <c r="A186" s="5">
        <v>185</v>
      </c>
      <c r="B186" s="5">
        <v>0</v>
      </c>
      <c r="C186" s="5">
        <v>0</v>
      </c>
      <c r="D186" s="5">
        <v>0</v>
      </c>
      <c r="E186" s="5">
        <v>0</v>
      </c>
      <c r="F186" s="5">
        <v>0</v>
      </c>
      <c r="G186" s="5">
        <v>1</v>
      </c>
      <c r="H186" s="6" t="s">
        <v>49</v>
      </c>
      <c r="I186" s="6" t="s">
        <v>43</v>
      </c>
      <c r="J186" s="6" t="s">
        <v>17</v>
      </c>
      <c r="K186" s="6" t="s">
        <v>49</v>
      </c>
      <c r="L186" s="6" t="s">
        <v>51</v>
      </c>
      <c r="M186" s="6">
        <v>4</v>
      </c>
      <c r="N186" s="6" t="s">
        <v>45</v>
      </c>
      <c r="O186" s="6" t="s">
        <v>63</v>
      </c>
      <c r="P186" s="6">
        <v>1</v>
      </c>
      <c r="Q186" s="6">
        <v>1</v>
      </c>
      <c r="R186" s="6">
        <v>0</v>
      </c>
      <c r="S186" s="6">
        <v>1</v>
      </c>
      <c r="T186" s="6">
        <v>1</v>
      </c>
      <c r="U186" s="6">
        <v>0</v>
      </c>
      <c r="V186" s="6">
        <v>1</v>
      </c>
      <c r="W186" s="6">
        <v>1</v>
      </c>
      <c r="X186" s="6">
        <v>0</v>
      </c>
      <c r="Y186" s="6">
        <v>0</v>
      </c>
      <c r="Z186" s="6" t="s">
        <v>21</v>
      </c>
      <c r="AA186" s="6" t="s">
        <v>40</v>
      </c>
      <c r="AB186" s="6" t="s">
        <v>54</v>
      </c>
      <c r="AC186" s="6" t="s">
        <v>25</v>
      </c>
    </row>
    <row r="187" spans="1:29" x14ac:dyDescent="0.3">
      <c r="A187" s="7">
        <v>186</v>
      </c>
      <c r="B187" s="7">
        <v>0</v>
      </c>
      <c r="C187" s="7">
        <v>1</v>
      </c>
      <c r="D187" s="7">
        <v>0</v>
      </c>
      <c r="E187" s="7">
        <v>0</v>
      </c>
      <c r="F187" s="7">
        <v>0</v>
      </c>
      <c r="G187" s="7">
        <v>0</v>
      </c>
      <c r="H187" s="8" t="s">
        <v>49</v>
      </c>
      <c r="I187" s="8" t="s">
        <v>352</v>
      </c>
      <c r="J187" s="8" t="s">
        <v>50</v>
      </c>
      <c r="K187" s="8" t="s">
        <v>49</v>
      </c>
      <c r="L187" s="8" t="s">
        <v>51</v>
      </c>
      <c r="M187" s="8">
        <v>5</v>
      </c>
      <c r="N187" s="8" t="s">
        <v>45</v>
      </c>
      <c r="O187" s="8" t="s">
        <v>52</v>
      </c>
      <c r="P187" s="8">
        <v>0</v>
      </c>
      <c r="Q187" s="8">
        <v>1</v>
      </c>
      <c r="R187" s="8">
        <v>0</v>
      </c>
      <c r="S187" s="8">
        <v>1</v>
      </c>
      <c r="T187" s="8">
        <v>0</v>
      </c>
      <c r="U187" s="8">
        <v>1</v>
      </c>
      <c r="V187" s="8">
        <v>1</v>
      </c>
      <c r="W187" s="8">
        <v>0</v>
      </c>
      <c r="X187" s="8">
        <v>0</v>
      </c>
      <c r="Y187" s="8">
        <v>0</v>
      </c>
      <c r="Z187" s="8" t="s">
        <v>21</v>
      </c>
      <c r="AA187" s="8" t="s">
        <v>34</v>
      </c>
      <c r="AB187" s="8" t="s">
        <v>113</v>
      </c>
      <c r="AC187" s="8" t="s">
        <v>21</v>
      </c>
    </row>
    <row r="188" spans="1:29" x14ac:dyDescent="0.3">
      <c r="A188" s="5">
        <v>187</v>
      </c>
      <c r="B188" s="5">
        <v>0</v>
      </c>
      <c r="C188" s="5">
        <v>0</v>
      </c>
      <c r="D188" s="5">
        <v>0</v>
      </c>
      <c r="E188" s="5">
        <v>0</v>
      </c>
      <c r="F188" s="5">
        <v>0</v>
      </c>
      <c r="G188" s="5">
        <v>1</v>
      </c>
      <c r="H188" s="6" t="s">
        <v>15</v>
      </c>
      <c r="I188" s="6" t="s">
        <v>43</v>
      </c>
      <c r="J188" s="6" t="s">
        <v>17</v>
      </c>
      <c r="K188" s="6" t="s">
        <v>30</v>
      </c>
      <c r="L188" s="6" t="s">
        <v>44</v>
      </c>
      <c r="M188" s="6">
        <v>3</v>
      </c>
      <c r="N188" s="6" t="s">
        <v>45</v>
      </c>
      <c r="O188" s="6" t="s">
        <v>46</v>
      </c>
      <c r="P188" s="6">
        <v>1</v>
      </c>
      <c r="Q188" s="6">
        <v>1</v>
      </c>
      <c r="R188" s="6">
        <v>1</v>
      </c>
      <c r="S188" s="6">
        <v>0</v>
      </c>
      <c r="T188" s="6">
        <v>1</v>
      </c>
      <c r="U188" s="6">
        <v>1</v>
      </c>
      <c r="V188" s="6">
        <v>0</v>
      </c>
      <c r="W188" s="6">
        <v>0</v>
      </c>
      <c r="X188" s="6">
        <v>1</v>
      </c>
      <c r="Y188" s="6">
        <v>0</v>
      </c>
      <c r="Z188" s="6" t="s">
        <v>21</v>
      </c>
      <c r="AA188" s="6" t="s">
        <v>34</v>
      </c>
      <c r="AB188" s="6" t="s">
        <v>24</v>
      </c>
      <c r="AC188" s="6" t="s">
        <v>21</v>
      </c>
    </row>
    <row r="189" spans="1:29" x14ac:dyDescent="0.3">
      <c r="A189" s="7">
        <v>188</v>
      </c>
      <c r="B189" s="7">
        <v>1</v>
      </c>
      <c r="C189" s="7">
        <v>0</v>
      </c>
      <c r="D189" s="7">
        <v>0</v>
      </c>
      <c r="E189" s="7">
        <v>0</v>
      </c>
      <c r="F189" s="7">
        <v>0</v>
      </c>
      <c r="G189" s="7">
        <v>0</v>
      </c>
      <c r="H189" s="8" t="s">
        <v>15</v>
      </c>
      <c r="I189" s="8" t="s">
        <v>83</v>
      </c>
      <c r="J189" s="8" t="s">
        <v>356</v>
      </c>
      <c r="K189" s="8" t="s">
        <v>15</v>
      </c>
      <c r="L189" s="8" t="s">
        <v>70</v>
      </c>
      <c r="M189" s="8">
        <v>3</v>
      </c>
      <c r="N189" s="8" t="s">
        <v>59</v>
      </c>
      <c r="O189" s="8" t="s">
        <v>63</v>
      </c>
      <c r="P189" s="8">
        <v>0</v>
      </c>
      <c r="Q189" s="8">
        <v>1</v>
      </c>
      <c r="R189" s="8">
        <v>1</v>
      </c>
      <c r="S189" s="8">
        <v>1</v>
      </c>
      <c r="T189" s="8">
        <v>1</v>
      </c>
      <c r="U189" s="8">
        <v>1</v>
      </c>
      <c r="V189" s="8">
        <v>1</v>
      </c>
      <c r="W189" s="8">
        <v>1</v>
      </c>
      <c r="X189" s="8">
        <v>1</v>
      </c>
      <c r="Y189" s="8">
        <v>0</v>
      </c>
      <c r="Z189" s="8" t="s">
        <v>25</v>
      </c>
      <c r="AA189" s="8" t="s">
        <v>34</v>
      </c>
      <c r="AB189" s="8" t="s">
        <v>24</v>
      </c>
      <c r="AC189" s="8" t="s">
        <v>25</v>
      </c>
    </row>
    <row r="190" spans="1:29" x14ac:dyDescent="0.3">
      <c r="A190" s="5">
        <v>189</v>
      </c>
      <c r="B190" s="5">
        <v>0</v>
      </c>
      <c r="C190" s="5">
        <v>1</v>
      </c>
      <c r="D190" s="5">
        <v>0</v>
      </c>
      <c r="E190" s="5">
        <v>0</v>
      </c>
      <c r="F190" s="5">
        <v>0</v>
      </c>
      <c r="G190" s="5">
        <v>1</v>
      </c>
      <c r="H190" s="6" t="s">
        <v>15</v>
      </c>
      <c r="I190" s="6" t="s">
        <v>43</v>
      </c>
      <c r="J190" s="6" t="s">
        <v>356</v>
      </c>
      <c r="K190" s="6" t="s">
        <v>15</v>
      </c>
      <c r="L190" s="6" t="s">
        <v>51</v>
      </c>
      <c r="M190" s="6">
        <v>4</v>
      </c>
      <c r="N190" s="6" t="s">
        <v>45</v>
      </c>
      <c r="O190" s="6" t="s">
        <v>63</v>
      </c>
      <c r="P190" s="6">
        <v>1</v>
      </c>
      <c r="Q190" s="6">
        <v>0</v>
      </c>
      <c r="R190" s="6">
        <v>0</v>
      </c>
      <c r="S190" s="6">
        <v>0</v>
      </c>
      <c r="T190" s="6">
        <v>0</v>
      </c>
      <c r="U190" s="6">
        <v>1</v>
      </c>
      <c r="V190" s="6">
        <v>1</v>
      </c>
      <c r="W190" s="6">
        <v>1</v>
      </c>
      <c r="X190" s="6">
        <v>0</v>
      </c>
      <c r="Y190" s="6">
        <v>0</v>
      </c>
      <c r="Z190" s="6" t="s">
        <v>21</v>
      </c>
      <c r="AA190" s="6" t="s">
        <v>23</v>
      </c>
      <c r="AB190" s="6" t="s">
        <v>24</v>
      </c>
      <c r="AC190" s="6" t="s">
        <v>48</v>
      </c>
    </row>
    <row r="191" spans="1:29" x14ac:dyDescent="0.3">
      <c r="A191" s="7">
        <v>190</v>
      </c>
      <c r="B191" s="7">
        <v>0</v>
      </c>
      <c r="C191" s="7">
        <v>0</v>
      </c>
      <c r="D191" s="7">
        <v>0</v>
      </c>
      <c r="E191" s="7">
        <v>0</v>
      </c>
      <c r="F191" s="7">
        <v>0</v>
      </c>
      <c r="G191" s="7">
        <v>1</v>
      </c>
      <c r="H191" s="8" t="s">
        <v>27</v>
      </c>
      <c r="I191" s="8" t="s">
        <v>352</v>
      </c>
      <c r="J191" s="8" t="s">
        <v>29</v>
      </c>
      <c r="K191" s="8" t="s">
        <v>49</v>
      </c>
      <c r="L191" s="8" t="s">
        <v>51</v>
      </c>
      <c r="M191" s="8">
        <v>3</v>
      </c>
      <c r="N191" s="8" t="s">
        <v>84</v>
      </c>
      <c r="O191" s="8" t="s">
        <v>63</v>
      </c>
      <c r="P191" s="8">
        <v>0</v>
      </c>
      <c r="Q191" s="8">
        <v>0</v>
      </c>
      <c r="R191" s="8">
        <v>1</v>
      </c>
      <c r="S191" s="8">
        <v>0</v>
      </c>
      <c r="T191" s="8">
        <v>0</v>
      </c>
      <c r="U191" s="8">
        <v>0</v>
      </c>
      <c r="V191" s="8">
        <v>0</v>
      </c>
      <c r="W191" s="8">
        <v>0</v>
      </c>
      <c r="X191" s="8">
        <v>0</v>
      </c>
      <c r="Y191" s="8">
        <v>0</v>
      </c>
      <c r="Z191" s="8" t="s">
        <v>25</v>
      </c>
      <c r="AA191" s="8" t="s">
        <v>34</v>
      </c>
      <c r="AB191" s="8" t="s">
        <v>136</v>
      </c>
      <c r="AC191" s="8" t="s">
        <v>82</v>
      </c>
    </row>
    <row r="192" spans="1:29" x14ac:dyDescent="0.3">
      <c r="A192" s="5">
        <v>191</v>
      </c>
      <c r="B192" s="5">
        <v>0</v>
      </c>
      <c r="C192" s="5">
        <v>1</v>
      </c>
      <c r="D192" s="5">
        <v>0</v>
      </c>
      <c r="E192" s="5">
        <v>0</v>
      </c>
      <c r="F192" s="5">
        <v>0</v>
      </c>
      <c r="G192" s="5">
        <v>0</v>
      </c>
      <c r="H192" s="6" t="s">
        <v>27</v>
      </c>
      <c r="I192" s="6" t="s">
        <v>43</v>
      </c>
      <c r="J192" s="6" t="s">
        <v>356</v>
      </c>
      <c r="K192" s="6" t="s">
        <v>49</v>
      </c>
      <c r="L192" s="6" t="s">
        <v>51</v>
      </c>
      <c r="M192" s="6">
        <v>5</v>
      </c>
      <c r="N192" s="6" t="s">
        <v>45</v>
      </c>
      <c r="O192" s="6" t="s">
        <v>52</v>
      </c>
      <c r="P192" s="6">
        <v>0</v>
      </c>
      <c r="Q192" s="6">
        <v>0</v>
      </c>
      <c r="R192" s="6">
        <v>0</v>
      </c>
      <c r="S192" s="6">
        <v>1</v>
      </c>
      <c r="T192" s="6">
        <v>0</v>
      </c>
      <c r="U192" s="6">
        <v>0</v>
      </c>
      <c r="V192" s="6">
        <v>0</v>
      </c>
      <c r="W192" s="6">
        <v>0</v>
      </c>
      <c r="X192" s="6">
        <v>0</v>
      </c>
      <c r="Y192" s="6">
        <v>0</v>
      </c>
      <c r="Z192" s="6" t="s">
        <v>25</v>
      </c>
      <c r="AA192" s="6" t="s">
        <v>34</v>
      </c>
      <c r="AB192" s="6" t="s">
        <v>113</v>
      </c>
      <c r="AC192" s="6" t="s">
        <v>48</v>
      </c>
    </row>
    <row r="193" spans="1:29" x14ac:dyDescent="0.3">
      <c r="A193" s="7">
        <v>192</v>
      </c>
      <c r="B193" s="7">
        <v>0</v>
      </c>
      <c r="C193" s="7">
        <v>1</v>
      </c>
      <c r="D193" s="7">
        <v>0</v>
      </c>
      <c r="E193" s="7">
        <v>0</v>
      </c>
      <c r="F193" s="7">
        <v>0</v>
      </c>
      <c r="G193" s="7">
        <v>1</v>
      </c>
      <c r="H193" s="8" t="s">
        <v>27</v>
      </c>
      <c r="I193" s="8" t="s">
        <v>43</v>
      </c>
      <c r="J193" s="8" t="s">
        <v>50</v>
      </c>
      <c r="K193" s="8" t="s">
        <v>49</v>
      </c>
      <c r="L193" s="8" t="s">
        <v>58</v>
      </c>
      <c r="M193" s="8">
        <v>4</v>
      </c>
      <c r="N193" s="8" t="s">
        <v>59</v>
      </c>
      <c r="O193" s="8" t="s">
        <v>46</v>
      </c>
      <c r="P193" s="8">
        <v>0</v>
      </c>
      <c r="Q193" s="8">
        <v>0</v>
      </c>
      <c r="R193" s="8">
        <v>1</v>
      </c>
      <c r="S193" s="8">
        <v>1</v>
      </c>
      <c r="T193" s="8">
        <v>0</v>
      </c>
      <c r="U193" s="8">
        <v>0</v>
      </c>
      <c r="V193" s="8">
        <v>0</v>
      </c>
      <c r="W193" s="8">
        <v>0</v>
      </c>
      <c r="X193" s="8">
        <v>0</v>
      </c>
      <c r="Y193" s="8">
        <v>0</v>
      </c>
      <c r="Z193" s="8" t="s">
        <v>21</v>
      </c>
      <c r="AA193" s="8" t="s">
        <v>23</v>
      </c>
      <c r="AB193" s="8" t="s">
        <v>24</v>
      </c>
      <c r="AC193" s="8" t="s">
        <v>48</v>
      </c>
    </row>
    <row r="194" spans="1:29" x14ac:dyDescent="0.3">
      <c r="A194" s="5">
        <v>193</v>
      </c>
      <c r="B194" s="5">
        <v>0</v>
      </c>
      <c r="C194" s="5">
        <v>1</v>
      </c>
      <c r="D194" s="5">
        <v>0</v>
      </c>
      <c r="E194" s="5">
        <v>0</v>
      </c>
      <c r="F194" s="5">
        <v>0</v>
      </c>
      <c r="G194" s="5">
        <v>1</v>
      </c>
      <c r="H194" s="6" t="s">
        <v>15</v>
      </c>
      <c r="I194" s="6" t="s">
        <v>43</v>
      </c>
      <c r="J194" s="6" t="s">
        <v>29</v>
      </c>
      <c r="K194" s="6" t="s">
        <v>30</v>
      </c>
      <c r="L194" s="6" t="s">
        <v>44</v>
      </c>
      <c r="M194" s="6">
        <v>5</v>
      </c>
      <c r="N194" s="6" t="s">
        <v>45</v>
      </c>
      <c r="O194" s="6" t="s">
        <v>46</v>
      </c>
      <c r="P194" s="6">
        <v>1</v>
      </c>
      <c r="Q194" s="6">
        <v>1</v>
      </c>
      <c r="R194" s="6">
        <v>1</v>
      </c>
      <c r="S194" s="6">
        <v>0</v>
      </c>
      <c r="T194" s="6">
        <v>0</v>
      </c>
      <c r="U194" s="6">
        <v>0</v>
      </c>
      <c r="V194" s="6">
        <v>0</v>
      </c>
      <c r="W194" s="6">
        <v>0</v>
      </c>
      <c r="X194" s="6">
        <v>0</v>
      </c>
      <c r="Y194" s="6">
        <v>0</v>
      </c>
      <c r="Z194" s="6" t="s">
        <v>21</v>
      </c>
      <c r="AA194" s="6" t="s">
        <v>40</v>
      </c>
      <c r="AB194" s="6" t="s">
        <v>24</v>
      </c>
      <c r="AC194" s="6" t="s">
        <v>48</v>
      </c>
    </row>
    <row r="195" spans="1:29" x14ac:dyDescent="0.3">
      <c r="A195" s="7">
        <v>194</v>
      </c>
      <c r="B195" s="7">
        <v>0</v>
      </c>
      <c r="C195" s="7">
        <v>1</v>
      </c>
      <c r="D195" s="7">
        <v>0</v>
      </c>
      <c r="E195" s="7">
        <v>0</v>
      </c>
      <c r="F195" s="7">
        <v>0</v>
      </c>
      <c r="G195" s="7">
        <v>0</v>
      </c>
      <c r="H195" s="8" t="s">
        <v>15</v>
      </c>
      <c r="I195" s="8" t="s">
        <v>43</v>
      </c>
      <c r="J195" s="8" t="s">
        <v>50</v>
      </c>
      <c r="K195" s="8" t="s">
        <v>49</v>
      </c>
      <c r="L195" s="8" t="s">
        <v>70</v>
      </c>
      <c r="M195" s="8">
        <v>5</v>
      </c>
      <c r="N195" s="8" t="s">
        <v>45</v>
      </c>
      <c r="O195" s="8" t="s">
        <v>52</v>
      </c>
      <c r="P195" s="8">
        <v>0</v>
      </c>
      <c r="Q195" s="8">
        <v>1</v>
      </c>
      <c r="R195" s="8">
        <v>1</v>
      </c>
      <c r="S195" s="8">
        <v>0</v>
      </c>
      <c r="T195" s="8">
        <v>1</v>
      </c>
      <c r="U195" s="8">
        <v>0</v>
      </c>
      <c r="V195" s="8">
        <v>1</v>
      </c>
      <c r="W195" s="8">
        <v>1</v>
      </c>
      <c r="X195" s="8">
        <v>0</v>
      </c>
      <c r="Y195" s="8">
        <v>0</v>
      </c>
      <c r="Z195" s="8" t="s">
        <v>21</v>
      </c>
      <c r="AA195" s="8" t="s">
        <v>40</v>
      </c>
      <c r="AB195" s="8" t="s">
        <v>24</v>
      </c>
      <c r="AC195" s="8" t="s">
        <v>82</v>
      </c>
    </row>
    <row r="196" spans="1:29" x14ac:dyDescent="0.3">
      <c r="A196" s="5">
        <v>195</v>
      </c>
      <c r="B196" s="5">
        <v>0</v>
      </c>
      <c r="C196" s="5">
        <v>1</v>
      </c>
      <c r="D196" s="5">
        <v>0</v>
      </c>
      <c r="E196" s="5">
        <v>0</v>
      </c>
      <c r="F196" s="5">
        <v>0</v>
      </c>
      <c r="G196" s="5">
        <v>1</v>
      </c>
      <c r="H196" s="6" t="s">
        <v>15</v>
      </c>
      <c r="I196" s="6" t="s">
        <v>43</v>
      </c>
      <c r="J196" s="6" t="s">
        <v>37</v>
      </c>
      <c r="K196" s="6" t="s">
        <v>49</v>
      </c>
      <c r="L196" s="6" t="s">
        <v>44</v>
      </c>
      <c r="M196" s="6">
        <v>5</v>
      </c>
      <c r="N196" s="6" t="s">
        <v>45</v>
      </c>
      <c r="O196" s="6" t="s">
        <v>63</v>
      </c>
      <c r="P196" s="6">
        <v>1</v>
      </c>
      <c r="Q196" s="6">
        <v>0</v>
      </c>
      <c r="R196" s="6">
        <v>0</v>
      </c>
      <c r="S196" s="6">
        <v>0</v>
      </c>
      <c r="T196" s="6">
        <v>1</v>
      </c>
      <c r="U196" s="6">
        <v>1</v>
      </c>
      <c r="V196" s="6">
        <v>1</v>
      </c>
      <c r="W196" s="6">
        <v>1</v>
      </c>
      <c r="X196" s="6">
        <v>1</v>
      </c>
      <c r="Y196" s="6">
        <v>1</v>
      </c>
      <c r="Z196" s="6" t="s">
        <v>21</v>
      </c>
      <c r="AA196" s="6" t="s">
        <v>34</v>
      </c>
      <c r="AB196" s="6" t="s">
        <v>24</v>
      </c>
      <c r="AC196" s="6" t="s">
        <v>82</v>
      </c>
    </row>
    <row r="197" spans="1:29" x14ac:dyDescent="0.3">
      <c r="A197" s="7">
        <v>196</v>
      </c>
      <c r="B197" s="7">
        <v>0</v>
      </c>
      <c r="C197" s="7">
        <v>0</v>
      </c>
      <c r="D197" s="7">
        <v>0</v>
      </c>
      <c r="E197" s="7">
        <v>0</v>
      </c>
      <c r="F197" s="7">
        <v>1</v>
      </c>
      <c r="G197" s="7">
        <v>0</v>
      </c>
      <c r="H197" s="8" t="s">
        <v>49</v>
      </c>
      <c r="I197" s="8" t="s">
        <v>83</v>
      </c>
      <c r="J197" s="8" t="s">
        <v>356</v>
      </c>
      <c r="K197" s="8" t="s">
        <v>49</v>
      </c>
      <c r="L197" s="8" t="s">
        <v>58</v>
      </c>
      <c r="M197" s="8">
        <v>2</v>
      </c>
      <c r="N197" s="8" t="s">
        <v>45</v>
      </c>
      <c r="O197" s="8" t="s">
        <v>46</v>
      </c>
      <c r="P197" s="8">
        <v>1</v>
      </c>
      <c r="Q197" s="8">
        <v>0</v>
      </c>
      <c r="R197" s="8">
        <v>0</v>
      </c>
      <c r="S197" s="8">
        <v>0</v>
      </c>
      <c r="T197" s="8">
        <v>0</v>
      </c>
      <c r="U197" s="8">
        <v>0</v>
      </c>
      <c r="V197" s="8">
        <v>0</v>
      </c>
      <c r="W197" s="8">
        <v>0</v>
      </c>
      <c r="X197" s="8">
        <v>0</v>
      </c>
      <c r="Y197" s="8">
        <v>0</v>
      </c>
      <c r="Z197" s="8" t="s">
        <v>21</v>
      </c>
      <c r="AA197" s="8" t="s">
        <v>23</v>
      </c>
      <c r="AB197" s="8" t="s">
        <v>24</v>
      </c>
      <c r="AC197" s="8" t="s">
        <v>21</v>
      </c>
    </row>
    <row r="198" spans="1:29" x14ac:dyDescent="0.3">
      <c r="A198" s="5">
        <v>197</v>
      </c>
      <c r="B198" s="5">
        <v>0</v>
      </c>
      <c r="C198" s="5">
        <v>1</v>
      </c>
      <c r="D198" s="5">
        <v>0</v>
      </c>
      <c r="E198" s="5">
        <v>0</v>
      </c>
      <c r="F198" s="5">
        <v>1</v>
      </c>
      <c r="G198" s="5">
        <v>0</v>
      </c>
      <c r="H198" s="6" t="s">
        <v>42</v>
      </c>
      <c r="I198" s="6" t="s">
        <v>43</v>
      </c>
      <c r="J198" s="6" t="s">
        <v>17</v>
      </c>
      <c r="K198" s="6" t="s">
        <v>30</v>
      </c>
      <c r="L198" s="6" t="s">
        <v>44</v>
      </c>
      <c r="M198" s="6">
        <v>1</v>
      </c>
      <c r="N198" s="6" t="s">
        <v>45</v>
      </c>
      <c r="O198" s="6" t="s">
        <v>46</v>
      </c>
      <c r="P198" s="6">
        <v>1</v>
      </c>
      <c r="Q198" s="6">
        <v>1</v>
      </c>
      <c r="R198" s="6">
        <v>0</v>
      </c>
      <c r="S198" s="6">
        <v>1</v>
      </c>
      <c r="T198" s="6">
        <v>1</v>
      </c>
      <c r="U198" s="6">
        <v>0</v>
      </c>
      <c r="V198" s="6">
        <v>0</v>
      </c>
      <c r="W198" s="6">
        <v>0</v>
      </c>
      <c r="X198" s="6">
        <v>1</v>
      </c>
      <c r="Y198" s="6">
        <v>0</v>
      </c>
      <c r="Z198" s="6" t="s">
        <v>21</v>
      </c>
      <c r="AA198" s="6" t="s">
        <v>23</v>
      </c>
      <c r="AB198" s="6" t="s">
        <v>24</v>
      </c>
      <c r="AC198" s="6" t="s">
        <v>21</v>
      </c>
    </row>
    <row r="199" spans="1:29" x14ac:dyDescent="0.3">
      <c r="A199" s="7">
        <v>198</v>
      </c>
      <c r="B199" s="7">
        <v>1</v>
      </c>
      <c r="C199" s="7">
        <v>0</v>
      </c>
      <c r="D199" s="7">
        <v>0</v>
      </c>
      <c r="E199" s="7">
        <v>0</v>
      </c>
      <c r="F199" s="7">
        <v>1</v>
      </c>
      <c r="G199" s="7">
        <v>1</v>
      </c>
      <c r="H199" s="8" t="s">
        <v>15</v>
      </c>
      <c r="I199" s="8" t="s">
        <v>43</v>
      </c>
      <c r="J199" s="8" t="s">
        <v>17</v>
      </c>
      <c r="K199" s="8" t="s">
        <v>15</v>
      </c>
      <c r="L199" s="8" t="s">
        <v>58</v>
      </c>
      <c r="M199" s="8">
        <v>5</v>
      </c>
      <c r="N199" s="8" t="s">
        <v>45</v>
      </c>
      <c r="O199" s="8" t="s">
        <v>46</v>
      </c>
      <c r="P199" s="8">
        <v>1</v>
      </c>
      <c r="Q199" s="8">
        <v>1</v>
      </c>
      <c r="R199" s="8">
        <v>1</v>
      </c>
      <c r="S199" s="8">
        <v>1</v>
      </c>
      <c r="T199" s="8">
        <v>1</v>
      </c>
      <c r="U199" s="8">
        <v>1</v>
      </c>
      <c r="V199" s="8">
        <v>1</v>
      </c>
      <c r="W199" s="8">
        <v>1</v>
      </c>
      <c r="X199" s="8">
        <v>1</v>
      </c>
      <c r="Y199" s="8">
        <v>1</v>
      </c>
      <c r="Z199" s="8" t="s">
        <v>21</v>
      </c>
      <c r="AA199" s="8" t="s">
        <v>23</v>
      </c>
      <c r="AB199" s="8" t="s">
        <v>24</v>
      </c>
      <c r="AC199" s="8" t="s">
        <v>21</v>
      </c>
    </row>
    <row r="200" spans="1:29" x14ac:dyDescent="0.3">
      <c r="A200" s="5">
        <v>199</v>
      </c>
      <c r="B200" s="5">
        <v>0</v>
      </c>
      <c r="C200" s="5">
        <v>1</v>
      </c>
      <c r="D200" s="5">
        <v>0</v>
      </c>
      <c r="E200" s="5">
        <v>0</v>
      </c>
      <c r="F200" s="5">
        <v>0</v>
      </c>
      <c r="G200" s="5">
        <v>0</v>
      </c>
      <c r="H200" s="6" t="s">
        <v>15</v>
      </c>
      <c r="I200" s="6" t="s">
        <v>43</v>
      </c>
      <c r="J200" s="6" t="s">
        <v>29</v>
      </c>
      <c r="K200" s="6" t="s">
        <v>30</v>
      </c>
      <c r="L200" s="6" t="s">
        <v>51</v>
      </c>
      <c r="M200" s="6">
        <v>4</v>
      </c>
      <c r="N200" s="6" t="s">
        <v>45</v>
      </c>
      <c r="O200" s="6" t="s">
        <v>63</v>
      </c>
      <c r="P200" s="6">
        <v>1</v>
      </c>
      <c r="Q200" s="6">
        <v>1</v>
      </c>
      <c r="R200" s="6">
        <v>0</v>
      </c>
      <c r="S200" s="6">
        <v>1</v>
      </c>
      <c r="T200" s="6">
        <v>0</v>
      </c>
      <c r="U200" s="6">
        <v>1</v>
      </c>
      <c r="V200" s="6">
        <v>0</v>
      </c>
      <c r="W200" s="6">
        <v>0</v>
      </c>
      <c r="X200" s="6">
        <v>1</v>
      </c>
      <c r="Y200" s="6">
        <v>0</v>
      </c>
      <c r="Z200" s="6" t="s">
        <v>21</v>
      </c>
      <c r="AA200" s="6" t="s">
        <v>23</v>
      </c>
      <c r="AB200" s="6" t="s">
        <v>113</v>
      </c>
      <c r="AC200" s="6" t="s">
        <v>21</v>
      </c>
    </row>
    <row r="201" spans="1:29" x14ac:dyDescent="0.3">
      <c r="A201" s="7">
        <v>200</v>
      </c>
      <c r="B201" s="7">
        <v>1</v>
      </c>
      <c r="C201" s="7">
        <v>1</v>
      </c>
      <c r="D201" s="7">
        <v>0</v>
      </c>
      <c r="E201" s="7">
        <v>0</v>
      </c>
      <c r="F201" s="7">
        <v>0</v>
      </c>
      <c r="G201" s="7">
        <v>0</v>
      </c>
      <c r="H201" s="8" t="s">
        <v>15</v>
      </c>
      <c r="I201" s="8" t="s">
        <v>83</v>
      </c>
      <c r="J201" s="8" t="s">
        <v>50</v>
      </c>
      <c r="K201" s="8" t="s">
        <v>49</v>
      </c>
      <c r="L201" s="8" t="s">
        <v>58</v>
      </c>
      <c r="M201" s="8">
        <v>4</v>
      </c>
      <c r="N201" s="8" t="s">
        <v>45</v>
      </c>
      <c r="O201" s="8" t="s">
        <v>52</v>
      </c>
      <c r="P201" s="8">
        <v>1</v>
      </c>
      <c r="Q201" s="8">
        <v>0</v>
      </c>
      <c r="R201" s="8">
        <v>1</v>
      </c>
      <c r="S201" s="8">
        <v>1</v>
      </c>
      <c r="T201" s="8">
        <v>0</v>
      </c>
      <c r="U201" s="8">
        <v>0</v>
      </c>
      <c r="V201" s="8">
        <v>0</v>
      </c>
      <c r="W201" s="8">
        <v>0</v>
      </c>
      <c r="X201" s="8">
        <v>0</v>
      </c>
      <c r="Y201" s="8">
        <v>0</v>
      </c>
      <c r="Z201" s="8" t="s">
        <v>21</v>
      </c>
      <c r="AA201" s="8" t="s">
        <v>40</v>
      </c>
      <c r="AB201" s="8" t="s">
        <v>88</v>
      </c>
      <c r="AC201" s="8" t="s">
        <v>48</v>
      </c>
    </row>
    <row r="202" spans="1:29" x14ac:dyDescent="0.3">
      <c r="A202" s="5">
        <v>201</v>
      </c>
      <c r="B202" s="5">
        <v>0</v>
      </c>
      <c r="C202" s="5">
        <v>0</v>
      </c>
      <c r="D202" s="5">
        <v>0</v>
      </c>
      <c r="E202" s="5">
        <v>0</v>
      </c>
      <c r="F202" s="5">
        <v>1</v>
      </c>
      <c r="G202" s="5">
        <v>1</v>
      </c>
      <c r="H202" s="6" t="s">
        <v>42</v>
      </c>
      <c r="I202" s="6" t="s">
        <v>36</v>
      </c>
      <c r="J202" s="6" t="s">
        <v>37</v>
      </c>
      <c r="K202" s="6" t="s">
        <v>18</v>
      </c>
      <c r="L202" s="6" t="s">
        <v>51</v>
      </c>
      <c r="M202" s="6">
        <v>5</v>
      </c>
      <c r="N202" s="6" t="s">
        <v>45</v>
      </c>
      <c r="O202" s="6" t="s">
        <v>46</v>
      </c>
      <c r="P202" s="6">
        <v>1</v>
      </c>
      <c r="Q202" s="6">
        <v>0</v>
      </c>
      <c r="R202" s="6">
        <v>1</v>
      </c>
      <c r="S202" s="6">
        <v>0</v>
      </c>
      <c r="T202" s="6">
        <v>0</v>
      </c>
      <c r="U202" s="6">
        <v>0</v>
      </c>
      <c r="V202" s="6">
        <v>0</v>
      </c>
      <c r="W202" s="6">
        <v>0</v>
      </c>
      <c r="X202" s="6">
        <v>0</v>
      </c>
      <c r="Y202" s="6">
        <v>0</v>
      </c>
      <c r="Z202" s="6" t="s">
        <v>21</v>
      </c>
      <c r="AA202" s="6" t="s">
        <v>34</v>
      </c>
      <c r="AB202" s="6" t="s">
        <v>24</v>
      </c>
      <c r="AC202" s="6" t="s">
        <v>25</v>
      </c>
    </row>
    <row r="203" spans="1:29" x14ac:dyDescent="0.3">
      <c r="A203" s="7">
        <v>202</v>
      </c>
      <c r="B203" s="7">
        <v>1</v>
      </c>
      <c r="C203" s="7">
        <v>0</v>
      </c>
      <c r="D203" s="7">
        <v>0</v>
      </c>
      <c r="E203" s="7">
        <v>0</v>
      </c>
      <c r="F203" s="7">
        <v>0</v>
      </c>
      <c r="G203" s="7">
        <v>0</v>
      </c>
      <c r="H203" s="8" t="s">
        <v>15</v>
      </c>
      <c r="I203" s="8" t="s">
        <v>83</v>
      </c>
      <c r="J203" s="8" t="s">
        <v>17</v>
      </c>
      <c r="K203" s="8" t="s">
        <v>15</v>
      </c>
      <c r="L203" s="8" t="s">
        <v>44</v>
      </c>
      <c r="M203" s="8">
        <v>5</v>
      </c>
      <c r="N203" s="8" t="s">
        <v>84</v>
      </c>
      <c r="O203" s="8" t="s">
        <v>46</v>
      </c>
      <c r="P203" s="8">
        <v>1</v>
      </c>
      <c r="Q203" s="8">
        <v>0</v>
      </c>
      <c r="R203" s="8">
        <v>1</v>
      </c>
      <c r="S203" s="8">
        <v>1</v>
      </c>
      <c r="T203" s="8">
        <v>1</v>
      </c>
      <c r="U203" s="8">
        <v>1</v>
      </c>
      <c r="V203" s="8">
        <v>1</v>
      </c>
      <c r="W203" s="8">
        <v>1</v>
      </c>
      <c r="X203" s="8">
        <v>1</v>
      </c>
      <c r="Y203" s="8">
        <v>0</v>
      </c>
      <c r="Z203" s="8" t="s">
        <v>21</v>
      </c>
      <c r="AA203" s="8" t="s">
        <v>23</v>
      </c>
      <c r="AB203" s="8" t="s">
        <v>88</v>
      </c>
      <c r="AC203" s="8" t="s">
        <v>48</v>
      </c>
    </row>
    <row r="204" spans="1:29" x14ac:dyDescent="0.3">
      <c r="A204" s="5">
        <v>203</v>
      </c>
      <c r="B204" s="5">
        <v>1</v>
      </c>
      <c r="C204" s="5">
        <v>1</v>
      </c>
      <c r="D204" s="5">
        <v>0</v>
      </c>
      <c r="E204" s="5">
        <v>0</v>
      </c>
      <c r="F204" s="5">
        <v>0</v>
      </c>
      <c r="G204" s="5">
        <v>1</v>
      </c>
      <c r="H204" s="6" t="s">
        <v>27</v>
      </c>
      <c r="I204" s="6" t="s">
        <v>83</v>
      </c>
      <c r="J204" s="6" t="s">
        <v>17</v>
      </c>
      <c r="K204" s="6" t="s">
        <v>18</v>
      </c>
      <c r="L204" s="6" t="s">
        <v>58</v>
      </c>
      <c r="M204" s="6">
        <v>2</v>
      </c>
      <c r="N204" s="6" t="s">
        <v>45</v>
      </c>
      <c r="O204" s="6" t="s">
        <v>52</v>
      </c>
      <c r="P204" s="6">
        <v>0</v>
      </c>
      <c r="Q204" s="6">
        <v>1</v>
      </c>
      <c r="R204" s="6">
        <v>0</v>
      </c>
      <c r="S204" s="6">
        <v>1</v>
      </c>
      <c r="T204" s="6">
        <v>0</v>
      </c>
      <c r="U204" s="6">
        <v>1</v>
      </c>
      <c r="V204" s="6">
        <v>0</v>
      </c>
      <c r="W204" s="6">
        <v>1</v>
      </c>
      <c r="X204" s="6">
        <v>0</v>
      </c>
      <c r="Y204" s="6">
        <v>0</v>
      </c>
      <c r="Z204" s="6" t="s">
        <v>21</v>
      </c>
      <c r="AA204" s="6" t="s">
        <v>34</v>
      </c>
      <c r="AB204" s="6" t="s">
        <v>24</v>
      </c>
      <c r="AC204" s="6" t="s">
        <v>25</v>
      </c>
    </row>
    <row r="205" spans="1:29" x14ac:dyDescent="0.3">
      <c r="A205" s="7">
        <v>204</v>
      </c>
      <c r="B205" s="7">
        <v>0</v>
      </c>
      <c r="C205" s="7">
        <v>1</v>
      </c>
      <c r="D205" s="7">
        <v>0</v>
      </c>
      <c r="E205" s="7">
        <v>0</v>
      </c>
      <c r="F205" s="7">
        <v>1</v>
      </c>
      <c r="G205" s="7">
        <v>1</v>
      </c>
      <c r="H205" s="8" t="s">
        <v>15</v>
      </c>
      <c r="I205" s="8" t="s">
        <v>43</v>
      </c>
      <c r="J205" s="8" t="s">
        <v>356</v>
      </c>
      <c r="K205" s="8" t="s">
        <v>15</v>
      </c>
      <c r="L205" s="8" t="s">
        <v>58</v>
      </c>
      <c r="M205" s="8">
        <v>5</v>
      </c>
      <c r="N205" s="8" t="s">
        <v>45</v>
      </c>
      <c r="O205" s="8" t="s">
        <v>46</v>
      </c>
      <c r="P205" s="8">
        <v>1</v>
      </c>
      <c r="Q205" s="8">
        <v>1</v>
      </c>
      <c r="R205" s="8">
        <v>1</v>
      </c>
      <c r="S205" s="8">
        <v>0</v>
      </c>
      <c r="T205" s="8">
        <v>0</v>
      </c>
      <c r="U205" s="8">
        <v>0</v>
      </c>
      <c r="V205" s="8">
        <v>0</v>
      </c>
      <c r="W205" s="8">
        <v>1</v>
      </c>
      <c r="X205" s="8">
        <v>0</v>
      </c>
      <c r="Y205" s="8">
        <v>0</v>
      </c>
      <c r="Z205" s="8" t="s">
        <v>21</v>
      </c>
      <c r="AA205" s="8" t="s">
        <v>34</v>
      </c>
      <c r="AB205" s="8" t="s">
        <v>24</v>
      </c>
      <c r="AC205" s="8" t="s">
        <v>21</v>
      </c>
    </row>
    <row r="206" spans="1:29" x14ac:dyDescent="0.3">
      <c r="A206" s="5">
        <v>205</v>
      </c>
      <c r="B206" s="5">
        <v>0</v>
      </c>
      <c r="C206" s="5">
        <v>0</v>
      </c>
      <c r="D206" s="5">
        <v>0</v>
      </c>
      <c r="E206" s="5">
        <v>0</v>
      </c>
      <c r="F206" s="5">
        <v>1</v>
      </c>
      <c r="G206" s="5">
        <v>0</v>
      </c>
      <c r="H206" s="6" t="s">
        <v>15</v>
      </c>
      <c r="I206" s="6" t="s">
        <v>83</v>
      </c>
      <c r="J206" s="6" t="s">
        <v>29</v>
      </c>
      <c r="K206" s="6" t="s">
        <v>15</v>
      </c>
      <c r="L206" s="6" t="s">
        <v>44</v>
      </c>
      <c r="M206" s="6">
        <v>4</v>
      </c>
      <c r="N206" s="6" t="s">
        <v>59</v>
      </c>
      <c r="O206" s="6" t="s">
        <v>46</v>
      </c>
      <c r="P206" s="6">
        <v>1</v>
      </c>
      <c r="Q206" s="6">
        <v>0</v>
      </c>
      <c r="R206" s="6">
        <v>0</v>
      </c>
      <c r="S206" s="6">
        <v>0</v>
      </c>
      <c r="T206" s="6">
        <v>0</v>
      </c>
      <c r="U206" s="6">
        <v>0</v>
      </c>
      <c r="V206" s="6">
        <v>0</v>
      </c>
      <c r="W206" s="6">
        <v>0</v>
      </c>
      <c r="X206" s="6">
        <v>0</v>
      </c>
      <c r="Y206" s="6">
        <v>0</v>
      </c>
      <c r="Z206" s="6" t="s">
        <v>21</v>
      </c>
      <c r="AA206" s="6" t="s">
        <v>23</v>
      </c>
      <c r="AB206" s="6" t="s">
        <v>24</v>
      </c>
      <c r="AC206" s="6" t="s">
        <v>21</v>
      </c>
    </row>
    <row r="207" spans="1:29" x14ac:dyDescent="0.3">
      <c r="A207" s="7">
        <v>206</v>
      </c>
      <c r="B207" s="7">
        <v>0</v>
      </c>
      <c r="C207" s="7">
        <v>0</v>
      </c>
      <c r="D207" s="7">
        <v>1</v>
      </c>
      <c r="E207" s="7">
        <v>0</v>
      </c>
      <c r="F207" s="7">
        <v>0</v>
      </c>
      <c r="G207" s="7">
        <v>0</v>
      </c>
      <c r="H207" s="8" t="s">
        <v>15</v>
      </c>
      <c r="I207" s="8" t="s">
        <v>43</v>
      </c>
      <c r="J207" s="8" t="s">
        <v>356</v>
      </c>
      <c r="K207" s="8" t="s">
        <v>15</v>
      </c>
      <c r="L207" s="8" t="s">
        <v>70</v>
      </c>
      <c r="M207" s="8">
        <v>2</v>
      </c>
      <c r="N207" s="8" t="s">
        <v>45</v>
      </c>
      <c r="O207" s="8" t="s">
        <v>63</v>
      </c>
      <c r="P207" s="8">
        <v>1</v>
      </c>
      <c r="Q207" s="8">
        <v>0</v>
      </c>
      <c r="R207" s="8">
        <v>1</v>
      </c>
      <c r="S207" s="8">
        <v>0</v>
      </c>
      <c r="T207" s="8">
        <v>0</v>
      </c>
      <c r="U207" s="8">
        <v>0</v>
      </c>
      <c r="V207" s="8">
        <v>0</v>
      </c>
      <c r="W207" s="8">
        <v>0</v>
      </c>
      <c r="X207" s="8">
        <v>0</v>
      </c>
      <c r="Y207" s="8">
        <v>0</v>
      </c>
      <c r="Z207" s="8" t="s">
        <v>21</v>
      </c>
      <c r="AA207" s="8" t="s">
        <v>23</v>
      </c>
      <c r="AB207" s="8" t="s">
        <v>136</v>
      </c>
      <c r="AC207" s="8" t="s">
        <v>25</v>
      </c>
    </row>
    <row r="208" spans="1:29" x14ac:dyDescent="0.3">
      <c r="A208" s="5">
        <v>207</v>
      </c>
      <c r="B208" s="5">
        <v>0</v>
      </c>
      <c r="C208" s="5">
        <v>1</v>
      </c>
      <c r="D208" s="5">
        <v>0</v>
      </c>
      <c r="E208" s="5">
        <v>0</v>
      </c>
      <c r="F208" s="5">
        <v>0</v>
      </c>
      <c r="G208" s="5">
        <v>0</v>
      </c>
      <c r="H208" s="6" t="s">
        <v>27</v>
      </c>
      <c r="I208" s="6" t="s">
        <v>83</v>
      </c>
      <c r="J208" s="6" t="s">
        <v>50</v>
      </c>
      <c r="K208" s="6" t="s">
        <v>102</v>
      </c>
      <c r="L208" s="6" t="s">
        <v>51</v>
      </c>
      <c r="M208" s="6">
        <v>1</v>
      </c>
      <c r="N208" s="6" t="s">
        <v>45</v>
      </c>
      <c r="O208" s="6" t="s">
        <v>63</v>
      </c>
      <c r="P208" s="6">
        <v>0</v>
      </c>
      <c r="Q208" s="6">
        <v>1</v>
      </c>
      <c r="R208" s="6">
        <v>0</v>
      </c>
      <c r="S208" s="6">
        <v>0</v>
      </c>
      <c r="T208" s="6">
        <v>0</v>
      </c>
      <c r="U208" s="6">
        <v>0</v>
      </c>
      <c r="V208" s="6">
        <v>0</v>
      </c>
      <c r="W208" s="6">
        <v>0</v>
      </c>
      <c r="X208" s="6">
        <v>0</v>
      </c>
      <c r="Y208" s="6">
        <v>0</v>
      </c>
      <c r="Z208" s="6" t="s">
        <v>21</v>
      </c>
      <c r="AA208" s="6" t="s">
        <v>34</v>
      </c>
      <c r="AB208" s="6" t="s">
        <v>24</v>
      </c>
      <c r="AC208" s="6" t="s">
        <v>48</v>
      </c>
    </row>
    <row r="209" spans="1:29" x14ac:dyDescent="0.3">
      <c r="A209" s="7">
        <v>208</v>
      </c>
      <c r="B209" s="7">
        <v>1</v>
      </c>
      <c r="C209" s="7">
        <v>0</v>
      </c>
      <c r="D209" s="7">
        <v>0</v>
      </c>
      <c r="E209" s="7">
        <v>0</v>
      </c>
      <c r="F209" s="7">
        <v>0</v>
      </c>
      <c r="G209" s="7">
        <v>0</v>
      </c>
      <c r="H209" s="8" t="s">
        <v>15</v>
      </c>
      <c r="I209" s="8" t="s">
        <v>43</v>
      </c>
      <c r="J209" s="8" t="s">
        <v>17</v>
      </c>
      <c r="K209" s="8" t="s">
        <v>30</v>
      </c>
      <c r="L209" s="8" t="s">
        <v>58</v>
      </c>
      <c r="M209" s="8">
        <v>3</v>
      </c>
      <c r="N209" s="8" t="s">
        <v>45</v>
      </c>
      <c r="O209" s="8" t="s">
        <v>63</v>
      </c>
      <c r="P209" s="8">
        <v>0</v>
      </c>
      <c r="Q209" s="8">
        <v>0</v>
      </c>
      <c r="R209" s="8">
        <v>1</v>
      </c>
      <c r="S209" s="8">
        <v>0</v>
      </c>
      <c r="T209" s="8">
        <v>0</v>
      </c>
      <c r="U209" s="8">
        <v>0</v>
      </c>
      <c r="V209" s="8">
        <v>0</v>
      </c>
      <c r="W209" s="8">
        <v>0</v>
      </c>
      <c r="X209" s="8">
        <v>0</v>
      </c>
      <c r="Y209" s="8">
        <v>0</v>
      </c>
      <c r="Z209" s="8" t="s">
        <v>25</v>
      </c>
      <c r="AA209" s="8" t="s">
        <v>23</v>
      </c>
      <c r="AB209" s="8" t="s">
        <v>24</v>
      </c>
      <c r="AC209" s="8" t="s">
        <v>21</v>
      </c>
    </row>
    <row r="210" spans="1:29" x14ac:dyDescent="0.3">
      <c r="A210" s="5">
        <v>209</v>
      </c>
      <c r="B210" s="5">
        <v>0</v>
      </c>
      <c r="C210" s="5">
        <v>0</v>
      </c>
      <c r="D210" s="5">
        <v>0</v>
      </c>
      <c r="E210" s="5">
        <v>1</v>
      </c>
      <c r="F210" s="5">
        <v>0</v>
      </c>
      <c r="G210" s="5">
        <v>0</v>
      </c>
      <c r="H210" s="6" t="s">
        <v>27</v>
      </c>
      <c r="I210" s="6" t="s">
        <v>43</v>
      </c>
      <c r="J210" s="6" t="s">
        <v>50</v>
      </c>
      <c r="K210" s="6" t="s">
        <v>102</v>
      </c>
      <c r="L210" s="6" t="s">
        <v>44</v>
      </c>
      <c r="M210" s="6">
        <v>4</v>
      </c>
      <c r="N210" s="6" t="s">
        <v>45</v>
      </c>
      <c r="O210" s="6" t="s">
        <v>46</v>
      </c>
      <c r="P210" s="6">
        <v>1</v>
      </c>
      <c r="Q210" s="6">
        <v>0</v>
      </c>
      <c r="R210" s="6">
        <v>0</v>
      </c>
      <c r="S210" s="6">
        <v>0</v>
      </c>
      <c r="T210" s="6">
        <v>1</v>
      </c>
      <c r="U210" s="6">
        <v>1</v>
      </c>
      <c r="V210" s="6">
        <v>1</v>
      </c>
      <c r="W210" s="6">
        <v>1</v>
      </c>
      <c r="X210" s="6">
        <v>0</v>
      </c>
      <c r="Y210" s="6">
        <v>0</v>
      </c>
      <c r="Z210" s="6" t="s">
        <v>21</v>
      </c>
      <c r="AA210" s="6" t="s">
        <v>23</v>
      </c>
      <c r="AB210" s="6" t="s">
        <v>24</v>
      </c>
      <c r="AC210" s="6" t="s">
        <v>48</v>
      </c>
    </row>
    <row r="211" spans="1:29" x14ac:dyDescent="0.3">
      <c r="A211" s="7">
        <v>210</v>
      </c>
      <c r="B211" s="7">
        <v>1</v>
      </c>
      <c r="C211" s="7">
        <v>1</v>
      </c>
      <c r="D211" s="7">
        <v>1</v>
      </c>
      <c r="E211" s="7">
        <v>0</v>
      </c>
      <c r="F211" s="7">
        <v>1</v>
      </c>
      <c r="G211" s="7">
        <v>1</v>
      </c>
      <c r="H211" s="8" t="s">
        <v>15</v>
      </c>
      <c r="I211" s="8" t="s">
        <v>43</v>
      </c>
      <c r="J211" s="8" t="s">
        <v>356</v>
      </c>
      <c r="K211" s="8" t="s">
        <v>49</v>
      </c>
      <c r="L211" s="8" t="s">
        <v>70</v>
      </c>
      <c r="M211" s="8">
        <v>1</v>
      </c>
      <c r="N211" s="8" t="s">
        <v>45</v>
      </c>
      <c r="O211" s="8" t="s">
        <v>52</v>
      </c>
      <c r="P211" s="8">
        <v>0</v>
      </c>
      <c r="Q211" s="8">
        <v>0</v>
      </c>
      <c r="R211" s="8">
        <v>0</v>
      </c>
      <c r="S211" s="8">
        <v>0</v>
      </c>
      <c r="T211" s="8">
        <v>0</v>
      </c>
      <c r="U211" s="8">
        <v>0</v>
      </c>
      <c r="V211" s="8">
        <v>0</v>
      </c>
      <c r="W211" s="8">
        <v>1</v>
      </c>
      <c r="X211" s="8">
        <v>1</v>
      </c>
      <c r="Y211" s="8">
        <v>0</v>
      </c>
      <c r="Z211" s="8" t="s">
        <v>25</v>
      </c>
      <c r="AA211" s="8" t="s">
        <v>23</v>
      </c>
      <c r="AB211" s="8" t="s">
        <v>24</v>
      </c>
      <c r="AC211" s="8" t="s">
        <v>82</v>
      </c>
    </row>
    <row r="212" spans="1:29" x14ac:dyDescent="0.3">
      <c r="A212" s="5">
        <v>211</v>
      </c>
      <c r="B212" s="5">
        <v>0</v>
      </c>
      <c r="C212" s="5">
        <v>1</v>
      </c>
      <c r="D212" s="5">
        <v>0</v>
      </c>
      <c r="E212" s="5">
        <v>0</v>
      </c>
      <c r="F212" s="5">
        <v>0</v>
      </c>
      <c r="G212" s="5">
        <v>1</v>
      </c>
      <c r="H212" s="6" t="s">
        <v>49</v>
      </c>
      <c r="I212" s="6" t="s">
        <v>43</v>
      </c>
      <c r="J212" s="6" t="s">
        <v>50</v>
      </c>
      <c r="K212" s="6" t="s">
        <v>30</v>
      </c>
      <c r="L212" s="6" t="s">
        <v>51</v>
      </c>
      <c r="M212" s="6">
        <v>5</v>
      </c>
      <c r="N212" s="6" t="s">
        <v>45</v>
      </c>
      <c r="O212" s="6" t="s">
        <v>46</v>
      </c>
      <c r="P212" s="6">
        <v>1</v>
      </c>
      <c r="Q212" s="6">
        <v>0</v>
      </c>
      <c r="R212" s="6">
        <v>0</v>
      </c>
      <c r="S212" s="6">
        <v>0</v>
      </c>
      <c r="T212" s="6">
        <v>1</v>
      </c>
      <c r="U212" s="6">
        <v>1</v>
      </c>
      <c r="V212" s="6">
        <v>0</v>
      </c>
      <c r="W212" s="6">
        <v>0</v>
      </c>
      <c r="X212" s="6">
        <v>0</v>
      </c>
      <c r="Y212" s="6">
        <v>0</v>
      </c>
      <c r="Z212" s="6" t="s">
        <v>21</v>
      </c>
      <c r="AA212" s="6" t="s">
        <v>23</v>
      </c>
      <c r="AB212" s="6" t="s">
        <v>113</v>
      </c>
      <c r="AC212" s="6" t="s">
        <v>48</v>
      </c>
    </row>
    <row r="213" spans="1:29" x14ac:dyDescent="0.3">
      <c r="A213" s="7">
        <v>212</v>
      </c>
      <c r="B213" s="7">
        <v>0</v>
      </c>
      <c r="C213" s="7">
        <v>1</v>
      </c>
      <c r="D213" s="7">
        <v>0</v>
      </c>
      <c r="E213" s="7">
        <v>0</v>
      </c>
      <c r="F213" s="7">
        <v>0</v>
      </c>
      <c r="G213" s="7">
        <v>0</v>
      </c>
      <c r="H213" s="8" t="s">
        <v>27</v>
      </c>
      <c r="I213" s="8" t="s">
        <v>43</v>
      </c>
      <c r="J213" s="8" t="s">
        <v>29</v>
      </c>
      <c r="K213" s="8" t="s">
        <v>30</v>
      </c>
      <c r="L213" s="8" t="s">
        <v>51</v>
      </c>
      <c r="M213" s="8">
        <v>5</v>
      </c>
      <c r="N213" s="8" t="s">
        <v>45</v>
      </c>
      <c r="O213" s="8" t="s">
        <v>63</v>
      </c>
      <c r="P213" s="8">
        <v>1</v>
      </c>
      <c r="Q213" s="8">
        <v>1</v>
      </c>
      <c r="R213" s="8">
        <v>0</v>
      </c>
      <c r="S213" s="8">
        <v>0</v>
      </c>
      <c r="T213" s="8">
        <v>1</v>
      </c>
      <c r="U213" s="8">
        <v>1</v>
      </c>
      <c r="V213" s="8">
        <v>1</v>
      </c>
      <c r="W213" s="8">
        <v>0</v>
      </c>
      <c r="X213" s="8">
        <v>0</v>
      </c>
      <c r="Y213" s="8">
        <v>1</v>
      </c>
      <c r="Z213" s="8" t="s">
        <v>21</v>
      </c>
      <c r="AA213" s="8" t="s">
        <v>23</v>
      </c>
      <c r="AB213" s="8" t="s">
        <v>113</v>
      </c>
      <c r="AC213" s="8" t="s">
        <v>25</v>
      </c>
    </row>
    <row r="214" spans="1:29" x14ac:dyDescent="0.3">
      <c r="A214" s="5">
        <v>213</v>
      </c>
      <c r="B214" s="5">
        <v>1</v>
      </c>
      <c r="C214" s="5">
        <v>1</v>
      </c>
      <c r="D214" s="5">
        <v>0</v>
      </c>
      <c r="E214" s="5">
        <v>0</v>
      </c>
      <c r="F214" s="5">
        <v>1</v>
      </c>
      <c r="G214" s="5">
        <v>1</v>
      </c>
      <c r="H214" s="6" t="s">
        <v>15</v>
      </c>
      <c r="I214" s="6" t="s">
        <v>83</v>
      </c>
      <c r="J214" s="6" t="s">
        <v>50</v>
      </c>
      <c r="K214" s="6" t="s">
        <v>30</v>
      </c>
      <c r="L214" s="6" t="s">
        <v>44</v>
      </c>
      <c r="M214" s="6">
        <v>5</v>
      </c>
      <c r="N214" s="6" t="s">
        <v>45</v>
      </c>
      <c r="O214" s="6" t="s">
        <v>63</v>
      </c>
      <c r="P214" s="6">
        <v>1</v>
      </c>
      <c r="Q214" s="6">
        <v>1</v>
      </c>
      <c r="R214" s="6">
        <v>1</v>
      </c>
      <c r="S214" s="6">
        <v>0</v>
      </c>
      <c r="T214" s="6">
        <v>1</v>
      </c>
      <c r="U214" s="6">
        <v>0</v>
      </c>
      <c r="V214" s="6">
        <v>1</v>
      </c>
      <c r="W214" s="6">
        <v>0</v>
      </c>
      <c r="X214" s="6">
        <v>0</v>
      </c>
      <c r="Y214" s="6">
        <v>0</v>
      </c>
      <c r="Z214" s="6" t="s">
        <v>21</v>
      </c>
      <c r="AA214" s="6" t="s">
        <v>23</v>
      </c>
      <c r="AB214" s="6" t="s">
        <v>24</v>
      </c>
      <c r="AC214" s="6" t="s">
        <v>25</v>
      </c>
    </row>
    <row r="215" spans="1:29" x14ac:dyDescent="0.3">
      <c r="A215" s="7">
        <v>214</v>
      </c>
      <c r="B215" s="7">
        <v>0</v>
      </c>
      <c r="C215" s="7">
        <v>0</v>
      </c>
      <c r="D215" s="7">
        <v>0</v>
      </c>
      <c r="E215" s="7">
        <v>0</v>
      </c>
      <c r="F215" s="7">
        <v>0</v>
      </c>
      <c r="G215" s="7">
        <v>1</v>
      </c>
      <c r="H215" s="8" t="s">
        <v>27</v>
      </c>
      <c r="I215" s="8" t="s">
        <v>43</v>
      </c>
      <c r="J215" s="8" t="s">
        <v>29</v>
      </c>
      <c r="K215" s="8" t="s">
        <v>49</v>
      </c>
      <c r="L215" s="8" t="s">
        <v>51</v>
      </c>
      <c r="M215" s="8">
        <v>5</v>
      </c>
      <c r="N215" s="8" t="s">
        <v>45</v>
      </c>
      <c r="O215" s="8" t="s">
        <v>63</v>
      </c>
      <c r="P215" s="8">
        <v>1</v>
      </c>
      <c r="Q215" s="8">
        <v>0</v>
      </c>
      <c r="R215" s="8">
        <v>1</v>
      </c>
      <c r="S215" s="8">
        <v>0</v>
      </c>
      <c r="T215" s="8">
        <v>0</v>
      </c>
      <c r="U215" s="8">
        <v>1</v>
      </c>
      <c r="V215" s="8">
        <v>0</v>
      </c>
      <c r="W215" s="8">
        <v>0</v>
      </c>
      <c r="X215" s="8">
        <v>0</v>
      </c>
      <c r="Y215" s="8">
        <v>0</v>
      </c>
      <c r="Z215" s="8" t="s">
        <v>25</v>
      </c>
      <c r="AA215" s="8" t="s">
        <v>34</v>
      </c>
      <c r="AB215" s="8" t="s">
        <v>24</v>
      </c>
      <c r="AC215" s="8" t="s">
        <v>25</v>
      </c>
    </row>
    <row r="216" spans="1:29" x14ac:dyDescent="0.3">
      <c r="A216" s="5">
        <v>215</v>
      </c>
      <c r="B216" s="5">
        <v>1</v>
      </c>
      <c r="C216" s="5">
        <v>0</v>
      </c>
      <c r="D216" s="5">
        <v>0</v>
      </c>
      <c r="E216" s="5">
        <v>0</v>
      </c>
      <c r="F216" s="5">
        <v>0</v>
      </c>
      <c r="G216" s="5">
        <v>0</v>
      </c>
      <c r="H216" s="6" t="s">
        <v>15</v>
      </c>
      <c r="I216" s="6" t="s">
        <v>83</v>
      </c>
      <c r="J216" s="6" t="s">
        <v>356</v>
      </c>
      <c r="K216" s="6" t="s">
        <v>15</v>
      </c>
      <c r="L216" s="6" t="s">
        <v>70</v>
      </c>
      <c r="M216" s="6">
        <v>5</v>
      </c>
      <c r="N216" s="6" t="s">
        <v>59</v>
      </c>
      <c r="O216" s="6" t="s">
        <v>63</v>
      </c>
      <c r="P216" s="6">
        <v>0</v>
      </c>
      <c r="Q216" s="6">
        <v>1</v>
      </c>
      <c r="R216" s="6">
        <v>0</v>
      </c>
      <c r="S216" s="6">
        <v>0</v>
      </c>
      <c r="T216" s="6">
        <v>1</v>
      </c>
      <c r="U216" s="6">
        <v>1</v>
      </c>
      <c r="V216" s="6">
        <v>1</v>
      </c>
      <c r="W216" s="6">
        <v>1</v>
      </c>
      <c r="X216" s="6">
        <v>0</v>
      </c>
      <c r="Y216" s="6">
        <v>0</v>
      </c>
      <c r="Z216" s="6" t="s">
        <v>21</v>
      </c>
      <c r="AA216" s="6" t="s">
        <v>34</v>
      </c>
      <c r="AB216" s="6" t="s">
        <v>24</v>
      </c>
      <c r="AC216" s="6" t="s">
        <v>21</v>
      </c>
    </row>
    <row r="217" spans="1:29" x14ac:dyDescent="0.3">
      <c r="A217" s="7">
        <v>216</v>
      </c>
      <c r="B217" s="7">
        <v>1</v>
      </c>
      <c r="C217" s="7">
        <v>0</v>
      </c>
      <c r="D217" s="7">
        <v>0</v>
      </c>
      <c r="E217" s="7">
        <v>0</v>
      </c>
      <c r="F217" s="7">
        <v>0</v>
      </c>
      <c r="G217" s="7">
        <v>1</v>
      </c>
      <c r="H217" s="8" t="s">
        <v>49</v>
      </c>
      <c r="I217" s="8" t="s">
        <v>43</v>
      </c>
      <c r="J217" s="8" t="s">
        <v>356</v>
      </c>
      <c r="K217" s="8" t="s">
        <v>49</v>
      </c>
      <c r="L217" s="8" t="s">
        <v>58</v>
      </c>
      <c r="M217" s="8">
        <v>5</v>
      </c>
      <c r="N217" s="8" t="s">
        <v>45</v>
      </c>
      <c r="O217" s="8" t="s">
        <v>46</v>
      </c>
      <c r="P217" s="8">
        <v>0</v>
      </c>
      <c r="Q217" s="8">
        <v>0</v>
      </c>
      <c r="R217" s="8">
        <v>1</v>
      </c>
      <c r="S217" s="8">
        <v>1</v>
      </c>
      <c r="T217" s="8">
        <v>0</v>
      </c>
      <c r="U217" s="8">
        <v>0</v>
      </c>
      <c r="V217" s="8">
        <v>0</v>
      </c>
      <c r="W217" s="8">
        <v>1</v>
      </c>
      <c r="X217" s="8">
        <v>0</v>
      </c>
      <c r="Y217" s="8">
        <v>0</v>
      </c>
      <c r="Z217" s="8" t="s">
        <v>21</v>
      </c>
      <c r="AA217" s="8" t="s">
        <v>23</v>
      </c>
      <c r="AB217" s="8" t="s">
        <v>24</v>
      </c>
      <c r="AC217" s="8" t="s">
        <v>48</v>
      </c>
    </row>
    <row r="218" spans="1:29" x14ac:dyDescent="0.3">
      <c r="A218" s="5">
        <v>217</v>
      </c>
      <c r="B218" s="5">
        <v>0</v>
      </c>
      <c r="C218" s="5">
        <v>1</v>
      </c>
      <c r="D218" s="5">
        <v>0</v>
      </c>
      <c r="E218" s="5">
        <v>0</v>
      </c>
      <c r="F218" s="5">
        <v>0</v>
      </c>
      <c r="G218" s="5">
        <v>0</v>
      </c>
      <c r="H218" s="6" t="s">
        <v>42</v>
      </c>
      <c r="I218" s="6" t="s">
        <v>83</v>
      </c>
      <c r="J218" s="6" t="s">
        <v>29</v>
      </c>
      <c r="K218" s="6" t="s">
        <v>15</v>
      </c>
      <c r="L218" s="6" t="s">
        <v>44</v>
      </c>
      <c r="M218" s="6">
        <v>4</v>
      </c>
      <c r="N218" s="6" t="s">
        <v>59</v>
      </c>
      <c r="O218" s="6" t="s">
        <v>63</v>
      </c>
      <c r="P218" s="6">
        <v>0</v>
      </c>
      <c r="Q218" s="6">
        <v>1</v>
      </c>
      <c r="R218" s="6">
        <v>1</v>
      </c>
      <c r="S218" s="6">
        <v>0</v>
      </c>
      <c r="T218" s="6">
        <v>0</v>
      </c>
      <c r="U218" s="6">
        <v>0</v>
      </c>
      <c r="V218" s="6">
        <v>1</v>
      </c>
      <c r="W218" s="6">
        <v>0</v>
      </c>
      <c r="X218" s="6">
        <v>1</v>
      </c>
      <c r="Y218" s="6">
        <v>0</v>
      </c>
      <c r="Z218" s="6" t="s">
        <v>25</v>
      </c>
      <c r="AA218" s="6" t="s">
        <v>23</v>
      </c>
      <c r="AB218" s="6" t="s">
        <v>24</v>
      </c>
      <c r="AC218" s="6" t="s">
        <v>25</v>
      </c>
    </row>
    <row r="219" spans="1:29" x14ac:dyDescent="0.3">
      <c r="A219" s="7">
        <v>218</v>
      </c>
      <c r="B219" s="7">
        <v>0</v>
      </c>
      <c r="C219" s="7">
        <v>0</v>
      </c>
      <c r="D219" s="7">
        <v>0</v>
      </c>
      <c r="E219" s="7">
        <v>0</v>
      </c>
      <c r="F219" s="7">
        <v>1</v>
      </c>
      <c r="G219" s="7">
        <v>0</v>
      </c>
      <c r="H219" s="8" t="s">
        <v>27</v>
      </c>
      <c r="I219" s="8" t="s">
        <v>43</v>
      </c>
      <c r="J219" s="8" t="s">
        <v>356</v>
      </c>
      <c r="K219" s="8" t="s">
        <v>30</v>
      </c>
      <c r="L219" s="8" t="s">
        <v>44</v>
      </c>
      <c r="M219" s="8">
        <v>5</v>
      </c>
      <c r="N219" s="8" t="s">
        <v>59</v>
      </c>
      <c r="O219" s="8" t="s">
        <v>46</v>
      </c>
      <c r="P219" s="8">
        <v>1</v>
      </c>
      <c r="Q219" s="8">
        <v>1</v>
      </c>
      <c r="R219" s="8">
        <v>1</v>
      </c>
      <c r="S219" s="8">
        <v>1</v>
      </c>
      <c r="T219" s="8">
        <v>1</v>
      </c>
      <c r="U219" s="8">
        <v>1</v>
      </c>
      <c r="V219" s="8">
        <v>1</v>
      </c>
      <c r="W219" s="8">
        <v>1</v>
      </c>
      <c r="X219" s="8">
        <v>1</v>
      </c>
      <c r="Y219" s="8">
        <v>1</v>
      </c>
      <c r="Z219" s="8" t="s">
        <v>21</v>
      </c>
      <c r="AA219" s="8" t="s">
        <v>40</v>
      </c>
      <c r="AB219" s="8" t="s">
        <v>24</v>
      </c>
      <c r="AC219" s="8" t="s">
        <v>25</v>
      </c>
    </row>
    <row r="220" spans="1:29" x14ac:dyDescent="0.3">
      <c r="A220" s="5">
        <v>219</v>
      </c>
      <c r="B220" s="5">
        <v>0</v>
      </c>
      <c r="C220" s="5">
        <v>0</v>
      </c>
      <c r="D220" s="5">
        <v>0</v>
      </c>
      <c r="E220" s="5">
        <v>0</v>
      </c>
      <c r="F220" s="5">
        <v>0</v>
      </c>
      <c r="G220" s="5">
        <v>1</v>
      </c>
      <c r="H220" s="6" t="s">
        <v>27</v>
      </c>
      <c r="I220" s="6" t="s">
        <v>43</v>
      </c>
      <c r="J220" s="6" t="s">
        <v>50</v>
      </c>
      <c r="K220" s="6" t="s">
        <v>30</v>
      </c>
      <c r="L220" s="6" t="s">
        <v>58</v>
      </c>
      <c r="M220" s="6">
        <v>2</v>
      </c>
      <c r="N220" s="6" t="s">
        <v>45</v>
      </c>
      <c r="O220" s="6" t="s">
        <v>63</v>
      </c>
      <c r="P220" s="6">
        <v>1</v>
      </c>
      <c r="Q220" s="6">
        <v>0</v>
      </c>
      <c r="R220" s="6">
        <v>1</v>
      </c>
      <c r="S220" s="6">
        <v>1</v>
      </c>
      <c r="T220" s="6">
        <v>0</v>
      </c>
      <c r="U220" s="6">
        <v>0</v>
      </c>
      <c r="V220" s="6">
        <v>0</v>
      </c>
      <c r="W220" s="6">
        <v>1</v>
      </c>
      <c r="X220" s="6">
        <v>1</v>
      </c>
      <c r="Y220" s="6">
        <v>0</v>
      </c>
      <c r="Z220" s="6" t="s">
        <v>21</v>
      </c>
      <c r="AA220" s="6" t="s">
        <v>23</v>
      </c>
      <c r="AB220" s="6" t="s">
        <v>24</v>
      </c>
      <c r="AC220" s="6" t="s">
        <v>48</v>
      </c>
    </row>
    <row r="221" spans="1:29" x14ac:dyDescent="0.3">
      <c r="A221" s="7">
        <v>220</v>
      </c>
      <c r="B221" s="7">
        <v>0</v>
      </c>
      <c r="C221" s="7">
        <v>0</v>
      </c>
      <c r="D221" s="7">
        <v>0</v>
      </c>
      <c r="E221" s="7">
        <v>0</v>
      </c>
      <c r="F221" s="7">
        <v>0</v>
      </c>
      <c r="G221" s="7">
        <v>1</v>
      </c>
      <c r="H221" s="8" t="s">
        <v>15</v>
      </c>
      <c r="I221" s="8" t="s">
        <v>16</v>
      </c>
      <c r="J221" s="8" t="s">
        <v>50</v>
      </c>
      <c r="K221" s="8" t="s">
        <v>18</v>
      </c>
      <c r="L221" s="8" t="s">
        <v>44</v>
      </c>
      <c r="M221" s="8">
        <v>5</v>
      </c>
      <c r="N221" s="8" t="s">
        <v>59</v>
      </c>
      <c r="O221" s="8" t="s">
        <v>63</v>
      </c>
      <c r="P221" s="8">
        <v>0</v>
      </c>
      <c r="Q221" s="8">
        <v>0</v>
      </c>
      <c r="R221" s="8">
        <v>0</v>
      </c>
      <c r="S221" s="8">
        <v>0</v>
      </c>
      <c r="T221" s="8">
        <v>0</v>
      </c>
      <c r="U221" s="8">
        <v>0</v>
      </c>
      <c r="V221" s="8">
        <v>0</v>
      </c>
      <c r="W221" s="8">
        <v>0</v>
      </c>
      <c r="X221" s="8">
        <v>0</v>
      </c>
      <c r="Y221" s="8">
        <v>1</v>
      </c>
      <c r="Z221" s="8" t="s">
        <v>25</v>
      </c>
      <c r="AA221" s="8" t="s">
        <v>34</v>
      </c>
      <c r="AB221" s="8" t="s">
        <v>24</v>
      </c>
      <c r="AC221" s="8" t="s">
        <v>48</v>
      </c>
    </row>
    <row r="222" spans="1:29" x14ac:dyDescent="0.3">
      <c r="A222" s="5">
        <v>221</v>
      </c>
      <c r="B222" s="5">
        <v>0</v>
      </c>
      <c r="C222" s="5">
        <v>0</v>
      </c>
      <c r="D222" s="5">
        <v>0</v>
      </c>
      <c r="E222" s="5">
        <v>0</v>
      </c>
      <c r="F222" s="5">
        <v>0</v>
      </c>
      <c r="G222" s="5">
        <v>1</v>
      </c>
      <c r="H222" s="6" t="s">
        <v>15</v>
      </c>
      <c r="I222" s="6" t="s">
        <v>83</v>
      </c>
      <c r="J222" s="6" t="s">
        <v>37</v>
      </c>
      <c r="K222" s="6" t="s">
        <v>30</v>
      </c>
      <c r="L222" s="6" t="s">
        <v>51</v>
      </c>
      <c r="M222" s="6">
        <v>1</v>
      </c>
      <c r="N222" s="6" t="s">
        <v>59</v>
      </c>
      <c r="O222" s="6" t="s">
        <v>46</v>
      </c>
      <c r="P222" s="6">
        <v>0</v>
      </c>
      <c r="Q222" s="6">
        <v>0</v>
      </c>
      <c r="R222" s="6">
        <v>0</v>
      </c>
      <c r="S222" s="6">
        <v>0</v>
      </c>
      <c r="T222" s="6">
        <v>0</v>
      </c>
      <c r="U222" s="6">
        <v>0</v>
      </c>
      <c r="V222" s="6">
        <v>1</v>
      </c>
      <c r="W222" s="6">
        <v>0</v>
      </c>
      <c r="X222" s="6">
        <v>0</v>
      </c>
      <c r="Y222" s="6">
        <v>0</v>
      </c>
      <c r="Z222" s="6" t="s">
        <v>21</v>
      </c>
      <c r="AA222" s="6" t="s">
        <v>23</v>
      </c>
      <c r="AB222" s="6" t="s">
        <v>24</v>
      </c>
      <c r="AC222" s="6" t="s">
        <v>21</v>
      </c>
    </row>
    <row r="223" spans="1:29" x14ac:dyDescent="0.3">
      <c r="A223" s="7">
        <v>222</v>
      </c>
      <c r="B223" s="7">
        <v>1</v>
      </c>
      <c r="C223" s="7">
        <v>1</v>
      </c>
      <c r="D223" s="7">
        <v>0</v>
      </c>
      <c r="E223" s="7">
        <v>0</v>
      </c>
      <c r="F223" s="7">
        <v>0</v>
      </c>
      <c r="G223" s="7">
        <v>1</v>
      </c>
      <c r="H223" s="8" t="s">
        <v>42</v>
      </c>
      <c r="I223" s="8" t="s">
        <v>83</v>
      </c>
      <c r="J223" s="8" t="s">
        <v>17</v>
      </c>
      <c r="K223" s="8" t="s">
        <v>18</v>
      </c>
      <c r="L223" s="8" t="s">
        <v>51</v>
      </c>
      <c r="M223" s="8">
        <v>1</v>
      </c>
      <c r="N223" s="8" t="s">
        <v>45</v>
      </c>
      <c r="O223" s="8" t="s">
        <v>46</v>
      </c>
      <c r="P223" s="8">
        <v>1</v>
      </c>
      <c r="Q223" s="8">
        <v>1</v>
      </c>
      <c r="R223" s="8">
        <v>1</v>
      </c>
      <c r="S223" s="8">
        <v>1</v>
      </c>
      <c r="T223" s="8">
        <v>1</v>
      </c>
      <c r="U223" s="8">
        <v>0</v>
      </c>
      <c r="V223" s="8">
        <v>0</v>
      </c>
      <c r="W223" s="8">
        <v>1</v>
      </c>
      <c r="X223" s="8">
        <v>1</v>
      </c>
      <c r="Y223" s="8">
        <v>1</v>
      </c>
      <c r="Z223" s="8" t="s">
        <v>21</v>
      </c>
      <c r="AA223" s="8" t="s">
        <v>40</v>
      </c>
      <c r="AB223" s="8" t="s">
        <v>113</v>
      </c>
      <c r="AC223" s="8" t="s">
        <v>21</v>
      </c>
    </row>
    <row r="224" spans="1:29" x14ac:dyDescent="0.3">
      <c r="A224" s="5">
        <v>223</v>
      </c>
      <c r="B224" s="5">
        <v>0</v>
      </c>
      <c r="C224" s="5">
        <v>1</v>
      </c>
      <c r="D224" s="5">
        <v>0</v>
      </c>
      <c r="E224" s="5">
        <v>0</v>
      </c>
      <c r="F224" s="5">
        <v>0</v>
      </c>
      <c r="G224" s="5">
        <v>0</v>
      </c>
      <c r="H224" s="6" t="s">
        <v>49</v>
      </c>
      <c r="I224" s="6" t="s">
        <v>43</v>
      </c>
      <c r="J224" s="6" t="s">
        <v>17</v>
      </c>
      <c r="K224" s="6" t="s">
        <v>15</v>
      </c>
      <c r="L224" s="6" t="s">
        <v>51</v>
      </c>
      <c r="M224" s="6">
        <v>4</v>
      </c>
      <c r="N224" s="6" t="s">
        <v>45</v>
      </c>
      <c r="O224" s="6" t="s">
        <v>63</v>
      </c>
      <c r="P224" s="6">
        <v>0</v>
      </c>
      <c r="Q224" s="6">
        <v>0</v>
      </c>
      <c r="R224" s="6">
        <v>0</v>
      </c>
      <c r="S224" s="6">
        <v>0</v>
      </c>
      <c r="T224" s="6">
        <v>1</v>
      </c>
      <c r="U224" s="6">
        <v>0</v>
      </c>
      <c r="V224" s="6">
        <v>0</v>
      </c>
      <c r="W224" s="6">
        <v>0</v>
      </c>
      <c r="X224" s="6">
        <v>0</v>
      </c>
      <c r="Y224" s="6">
        <v>0</v>
      </c>
      <c r="Z224" s="6" t="s">
        <v>21</v>
      </c>
      <c r="AA224" s="6" t="s">
        <v>40</v>
      </c>
      <c r="AB224" s="6" t="s">
        <v>88</v>
      </c>
      <c r="AC224" s="6" t="s">
        <v>21</v>
      </c>
    </row>
    <row r="225" spans="1:29" x14ac:dyDescent="0.3">
      <c r="A225" s="7">
        <v>224</v>
      </c>
      <c r="B225" s="7">
        <v>0</v>
      </c>
      <c r="C225" s="7">
        <v>1</v>
      </c>
      <c r="D225" s="7">
        <v>0</v>
      </c>
      <c r="E225" s="7">
        <v>0</v>
      </c>
      <c r="F225" s="7">
        <v>0</v>
      </c>
      <c r="G225" s="7">
        <v>0</v>
      </c>
      <c r="H225" s="8" t="s">
        <v>15</v>
      </c>
      <c r="I225" s="8" t="s">
        <v>43</v>
      </c>
      <c r="J225" s="8" t="s">
        <v>356</v>
      </c>
      <c r="K225" s="8" t="s">
        <v>15</v>
      </c>
      <c r="L225" s="8" t="s">
        <v>44</v>
      </c>
      <c r="M225" s="8">
        <v>3</v>
      </c>
      <c r="N225" s="8" t="s">
        <v>45</v>
      </c>
      <c r="O225" s="8" t="s">
        <v>63</v>
      </c>
      <c r="P225" s="8">
        <v>1</v>
      </c>
      <c r="Q225" s="8">
        <v>1</v>
      </c>
      <c r="R225" s="8">
        <v>0</v>
      </c>
      <c r="S225" s="8">
        <v>0</v>
      </c>
      <c r="T225" s="8">
        <v>1</v>
      </c>
      <c r="U225" s="8">
        <v>1</v>
      </c>
      <c r="V225" s="8">
        <v>0</v>
      </c>
      <c r="W225" s="8">
        <v>0</v>
      </c>
      <c r="X225" s="8">
        <v>0</v>
      </c>
      <c r="Y225" s="8">
        <v>0</v>
      </c>
      <c r="Z225" s="8" t="s">
        <v>25</v>
      </c>
      <c r="AA225" s="8" t="s">
        <v>23</v>
      </c>
      <c r="AB225" s="8" t="s">
        <v>24</v>
      </c>
      <c r="AC225" s="8" t="s">
        <v>48</v>
      </c>
    </row>
    <row r="226" spans="1:29" x14ac:dyDescent="0.3">
      <c r="A226" s="5">
        <v>225</v>
      </c>
      <c r="B226" s="5">
        <v>0</v>
      </c>
      <c r="C226" s="5">
        <v>0</v>
      </c>
      <c r="D226" s="5">
        <v>0</v>
      </c>
      <c r="E226" s="5">
        <v>0</v>
      </c>
      <c r="F226" s="5">
        <v>0</v>
      </c>
      <c r="G226" s="5">
        <v>1</v>
      </c>
      <c r="H226" s="6" t="s">
        <v>42</v>
      </c>
      <c r="I226" s="6" t="s">
        <v>43</v>
      </c>
      <c r="J226" s="6" t="s">
        <v>50</v>
      </c>
      <c r="K226" s="6" t="s">
        <v>30</v>
      </c>
      <c r="L226" s="6" t="s">
        <v>70</v>
      </c>
      <c r="M226" s="6">
        <v>3</v>
      </c>
      <c r="N226" s="6" t="s">
        <v>45</v>
      </c>
      <c r="O226" s="6" t="s">
        <v>46</v>
      </c>
      <c r="P226" s="6">
        <v>1</v>
      </c>
      <c r="Q226" s="6">
        <v>0</v>
      </c>
      <c r="R226" s="6">
        <v>1</v>
      </c>
      <c r="S226" s="6">
        <v>1</v>
      </c>
      <c r="T226" s="6">
        <v>1</v>
      </c>
      <c r="U226" s="6">
        <v>1</v>
      </c>
      <c r="V226" s="6">
        <v>1</v>
      </c>
      <c r="W226" s="6">
        <v>1</v>
      </c>
      <c r="X226" s="6">
        <v>1</v>
      </c>
      <c r="Y226" s="6">
        <v>0</v>
      </c>
      <c r="Z226" s="6" t="s">
        <v>21</v>
      </c>
      <c r="AA226" s="6" t="s">
        <v>23</v>
      </c>
      <c r="AB226" s="6" t="s">
        <v>24</v>
      </c>
      <c r="AC226" s="6" t="s">
        <v>25</v>
      </c>
    </row>
    <row r="227" spans="1:29" x14ac:dyDescent="0.3">
      <c r="A227" s="7">
        <v>226</v>
      </c>
      <c r="B227" s="7">
        <v>0</v>
      </c>
      <c r="C227" s="7">
        <v>1</v>
      </c>
      <c r="D227" s="7">
        <v>0</v>
      </c>
      <c r="E227" s="7">
        <v>0</v>
      </c>
      <c r="F227" s="7">
        <v>0</v>
      </c>
      <c r="G227" s="7">
        <v>0</v>
      </c>
      <c r="H227" s="8" t="s">
        <v>27</v>
      </c>
      <c r="I227" s="8" t="s">
        <v>43</v>
      </c>
      <c r="J227" s="8" t="s">
        <v>50</v>
      </c>
      <c r="K227" s="8" t="s">
        <v>15</v>
      </c>
      <c r="L227" s="8" t="s">
        <v>51</v>
      </c>
      <c r="M227" s="8">
        <v>3</v>
      </c>
      <c r="N227" s="8" t="s">
        <v>45</v>
      </c>
      <c r="O227" s="8" t="s">
        <v>46</v>
      </c>
      <c r="P227" s="8">
        <v>1</v>
      </c>
      <c r="Q227" s="8">
        <v>0</v>
      </c>
      <c r="R227" s="8">
        <v>1</v>
      </c>
      <c r="S227" s="8">
        <v>0</v>
      </c>
      <c r="T227" s="8">
        <v>1</v>
      </c>
      <c r="U227" s="8">
        <v>0</v>
      </c>
      <c r="V227" s="8">
        <v>1</v>
      </c>
      <c r="W227" s="8">
        <v>0</v>
      </c>
      <c r="X227" s="8">
        <v>0</v>
      </c>
      <c r="Y227" s="8">
        <v>0</v>
      </c>
      <c r="Z227" s="8" t="s">
        <v>21</v>
      </c>
      <c r="AA227" s="8" t="s">
        <v>23</v>
      </c>
      <c r="AB227" s="8" t="s">
        <v>113</v>
      </c>
      <c r="AC227" s="8" t="s">
        <v>48</v>
      </c>
    </row>
    <row r="228" spans="1:29" x14ac:dyDescent="0.3">
      <c r="A228" s="5">
        <v>227</v>
      </c>
      <c r="B228" s="5">
        <v>0</v>
      </c>
      <c r="C228" s="5">
        <v>0</v>
      </c>
      <c r="D228" s="5">
        <v>1</v>
      </c>
      <c r="E228" s="5">
        <v>0</v>
      </c>
      <c r="F228" s="5">
        <v>0</v>
      </c>
      <c r="G228" s="5">
        <v>0</v>
      </c>
      <c r="H228" s="6" t="s">
        <v>15</v>
      </c>
      <c r="I228" s="6" t="s">
        <v>43</v>
      </c>
      <c r="J228" s="6" t="s">
        <v>37</v>
      </c>
      <c r="K228" s="6" t="s">
        <v>15</v>
      </c>
      <c r="L228" s="6" t="s">
        <v>70</v>
      </c>
      <c r="M228" s="6">
        <v>2</v>
      </c>
      <c r="N228" s="6" t="s">
        <v>72</v>
      </c>
      <c r="O228" s="6" t="s">
        <v>63</v>
      </c>
      <c r="P228" s="6">
        <v>0</v>
      </c>
      <c r="Q228" s="6">
        <v>0</v>
      </c>
      <c r="R228" s="6">
        <v>1</v>
      </c>
      <c r="S228" s="6">
        <v>0</v>
      </c>
      <c r="T228" s="6">
        <v>0</v>
      </c>
      <c r="U228" s="6">
        <v>0</v>
      </c>
      <c r="V228" s="6">
        <v>0</v>
      </c>
      <c r="W228" s="6">
        <v>0</v>
      </c>
      <c r="X228" s="6">
        <v>0</v>
      </c>
      <c r="Y228" s="6">
        <v>0</v>
      </c>
      <c r="Z228" s="6" t="s">
        <v>25</v>
      </c>
      <c r="AA228" s="6" t="s">
        <v>34</v>
      </c>
      <c r="AB228" s="6" t="s">
        <v>24</v>
      </c>
      <c r="AC228" s="6" t="s">
        <v>25</v>
      </c>
    </row>
    <row r="229" spans="1:29" x14ac:dyDescent="0.3">
      <c r="A229" s="7">
        <v>228</v>
      </c>
      <c r="B229" s="7">
        <v>0</v>
      </c>
      <c r="C229" s="7">
        <v>1</v>
      </c>
      <c r="D229" s="7">
        <v>0</v>
      </c>
      <c r="E229" s="7">
        <v>0</v>
      </c>
      <c r="F229" s="7">
        <v>1</v>
      </c>
      <c r="G229" s="7">
        <v>1</v>
      </c>
      <c r="H229" s="8" t="s">
        <v>15</v>
      </c>
      <c r="I229" s="8" t="s">
        <v>16</v>
      </c>
      <c r="J229" s="8" t="s">
        <v>37</v>
      </c>
      <c r="K229" s="8" t="s">
        <v>30</v>
      </c>
      <c r="L229" s="8" t="s">
        <v>44</v>
      </c>
      <c r="M229" s="8">
        <v>5</v>
      </c>
      <c r="N229" s="8" t="s">
        <v>45</v>
      </c>
      <c r="O229" s="8" t="s">
        <v>46</v>
      </c>
      <c r="P229" s="8">
        <v>1</v>
      </c>
      <c r="Q229" s="8">
        <v>1</v>
      </c>
      <c r="R229" s="8">
        <v>0</v>
      </c>
      <c r="S229" s="8">
        <v>1</v>
      </c>
      <c r="T229" s="8">
        <v>0</v>
      </c>
      <c r="U229" s="8">
        <v>0</v>
      </c>
      <c r="V229" s="8">
        <v>0</v>
      </c>
      <c r="W229" s="8">
        <v>1</v>
      </c>
      <c r="X229" s="8">
        <v>0</v>
      </c>
      <c r="Y229" s="8">
        <v>0</v>
      </c>
      <c r="Z229" s="8" t="s">
        <v>21</v>
      </c>
      <c r="AA229" s="8" t="s">
        <v>23</v>
      </c>
      <c r="AB229" s="8" t="s">
        <v>54</v>
      </c>
      <c r="AC229" s="8" t="s">
        <v>48</v>
      </c>
    </row>
    <row r="230" spans="1:29" x14ac:dyDescent="0.3">
      <c r="A230" s="5">
        <v>229</v>
      </c>
      <c r="B230" s="5">
        <v>0</v>
      </c>
      <c r="C230" s="5">
        <v>0</v>
      </c>
      <c r="D230" s="5">
        <v>0</v>
      </c>
      <c r="E230" s="5">
        <v>0</v>
      </c>
      <c r="F230" s="5">
        <v>1</v>
      </c>
      <c r="G230" s="5">
        <v>0</v>
      </c>
      <c r="H230" s="6" t="s">
        <v>15</v>
      </c>
      <c r="I230" s="6" t="s">
        <v>83</v>
      </c>
      <c r="J230" s="6" t="s">
        <v>29</v>
      </c>
      <c r="K230" s="6" t="s">
        <v>30</v>
      </c>
      <c r="L230" s="6" t="s">
        <v>51</v>
      </c>
      <c r="M230" s="6">
        <v>1</v>
      </c>
      <c r="N230" s="6" t="s">
        <v>45</v>
      </c>
      <c r="O230" s="6" t="s">
        <v>63</v>
      </c>
      <c r="P230" s="6">
        <v>1</v>
      </c>
      <c r="Q230" s="6">
        <v>1</v>
      </c>
      <c r="R230" s="6">
        <v>1</v>
      </c>
      <c r="S230" s="6">
        <v>1</v>
      </c>
      <c r="T230" s="6">
        <v>1</v>
      </c>
      <c r="U230" s="6">
        <v>1</v>
      </c>
      <c r="V230" s="6">
        <v>1</v>
      </c>
      <c r="W230" s="6">
        <v>1</v>
      </c>
      <c r="X230" s="6">
        <v>1</v>
      </c>
      <c r="Y230" s="6">
        <v>1</v>
      </c>
      <c r="Z230" s="6" t="s">
        <v>21</v>
      </c>
      <c r="AA230" s="6" t="s">
        <v>34</v>
      </c>
      <c r="AB230" s="6" t="s">
        <v>24</v>
      </c>
      <c r="AC230" s="6" t="s">
        <v>21</v>
      </c>
    </row>
    <row r="231" spans="1:29" x14ac:dyDescent="0.3">
      <c r="A231" s="7">
        <v>230</v>
      </c>
      <c r="B231" s="7">
        <v>0</v>
      </c>
      <c r="C231" s="7">
        <v>0</v>
      </c>
      <c r="D231" s="7">
        <v>0</v>
      </c>
      <c r="E231" s="7">
        <v>0</v>
      </c>
      <c r="F231" s="7">
        <v>0</v>
      </c>
      <c r="G231" s="7">
        <v>1</v>
      </c>
      <c r="H231" s="8" t="s">
        <v>42</v>
      </c>
      <c r="I231" s="8" t="s">
        <v>16</v>
      </c>
      <c r="J231" s="8" t="s">
        <v>29</v>
      </c>
      <c r="K231" s="8" t="s">
        <v>18</v>
      </c>
      <c r="L231" s="8" t="s">
        <v>44</v>
      </c>
      <c r="M231" s="8">
        <v>1</v>
      </c>
      <c r="N231" s="8" t="s">
        <v>72</v>
      </c>
      <c r="O231" s="8" t="s">
        <v>46</v>
      </c>
      <c r="P231" s="8">
        <v>0</v>
      </c>
      <c r="Q231" s="8">
        <v>0</v>
      </c>
      <c r="R231" s="8">
        <v>0</v>
      </c>
      <c r="S231" s="8">
        <v>1</v>
      </c>
      <c r="T231" s="8">
        <v>0</v>
      </c>
      <c r="U231" s="8">
        <v>0</v>
      </c>
      <c r="V231" s="8">
        <v>0</v>
      </c>
      <c r="W231" s="8">
        <v>0</v>
      </c>
      <c r="X231" s="8">
        <v>0</v>
      </c>
      <c r="Y231" s="8">
        <v>0</v>
      </c>
      <c r="Z231" s="8" t="s">
        <v>21</v>
      </c>
      <c r="AA231" s="8" t="s">
        <v>34</v>
      </c>
      <c r="AB231" s="8" t="s">
        <v>24</v>
      </c>
      <c r="AC231" s="8" t="s">
        <v>48</v>
      </c>
    </row>
    <row r="232" spans="1:29" x14ac:dyDescent="0.3">
      <c r="A232" s="5">
        <v>231</v>
      </c>
      <c r="B232" s="5">
        <v>0</v>
      </c>
      <c r="C232" s="5">
        <v>0</v>
      </c>
      <c r="D232" s="5">
        <v>0</v>
      </c>
      <c r="E232" s="5">
        <v>0</v>
      </c>
      <c r="F232" s="5">
        <v>0</v>
      </c>
      <c r="G232" s="5">
        <v>1</v>
      </c>
      <c r="H232" s="6" t="s">
        <v>27</v>
      </c>
      <c r="I232" s="6" t="s">
        <v>43</v>
      </c>
      <c r="J232" s="6" t="s">
        <v>29</v>
      </c>
      <c r="K232" s="6" t="s">
        <v>30</v>
      </c>
      <c r="L232" s="6" t="s">
        <v>51</v>
      </c>
      <c r="M232" s="6">
        <v>4</v>
      </c>
      <c r="N232" s="6" t="s">
        <v>45</v>
      </c>
      <c r="O232" s="6" t="s">
        <v>63</v>
      </c>
      <c r="P232" s="6">
        <v>0</v>
      </c>
      <c r="Q232" s="6">
        <v>0</v>
      </c>
      <c r="R232" s="6">
        <v>0</v>
      </c>
      <c r="S232" s="6">
        <v>0</v>
      </c>
      <c r="T232" s="6">
        <v>1</v>
      </c>
      <c r="U232" s="6">
        <v>0</v>
      </c>
      <c r="V232" s="6">
        <v>1</v>
      </c>
      <c r="W232" s="6">
        <v>1</v>
      </c>
      <c r="X232" s="6">
        <v>0</v>
      </c>
      <c r="Y232" s="6">
        <v>0</v>
      </c>
      <c r="Z232" s="6" t="s">
        <v>21</v>
      </c>
      <c r="AA232" s="6" t="s">
        <v>34</v>
      </c>
      <c r="AB232" s="6" t="s">
        <v>113</v>
      </c>
      <c r="AC232" s="6" t="s">
        <v>48</v>
      </c>
    </row>
    <row r="233" spans="1:29" x14ac:dyDescent="0.3">
      <c r="A233" s="7">
        <v>232</v>
      </c>
      <c r="B233" s="7">
        <v>1</v>
      </c>
      <c r="C233" s="7">
        <v>0</v>
      </c>
      <c r="D233" s="7">
        <v>0</v>
      </c>
      <c r="E233" s="7">
        <v>0</v>
      </c>
      <c r="F233" s="7">
        <v>0</v>
      </c>
      <c r="G233" s="7">
        <v>1</v>
      </c>
      <c r="H233" s="8" t="s">
        <v>15</v>
      </c>
      <c r="I233" s="8" t="s">
        <v>43</v>
      </c>
      <c r="J233" s="8" t="s">
        <v>29</v>
      </c>
      <c r="K233" s="8" t="s">
        <v>18</v>
      </c>
      <c r="L233" s="8" t="s">
        <v>70</v>
      </c>
      <c r="M233" s="8">
        <v>5</v>
      </c>
      <c r="N233" s="8" t="s">
        <v>45</v>
      </c>
      <c r="O233" s="8" t="s">
        <v>46</v>
      </c>
      <c r="P233" s="8">
        <v>1</v>
      </c>
      <c r="Q233" s="8">
        <v>1</v>
      </c>
      <c r="R233" s="8">
        <v>1</v>
      </c>
      <c r="S233" s="8">
        <v>1</v>
      </c>
      <c r="T233" s="8">
        <v>1</v>
      </c>
      <c r="U233" s="8">
        <v>1</v>
      </c>
      <c r="V233" s="8">
        <v>1</v>
      </c>
      <c r="W233" s="8">
        <v>1</v>
      </c>
      <c r="X233" s="8">
        <v>1</v>
      </c>
      <c r="Y233" s="8">
        <v>1</v>
      </c>
      <c r="Z233" s="8" t="s">
        <v>21</v>
      </c>
      <c r="AA233" s="8" t="s">
        <v>34</v>
      </c>
      <c r="AB233" s="8" t="s">
        <v>24</v>
      </c>
      <c r="AC233" s="8" t="s">
        <v>21</v>
      </c>
    </row>
    <row r="234" spans="1:29" x14ac:dyDescent="0.3">
      <c r="A234" s="5">
        <v>233</v>
      </c>
      <c r="B234" s="5">
        <v>1</v>
      </c>
      <c r="C234" s="5">
        <v>0</v>
      </c>
      <c r="D234" s="5">
        <v>0</v>
      </c>
      <c r="E234" s="5">
        <v>0</v>
      </c>
      <c r="F234" s="5">
        <v>0</v>
      </c>
      <c r="G234" s="5">
        <v>0</v>
      </c>
      <c r="H234" s="6" t="s">
        <v>15</v>
      </c>
      <c r="I234" s="6" t="s">
        <v>43</v>
      </c>
      <c r="J234" s="6" t="s">
        <v>17</v>
      </c>
      <c r="K234" s="6" t="s">
        <v>15</v>
      </c>
      <c r="L234" s="6" t="s">
        <v>44</v>
      </c>
      <c r="M234" s="6">
        <v>4</v>
      </c>
      <c r="N234" s="6" t="s">
        <v>45</v>
      </c>
      <c r="O234" s="6" t="s">
        <v>63</v>
      </c>
      <c r="P234" s="6">
        <v>0</v>
      </c>
      <c r="Q234" s="6">
        <v>1</v>
      </c>
      <c r="R234" s="6">
        <v>0</v>
      </c>
      <c r="S234" s="6">
        <v>0</v>
      </c>
      <c r="T234" s="6">
        <v>1</v>
      </c>
      <c r="U234" s="6">
        <v>0</v>
      </c>
      <c r="V234" s="6">
        <v>0</v>
      </c>
      <c r="W234" s="6">
        <v>0</v>
      </c>
      <c r="X234" s="6">
        <v>0</v>
      </c>
      <c r="Y234" s="6">
        <v>0</v>
      </c>
      <c r="Z234" s="6" t="s">
        <v>25</v>
      </c>
      <c r="AA234" s="6" t="s">
        <v>34</v>
      </c>
      <c r="AB234" s="6" t="s">
        <v>24</v>
      </c>
      <c r="AC234" s="6" t="s">
        <v>25</v>
      </c>
    </row>
    <row r="235" spans="1:29" x14ac:dyDescent="0.3">
      <c r="A235" s="7">
        <v>234</v>
      </c>
      <c r="B235" s="7">
        <v>1</v>
      </c>
      <c r="C235" s="7">
        <v>0</v>
      </c>
      <c r="D235" s="7">
        <v>0</v>
      </c>
      <c r="E235" s="7">
        <v>0</v>
      </c>
      <c r="F235" s="7">
        <v>1</v>
      </c>
      <c r="G235" s="7">
        <v>1</v>
      </c>
      <c r="H235" s="8" t="s">
        <v>49</v>
      </c>
      <c r="I235" s="8" t="s">
        <v>352</v>
      </c>
      <c r="J235" s="8" t="s">
        <v>50</v>
      </c>
      <c r="K235" s="8" t="s">
        <v>30</v>
      </c>
      <c r="L235" s="8" t="s">
        <v>51</v>
      </c>
      <c r="M235" s="8">
        <v>4</v>
      </c>
      <c r="N235" s="8" t="s">
        <v>45</v>
      </c>
      <c r="O235" s="8" t="s">
        <v>52</v>
      </c>
      <c r="P235" s="8">
        <v>0</v>
      </c>
      <c r="Q235" s="8">
        <v>0</v>
      </c>
      <c r="R235" s="8">
        <v>0</v>
      </c>
      <c r="S235" s="8">
        <v>0</v>
      </c>
      <c r="T235" s="8">
        <v>0</v>
      </c>
      <c r="U235" s="8">
        <v>0</v>
      </c>
      <c r="V235" s="8">
        <v>0</v>
      </c>
      <c r="W235" s="8">
        <v>1</v>
      </c>
      <c r="X235" s="8">
        <v>0</v>
      </c>
      <c r="Y235" s="8">
        <v>0</v>
      </c>
      <c r="Z235" s="8" t="s">
        <v>21</v>
      </c>
      <c r="AA235" s="8" t="s">
        <v>34</v>
      </c>
      <c r="AB235" s="8" t="s">
        <v>24</v>
      </c>
      <c r="AC235" s="8" t="s">
        <v>48</v>
      </c>
    </row>
    <row r="236" spans="1:29" x14ac:dyDescent="0.3">
      <c r="A236" s="5">
        <v>235</v>
      </c>
      <c r="B236" s="5">
        <v>0</v>
      </c>
      <c r="C236" s="5">
        <v>1</v>
      </c>
      <c r="D236" s="5">
        <v>0</v>
      </c>
      <c r="E236" s="5">
        <v>0</v>
      </c>
      <c r="F236" s="5">
        <v>0</v>
      </c>
      <c r="G236" s="5">
        <v>0</v>
      </c>
      <c r="H236" s="6" t="s">
        <v>15</v>
      </c>
      <c r="I236" s="6" t="s">
        <v>43</v>
      </c>
      <c r="J236" s="6" t="s">
        <v>356</v>
      </c>
      <c r="K236" s="6" t="s">
        <v>15</v>
      </c>
      <c r="L236" s="6" t="s">
        <v>51</v>
      </c>
      <c r="M236" s="6">
        <v>5</v>
      </c>
      <c r="N236" s="6" t="s">
        <v>45</v>
      </c>
      <c r="O236" s="6" t="s">
        <v>63</v>
      </c>
      <c r="P236" s="6">
        <v>1</v>
      </c>
      <c r="Q236" s="6">
        <v>1</v>
      </c>
      <c r="R236" s="6">
        <v>0</v>
      </c>
      <c r="S236" s="6">
        <v>0</v>
      </c>
      <c r="T236" s="6">
        <v>0</v>
      </c>
      <c r="U236" s="6">
        <v>0</v>
      </c>
      <c r="V236" s="6">
        <v>0</v>
      </c>
      <c r="W236" s="6">
        <v>0</v>
      </c>
      <c r="X236" s="6">
        <v>0</v>
      </c>
      <c r="Y236" s="6">
        <v>0</v>
      </c>
      <c r="Z236" s="6" t="s">
        <v>21</v>
      </c>
      <c r="AA236" s="6" t="s">
        <v>23</v>
      </c>
      <c r="AB236" s="6" t="s">
        <v>113</v>
      </c>
      <c r="AC236" s="6" t="s">
        <v>25</v>
      </c>
    </row>
    <row r="237" spans="1:29" x14ac:dyDescent="0.3">
      <c r="A237" s="7">
        <v>236</v>
      </c>
      <c r="B237" s="7">
        <v>1</v>
      </c>
      <c r="C237" s="7">
        <v>0</v>
      </c>
      <c r="D237" s="7">
        <v>0</v>
      </c>
      <c r="E237" s="7">
        <v>0</v>
      </c>
      <c r="F237" s="7">
        <v>0</v>
      </c>
      <c r="G237" s="7">
        <v>0</v>
      </c>
      <c r="H237" s="8" t="s">
        <v>15</v>
      </c>
      <c r="I237" s="8" t="s">
        <v>36</v>
      </c>
      <c r="J237" s="8" t="s">
        <v>356</v>
      </c>
      <c r="K237" s="8" t="s">
        <v>18</v>
      </c>
      <c r="L237" s="8" t="s">
        <v>44</v>
      </c>
      <c r="M237" s="8">
        <v>1</v>
      </c>
      <c r="N237" s="8" t="s">
        <v>72</v>
      </c>
      <c r="O237" s="8" t="s">
        <v>63</v>
      </c>
      <c r="P237" s="8">
        <v>1</v>
      </c>
      <c r="Q237" s="8">
        <v>0</v>
      </c>
      <c r="R237" s="8">
        <v>0</v>
      </c>
      <c r="S237" s="8">
        <v>0</v>
      </c>
      <c r="T237" s="8">
        <v>0</v>
      </c>
      <c r="U237" s="8">
        <v>0</v>
      </c>
      <c r="V237" s="8">
        <v>0</v>
      </c>
      <c r="W237" s="8">
        <v>0</v>
      </c>
      <c r="X237" s="8">
        <v>0</v>
      </c>
      <c r="Y237" s="8">
        <v>0</v>
      </c>
      <c r="Z237" s="8" t="s">
        <v>21</v>
      </c>
      <c r="AA237" s="8" t="s">
        <v>40</v>
      </c>
      <c r="AB237" s="8" t="s">
        <v>24</v>
      </c>
      <c r="AC237" s="8" t="s">
        <v>48</v>
      </c>
    </row>
    <row r="238" spans="1:29" x14ac:dyDescent="0.3">
      <c r="A238" s="5">
        <v>237</v>
      </c>
      <c r="B238" s="5">
        <v>1</v>
      </c>
      <c r="C238" s="5">
        <v>1</v>
      </c>
      <c r="D238" s="5">
        <v>0</v>
      </c>
      <c r="E238" s="5">
        <v>0</v>
      </c>
      <c r="F238" s="5">
        <v>0</v>
      </c>
      <c r="G238" s="5">
        <v>0</v>
      </c>
      <c r="H238" s="6" t="s">
        <v>42</v>
      </c>
      <c r="I238" s="6" t="s">
        <v>43</v>
      </c>
      <c r="J238" s="6" t="s">
        <v>17</v>
      </c>
      <c r="K238" s="6" t="s">
        <v>18</v>
      </c>
      <c r="L238" s="6" t="s">
        <v>44</v>
      </c>
      <c r="M238" s="6">
        <v>4</v>
      </c>
      <c r="N238" s="6" t="s">
        <v>45</v>
      </c>
      <c r="O238" s="6" t="s">
        <v>63</v>
      </c>
      <c r="P238" s="6">
        <v>0</v>
      </c>
      <c r="Q238" s="6">
        <v>1</v>
      </c>
      <c r="R238" s="6">
        <v>1</v>
      </c>
      <c r="S238" s="6">
        <v>1</v>
      </c>
      <c r="T238" s="6">
        <v>0</v>
      </c>
      <c r="U238" s="6">
        <v>0</v>
      </c>
      <c r="V238" s="6">
        <v>1</v>
      </c>
      <c r="W238" s="6">
        <v>0</v>
      </c>
      <c r="X238" s="6">
        <v>0</v>
      </c>
      <c r="Y238" s="6">
        <v>0</v>
      </c>
      <c r="Z238" s="6" t="s">
        <v>25</v>
      </c>
      <c r="AA238" s="6" t="s">
        <v>34</v>
      </c>
      <c r="AB238" s="6" t="s">
        <v>24</v>
      </c>
      <c r="AC238" s="6" t="s">
        <v>25</v>
      </c>
    </row>
    <row r="239" spans="1:29" x14ac:dyDescent="0.3">
      <c r="A239" s="7">
        <v>238</v>
      </c>
      <c r="B239" s="7">
        <v>0</v>
      </c>
      <c r="C239" s="7">
        <v>1</v>
      </c>
      <c r="D239" s="7">
        <v>0</v>
      </c>
      <c r="E239" s="7">
        <v>0</v>
      </c>
      <c r="F239" s="7">
        <v>0</v>
      </c>
      <c r="G239" s="7">
        <v>1</v>
      </c>
      <c r="H239" s="8" t="s">
        <v>27</v>
      </c>
      <c r="I239" s="8" t="s">
        <v>83</v>
      </c>
      <c r="J239" s="8" t="s">
        <v>29</v>
      </c>
      <c r="K239" s="8" t="s">
        <v>30</v>
      </c>
      <c r="L239" s="8" t="s">
        <v>51</v>
      </c>
      <c r="M239" s="8">
        <v>5</v>
      </c>
      <c r="N239" s="8" t="s">
        <v>45</v>
      </c>
      <c r="O239" s="8" t="s">
        <v>63</v>
      </c>
      <c r="P239" s="8">
        <v>1</v>
      </c>
      <c r="Q239" s="8">
        <v>0</v>
      </c>
      <c r="R239" s="8">
        <v>0</v>
      </c>
      <c r="S239" s="8">
        <v>0</v>
      </c>
      <c r="T239" s="8">
        <v>0</v>
      </c>
      <c r="U239" s="8">
        <v>0</v>
      </c>
      <c r="V239" s="8">
        <v>0</v>
      </c>
      <c r="W239" s="8">
        <v>0</v>
      </c>
      <c r="X239" s="8">
        <v>0</v>
      </c>
      <c r="Y239" s="8">
        <v>0</v>
      </c>
      <c r="Z239" s="8" t="s">
        <v>25</v>
      </c>
      <c r="AA239" s="8" t="s">
        <v>23</v>
      </c>
      <c r="AB239" s="8" t="s">
        <v>24</v>
      </c>
      <c r="AC239" s="8" t="s">
        <v>25</v>
      </c>
    </row>
    <row r="240" spans="1:29" x14ac:dyDescent="0.3">
      <c r="A240" s="5">
        <v>239</v>
      </c>
      <c r="B240" s="5">
        <v>0</v>
      </c>
      <c r="C240" s="5">
        <v>1</v>
      </c>
      <c r="D240" s="5">
        <v>0</v>
      </c>
      <c r="E240" s="5">
        <v>0</v>
      </c>
      <c r="F240" s="5">
        <v>0</v>
      </c>
      <c r="G240" s="5">
        <v>0</v>
      </c>
      <c r="H240" s="6" t="s">
        <v>27</v>
      </c>
      <c r="I240" s="6" t="s">
        <v>43</v>
      </c>
      <c r="J240" s="6" t="s">
        <v>50</v>
      </c>
      <c r="K240" s="6" t="s">
        <v>30</v>
      </c>
      <c r="L240" s="6" t="s">
        <v>44</v>
      </c>
      <c r="M240" s="6">
        <v>5</v>
      </c>
      <c r="N240" s="6" t="s">
        <v>72</v>
      </c>
      <c r="O240" s="6" t="s">
        <v>46</v>
      </c>
      <c r="P240" s="6">
        <v>0</v>
      </c>
      <c r="Q240" s="6">
        <v>1</v>
      </c>
      <c r="R240" s="6">
        <v>0</v>
      </c>
      <c r="S240" s="6">
        <v>0</v>
      </c>
      <c r="T240" s="6">
        <v>0</v>
      </c>
      <c r="U240" s="6">
        <v>0</v>
      </c>
      <c r="V240" s="6">
        <v>0</v>
      </c>
      <c r="W240" s="6">
        <v>0</v>
      </c>
      <c r="X240" s="6">
        <v>0</v>
      </c>
      <c r="Y240" s="6">
        <v>0</v>
      </c>
      <c r="Z240" s="6" t="s">
        <v>21</v>
      </c>
      <c r="AA240" s="6" t="s">
        <v>34</v>
      </c>
      <c r="AB240" s="6" t="s">
        <v>24</v>
      </c>
      <c r="AC240" s="6" t="s">
        <v>48</v>
      </c>
    </row>
    <row r="241" spans="1:29" x14ac:dyDescent="0.3">
      <c r="A241" s="7">
        <v>240</v>
      </c>
      <c r="B241" s="7">
        <v>0</v>
      </c>
      <c r="C241" s="7">
        <v>0</v>
      </c>
      <c r="D241" s="7">
        <v>0</v>
      </c>
      <c r="E241" s="7">
        <v>0</v>
      </c>
      <c r="F241" s="7">
        <v>0</v>
      </c>
      <c r="G241" s="7">
        <v>1</v>
      </c>
      <c r="H241" s="8" t="s">
        <v>27</v>
      </c>
      <c r="I241" s="8" t="s">
        <v>16</v>
      </c>
      <c r="J241" s="8" t="s">
        <v>37</v>
      </c>
      <c r="K241" s="8" t="s">
        <v>30</v>
      </c>
      <c r="L241" s="8" t="s">
        <v>51</v>
      </c>
      <c r="M241" s="8">
        <v>5</v>
      </c>
      <c r="N241" s="8" t="s">
        <v>72</v>
      </c>
      <c r="O241" s="8" t="s">
        <v>46</v>
      </c>
      <c r="P241" s="8">
        <v>0</v>
      </c>
      <c r="Q241" s="8">
        <v>0</v>
      </c>
      <c r="R241" s="8">
        <v>0</v>
      </c>
      <c r="S241" s="8">
        <v>0</v>
      </c>
      <c r="T241" s="8">
        <v>1</v>
      </c>
      <c r="U241" s="8">
        <v>1</v>
      </c>
      <c r="V241" s="8">
        <v>0</v>
      </c>
      <c r="W241" s="8">
        <v>0</v>
      </c>
      <c r="X241" s="8">
        <v>0</v>
      </c>
      <c r="Y241" s="8">
        <v>0</v>
      </c>
      <c r="Z241" s="8" t="s">
        <v>21</v>
      </c>
      <c r="AA241" s="8" t="s">
        <v>34</v>
      </c>
      <c r="AB241" s="8" t="s">
        <v>187</v>
      </c>
      <c r="AC241" s="8" t="s">
        <v>48</v>
      </c>
    </row>
    <row r="242" spans="1:29" x14ac:dyDescent="0.3">
      <c r="A242" s="5">
        <v>241</v>
      </c>
      <c r="B242" s="5">
        <v>1</v>
      </c>
      <c r="C242" s="5">
        <v>0</v>
      </c>
      <c r="D242" s="5">
        <v>0</v>
      </c>
      <c r="E242" s="5">
        <v>0</v>
      </c>
      <c r="F242" s="5">
        <v>0</v>
      </c>
      <c r="G242" s="5">
        <v>0</v>
      </c>
      <c r="H242" s="6" t="s">
        <v>27</v>
      </c>
      <c r="I242" s="6" t="s">
        <v>352</v>
      </c>
      <c r="J242" s="6" t="s">
        <v>50</v>
      </c>
      <c r="K242" s="6" t="s">
        <v>30</v>
      </c>
      <c r="L242" s="6" t="s">
        <v>51</v>
      </c>
      <c r="M242" s="6">
        <v>5</v>
      </c>
      <c r="N242" s="6" t="s">
        <v>45</v>
      </c>
      <c r="O242" s="6" t="s">
        <v>46</v>
      </c>
      <c r="P242" s="6">
        <v>0</v>
      </c>
      <c r="Q242" s="6">
        <v>0</v>
      </c>
      <c r="R242" s="6">
        <v>1</v>
      </c>
      <c r="S242" s="6">
        <v>0</v>
      </c>
      <c r="T242" s="6">
        <v>0</v>
      </c>
      <c r="U242" s="6">
        <v>0</v>
      </c>
      <c r="V242" s="6">
        <v>0</v>
      </c>
      <c r="W242" s="6">
        <v>0</v>
      </c>
      <c r="X242" s="6">
        <v>0</v>
      </c>
      <c r="Y242" s="6">
        <v>0</v>
      </c>
      <c r="Z242" s="6" t="s">
        <v>21</v>
      </c>
      <c r="AA242" s="6" t="s">
        <v>34</v>
      </c>
      <c r="AB242" s="6" t="s">
        <v>187</v>
      </c>
      <c r="AC242" s="6" t="s">
        <v>25</v>
      </c>
    </row>
    <row r="243" spans="1:29" x14ac:dyDescent="0.3">
      <c r="A243" s="7">
        <v>242</v>
      </c>
      <c r="B243" s="7">
        <v>0</v>
      </c>
      <c r="C243" s="7">
        <v>0</v>
      </c>
      <c r="D243" s="7">
        <v>0</v>
      </c>
      <c r="E243" s="7">
        <v>0</v>
      </c>
      <c r="F243" s="7">
        <v>0</v>
      </c>
      <c r="G243" s="7">
        <v>1</v>
      </c>
      <c r="H243" s="8" t="s">
        <v>27</v>
      </c>
      <c r="I243" s="8" t="s">
        <v>16</v>
      </c>
      <c r="J243" s="8" t="s">
        <v>50</v>
      </c>
      <c r="K243" s="8" t="s">
        <v>49</v>
      </c>
      <c r="L243" s="8" t="s">
        <v>44</v>
      </c>
      <c r="M243" s="8">
        <v>5</v>
      </c>
      <c r="N243" s="8" t="s">
        <v>45</v>
      </c>
      <c r="O243" s="8" t="s">
        <v>63</v>
      </c>
      <c r="P243" s="8">
        <v>0</v>
      </c>
      <c r="Q243" s="8">
        <v>1</v>
      </c>
      <c r="R243" s="8">
        <v>0</v>
      </c>
      <c r="S243" s="8">
        <v>1</v>
      </c>
      <c r="T243" s="8">
        <v>1</v>
      </c>
      <c r="U243" s="8">
        <v>1</v>
      </c>
      <c r="V243" s="8">
        <v>1</v>
      </c>
      <c r="W243" s="8">
        <v>0</v>
      </c>
      <c r="X243" s="8">
        <v>1</v>
      </c>
      <c r="Y243" s="8">
        <v>0</v>
      </c>
      <c r="Z243" s="8" t="s">
        <v>21</v>
      </c>
      <c r="AA243" s="8" t="s">
        <v>23</v>
      </c>
      <c r="AB243" s="8" t="s">
        <v>24</v>
      </c>
      <c r="AC243" s="8" t="s">
        <v>25</v>
      </c>
    </row>
    <row r="244" spans="1:29" x14ac:dyDescent="0.3">
      <c r="A244" s="5">
        <v>243</v>
      </c>
      <c r="B244" s="5">
        <v>0</v>
      </c>
      <c r="C244" s="5">
        <v>1</v>
      </c>
      <c r="D244" s="5">
        <v>0</v>
      </c>
      <c r="E244" s="5">
        <v>0</v>
      </c>
      <c r="F244" s="5">
        <v>0</v>
      </c>
      <c r="G244" s="5">
        <v>1</v>
      </c>
      <c r="H244" s="6" t="s">
        <v>49</v>
      </c>
      <c r="I244" s="6" t="s">
        <v>43</v>
      </c>
      <c r="J244" s="6" t="s">
        <v>50</v>
      </c>
      <c r="K244" s="6" t="s">
        <v>15</v>
      </c>
      <c r="L244" s="6" t="s">
        <v>44</v>
      </c>
      <c r="M244" s="6">
        <v>3</v>
      </c>
      <c r="N244" s="6" t="s">
        <v>45</v>
      </c>
      <c r="O244" s="6" t="s">
        <v>63</v>
      </c>
      <c r="P244" s="6">
        <v>1</v>
      </c>
      <c r="Q244" s="6">
        <v>1</v>
      </c>
      <c r="R244" s="6">
        <v>0</v>
      </c>
      <c r="S244" s="6">
        <v>1</v>
      </c>
      <c r="T244" s="6">
        <v>1</v>
      </c>
      <c r="U244" s="6">
        <v>1</v>
      </c>
      <c r="V244" s="6">
        <v>1</v>
      </c>
      <c r="W244" s="6">
        <v>0</v>
      </c>
      <c r="X244" s="6">
        <v>0</v>
      </c>
      <c r="Y244" s="6">
        <v>0</v>
      </c>
      <c r="Z244" s="6" t="s">
        <v>21</v>
      </c>
      <c r="AA244" s="6" t="s">
        <v>23</v>
      </c>
      <c r="AB244" s="6" t="s">
        <v>24</v>
      </c>
      <c r="AC244" s="6" t="s">
        <v>48</v>
      </c>
    </row>
    <row r="245" spans="1:29" x14ac:dyDescent="0.3">
      <c r="A245" s="7">
        <v>244</v>
      </c>
      <c r="B245" s="7">
        <v>1</v>
      </c>
      <c r="C245" s="7">
        <v>0</v>
      </c>
      <c r="D245" s="7">
        <v>1</v>
      </c>
      <c r="E245" s="7">
        <v>0</v>
      </c>
      <c r="F245" s="7">
        <v>0</v>
      </c>
      <c r="G245" s="7">
        <v>0</v>
      </c>
      <c r="H245" s="8" t="s">
        <v>15</v>
      </c>
      <c r="I245" s="8" t="s">
        <v>43</v>
      </c>
      <c r="J245" s="8" t="s">
        <v>356</v>
      </c>
      <c r="K245" s="8" t="s">
        <v>18</v>
      </c>
      <c r="L245" s="8" t="s">
        <v>51</v>
      </c>
      <c r="M245" s="8">
        <v>2</v>
      </c>
      <c r="N245" s="8" t="s">
        <v>45</v>
      </c>
      <c r="O245" s="8" t="s">
        <v>46</v>
      </c>
      <c r="P245" s="8">
        <v>0</v>
      </c>
      <c r="Q245" s="8">
        <v>0</v>
      </c>
      <c r="R245" s="8">
        <v>0</v>
      </c>
      <c r="S245" s="8">
        <v>0</v>
      </c>
      <c r="T245" s="8">
        <v>1</v>
      </c>
      <c r="U245" s="8">
        <v>0</v>
      </c>
      <c r="V245" s="8">
        <v>0</v>
      </c>
      <c r="W245" s="8">
        <v>0</v>
      </c>
      <c r="X245" s="8">
        <v>0</v>
      </c>
      <c r="Y245" s="8">
        <v>0</v>
      </c>
      <c r="Z245" s="8" t="s">
        <v>21</v>
      </c>
      <c r="AA245" s="8" t="s">
        <v>34</v>
      </c>
      <c r="AB245" s="8" t="s">
        <v>24</v>
      </c>
      <c r="AC245" s="8" t="s">
        <v>21</v>
      </c>
    </row>
    <row r="246" spans="1:29" x14ac:dyDescent="0.3">
      <c r="A246" s="5">
        <v>245</v>
      </c>
      <c r="B246" s="5">
        <v>0</v>
      </c>
      <c r="C246" s="5">
        <v>1</v>
      </c>
      <c r="D246" s="5">
        <v>0</v>
      </c>
      <c r="E246" s="5">
        <v>0</v>
      </c>
      <c r="F246" s="5">
        <v>0</v>
      </c>
      <c r="G246" s="5">
        <v>0</v>
      </c>
      <c r="H246" s="6" t="s">
        <v>27</v>
      </c>
      <c r="I246" s="6" t="s">
        <v>43</v>
      </c>
      <c r="J246" s="6" t="s">
        <v>17</v>
      </c>
      <c r="K246" s="6" t="s">
        <v>102</v>
      </c>
      <c r="L246" s="6" t="s">
        <v>44</v>
      </c>
      <c r="M246" s="6">
        <v>4</v>
      </c>
      <c r="N246" s="6" t="s">
        <v>45</v>
      </c>
      <c r="O246" s="6" t="s">
        <v>63</v>
      </c>
      <c r="P246" s="6">
        <v>1</v>
      </c>
      <c r="Q246" s="6">
        <v>0</v>
      </c>
      <c r="R246" s="6">
        <v>1</v>
      </c>
      <c r="S246" s="6">
        <v>0</v>
      </c>
      <c r="T246" s="6">
        <v>1</v>
      </c>
      <c r="U246" s="6">
        <v>0</v>
      </c>
      <c r="V246" s="6">
        <v>1</v>
      </c>
      <c r="W246" s="6">
        <v>1</v>
      </c>
      <c r="X246" s="6">
        <v>0</v>
      </c>
      <c r="Y246" s="6">
        <v>0</v>
      </c>
      <c r="Z246" s="6" t="s">
        <v>21</v>
      </c>
      <c r="AA246" s="6" t="s">
        <v>23</v>
      </c>
      <c r="AB246" s="6" t="s">
        <v>24</v>
      </c>
      <c r="AC246" s="6" t="s">
        <v>82</v>
      </c>
    </row>
    <row r="247" spans="1:29" x14ac:dyDescent="0.3">
      <c r="A247" s="7">
        <v>246</v>
      </c>
      <c r="B247" s="7">
        <v>0</v>
      </c>
      <c r="C247" s="7">
        <v>0</v>
      </c>
      <c r="D247" s="7">
        <v>0</v>
      </c>
      <c r="E247" s="7">
        <v>0</v>
      </c>
      <c r="F247" s="7">
        <v>0</v>
      </c>
      <c r="G247" s="7">
        <v>1</v>
      </c>
      <c r="H247" s="8" t="s">
        <v>15</v>
      </c>
      <c r="I247" s="8" t="s">
        <v>43</v>
      </c>
      <c r="J247" s="8" t="s">
        <v>29</v>
      </c>
      <c r="K247" s="8" t="s">
        <v>30</v>
      </c>
      <c r="L247" s="8" t="s">
        <v>51</v>
      </c>
      <c r="M247" s="8">
        <v>5</v>
      </c>
      <c r="N247" s="8" t="s">
        <v>59</v>
      </c>
      <c r="O247" s="8" t="s">
        <v>63</v>
      </c>
      <c r="P247" s="8">
        <v>0</v>
      </c>
      <c r="Q247" s="8">
        <v>0</v>
      </c>
      <c r="R247" s="8">
        <v>1</v>
      </c>
      <c r="S247" s="8">
        <v>1</v>
      </c>
      <c r="T247" s="8">
        <v>1</v>
      </c>
      <c r="U247" s="8">
        <v>1</v>
      </c>
      <c r="V247" s="8">
        <v>1</v>
      </c>
      <c r="W247" s="8">
        <v>0</v>
      </c>
      <c r="X247" s="8">
        <v>0</v>
      </c>
      <c r="Y247" s="8">
        <v>0</v>
      </c>
      <c r="Z247" s="8" t="s">
        <v>21</v>
      </c>
      <c r="AA247" s="8" t="s">
        <v>23</v>
      </c>
      <c r="AB247" s="8" t="s">
        <v>24</v>
      </c>
      <c r="AC247" s="8" t="s">
        <v>48</v>
      </c>
    </row>
    <row r="248" spans="1:29" x14ac:dyDescent="0.3">
      <c r="A248" s="5">
        <v>247</v>
      </c>
      <c r="B248" s="5">
        <v>0</v>
      </c>
      <c r="C248" s="5">
        <v>1</v>
      </c>
      <c r="D248" s="5">
        <v>0</v>
      </c>
      <c r="E248" s="5">
        <v>0</v>
      </c>
      <c r="F248" s="5">
        <v>0</v>
      </c>
      <c r="G248" s="5">
        <v>0</v>
      </c>
      <c r="H248" s="6" t="s">
        <v>49</v>
      </c>
      <c r="I248" s="6" t="s">
        <v>43</v>
      </c>
      <c r="J248" s="6" t="s">
        <v>356</v>
      </c>
      <c r="K248" s="6" t="s">
        <v>15</v>
      </c>
      <c r="L248" s="6" t="s">
        <v>58</v>
      </c>
      <c r="M248" s="6">
        <v>5</v>
      </c>
      <c r="N248" s="6" t="s">
        <v>45</v>
      </c>
      <c r="O248" s="6" t="s">
        <v>46</v>
      </c>
      <c r="P248" s="6">
        <v>0</v>
      </c>
      <c r="Q248" s="6">
        <v>0</v>
      </c>
      <c r="R248" s="6">
        <v>1</v>
      </c>
      <c r="S248" s="6">
        <v>0</v>
      </c>
      <c r="T248" s="6">
        <v>0</v>
      </c>
      <c r="U248" s="6">
        <v>0</v>
      </c>
      <c r="V248" s="6">
        <v>0</v>
      </c>
      <c r="W248" s="6">
        <v>0</v>
      </c>
      <c r="X248" s="6">
        <v>0</v>
      </c>
      <c r="Y248" s="6">
        <v>0</v>
      </c>
      <c r="Z248" s="6" t="s">
        <v>21</v>
      </c>
      <c r="AA248" s="6" t="s">
        <v>34</v>
      </c>
      <c r="AB248" s="6" t="s">
        <v>24</v>
      </c>
      <c r="AC248" s="6" t="s">
        <v>21</v>
      </c>
    </row>
    <row r="249" spans="1:29" x14ac:dyDescent="0.3">
      <c r="A249" s="7">
        <v>248</v>
      </c>
      <c r="B249" s="7">
        <v>0</v>
      </c>
      <c r="C249" s="7">
        <v>0</v>
      </c>
      <c r="D249" s="7">
        <v>0</v>
      </c>
      <c r="E249" s="7">
        <v>0</v>
      </c>
      <c r="F249" s="7">
        <v>0</v>
      </c>
      <c r="G249" s="7">
        <v>1</v>
      </c>
      <c r="H249" s="8" t="s">
        <v>27</v>
      </c>
      <c r="I249" s="8" t="s">
        <v>43</v>
      </c>
      <c r="J249" s="8" t="s">
        <v>50</v>
      </c>
      <c r="K249" s="8" t="s">
        <v>49</v>
      </c>
      <c r="L249" s="8" t="s">
        <v>51</v>
      </c>
      <c r="M249" s="8">
        <v>5</v>
      </c>
      <c r="N249" s="8" t="s">
        <v>45</v>
      </c>
      <c r="O249" s="8" t="s">
        <v>63</v>
      </c>
      <c r="P249" s="8">
        <v>0</v>
      </c>
      <c r="Q249" s="8">
        <v>0</v>
      </c>
      <c r="R249" s="8">
        <v>0</v>
      </c>
      <c r="S249" s="8">
        <v>1</v>
      </c>
      <c r="T249" s="8">
        <v>0</v>
      </c>
      <c r="U249" s="8">
        <v>0</v>
      </c>
      <c r="V249" s="8">
        <v>0</v>
      </c>
      <c r="W249" s="8">
        <v>0</v>
      </c>
      <c r="X249" s="8">
        <v>0</v>
      </c>
      <c r="Y249" s="8">
        <v>0</v>
      </c>
      <c r="Z249" s="8" t="s">
        <v>21</v>
      </c>
      <c r="AA249" s="8" t="s">
        <v>23</v>
      </c>
      <c r="AB249" s="8" t="s">
        <v>24</v>
      </c>
      <c r="AC249" s="8" t="s">
        <v>48</v>
      </c>
    </row>
    <row r="250" spans="1:29" x14ac:dyDescent="0.3">
      <c r="A250" s="5">
        <v>249</v>
      </c>
      <c r="B250" s="5">
        <v>1</v>
      </c>
      <c r="C250" s="5">
        <v>0</v>
      </c>
      <c r="D250" s="5">
        <v>0</v>
      </c>
      <c r="E250" s="5">
        <v>0</v>
      </c>
      <c r="F250" s="5">
        <v>1</v>
      </c>
      <c r="G250" s="5">
        <v>1</v>
      </c>
      <c r="H250" s="6" t="s">
        <v>49</v>
      </c>
      <c r="I250" s="6" t="s">
        <v>352</v>
      </c>
      <c r="J250" s="6" t="s">
        <v>50</v>
      </c>
      <c r="K250" s="6" t="s">
        <v>49</v>
      </c>
      <c r="L250" s="6" t="s">
        <v>70</v>
      </c>
      <c r="M250" s="6">
        <v>5</v>
      </c>
      <c r="N250" s="6" t="s">
        <v>45</v>
      </c>
      <c r="O250" s="6" t="s">
        <v>46</v>
      </c>
      <c r="P250" s="6">
        <v>1</v>
      </c>
      <c r="Q250" s="6">
        <v>0</v>
      </c>
      <c r="R250" s="6">
        <v>1</v>
      </c>
      <c r="S250" s="6">
        <v>1</v>
      </c>
      <c r="T250" s="6">
        <v>0</v>
      </c>
      <c r="U250" s="6">
        <v>0</v>
      </c>
      <c r="V250" s="6">
        <v>0</v>
      </c>
      <c r="W250" s="6">
        <v>1</v>
      </c>
      <c r="X250" s="6">
        <v>0</v>
      </c>
      <c r="Y250" s="6">
        <v>0</v>
      </c>
      <c r="Z250" s="6" t="s">
        <v>21</v>
      </c>
      <c r="AA250" s="6" t="s">
        <v>23</v>
      </c>
      <c r="AB250" s="6" t="s">
        <v>24</v>
      </c>
      <c r="AC250" s="6" t="s">
        <v>48</v>
      </c>
    </row>
    <row r="251" spans="1:29" x14ac:dyDescent="0.3">
      <c r="A251" s="7">
        <v>250</v>
      </c>
      <c r="B251" s="7">
        <v>1</v>
      </c>
      <c r="C251" s="7">
        <v>0</v>
      </c>
      <c r="D251" s="7">
        <v>0</v>
      </c>
      <c r="E251" s="7">
        <v>0</v>
      </c>
      <c r="F251" s="7">
        <v>0</v>
      </c>
      <c r="G251" s="7">
        <v>0</v>
      </c>
      <c r="H251" s="8" t="s">
        <v>27</v>
      </c>
      <c r="I251" s="8" t="s">
        <v>43</v>
      </c>
      <c r="J251" s="8" t="s">
        <v>50</v>
      </c>
      <c r="K251" s="8" t="s">
        <v>18</v>
      </c>
      <c r="L251" s="8" t="s">
        <v>44</v>
      </c>
      <c r="M251" s="8">
        <v>3</v>
      </c>
      <c r="N251" s="8" t="s">
        <v>45</v>
      </c>
      <c r="O251" s="8" t="s">
        <v>52</v>
      </c>
      <c r="P251" s="8">
        <v>1</v>
      </c>
      <c r="Q251" s="8">
        <v>1</v>
      </c>
      <c r="R251" s="8">
        <v>1</v>
      </c>
      <c r="S251" s="8">
        <v>1</v>
      </c>
      <c r="T251" s="8">
        <v>1</v>
      </c>
      <c r="U251" s="8">
        <v>1</v>
      </c>
      <c r="V251" s="8">
        <v>1</v>
      </c>
      <c r="W251" s="8">
        <v>1</v>
      </c>
      <c r="X251" s="8">
        <v>1</v>
      </c>
      <c r="Y251" s="8">
        <v>1</v>
      </c>
      <c r="Z251" s="8" t="s">
        <v>25</v>
      </c>
      <c r="AA251" s="8" t="s">
        <v>34</v>
      </c>
      <c r="AB251" s="8" t="s">
        <v>24</v>
      </c>
      <c r="AC251" s="8" t="s">
        <v>48</v>
      </c>
    </row>
    <row r="252" spans="1:29" x14ac:dyDescent="0.3">
      <c r="A252" s="5">
        <v>251</v>
      </c>
      <c r="B252" s="5">
        <v>0</v>
      </c>
      <c r="C252" s="5">
        <v>0</v>
      </c>
      <c r="D252" s="5">
        <v>0</v>
      </c>
      <c r="E252" s="5">
        <v>0</v>
      </c>
      <c r="F252" s="5">
        <v>1</v>
      </c>
      <c r="G252" s="5">
        <v>0</v>
      </c>
      <c r="H252" s="6" t="s">
        <v>27</v>
      </c>
      <c r="I252" s="6" t="s">
        <v>43</v>
      </c>
      <c r="J252" s="6" t="s">
        <v>356</v>
      </c>
      <c r="K252" s="6" t="s">
        <v>102</v>
      </c>
      <c r="L252" s="6" t="s">
        <v>58</v>
      </c>
      <c r="M252" s="6">
        <v>5</v>
      </c>
      <c r="N252" s="6" t="s">
        <v>72</v>
      </c>
      <c r="O252" s="6" t="s">
        <v>63</v>
      </c>
      <c r="P252" s="6">
        <v>1</v>
      </c>
      <c r="Q252" s="6">
        <v>1</v>
      </c>
      <c r="R252" s="6">
        <v>0</v>
      </c>
      <c r="S252" s="6">
        <v>1</v>
      </c>
      <c r="T252" s="6">
        <v>0</v>
      </c>
      <c r="U252" s="6">
        <v>1</v>
      </c>
      <c r="V252" s="6">
        <v>0</v>
      </c>
      <c r="W252" s="6">
        <v>1</v>
      </c>
      <c r="X252" s="6">
        <v>0</v>
      </c>
      <c r="Y252" s="6">
        <v>1</v>
      </c>
      <c r="Z252" s="6" t="s">
        <v>21</v>
      </c>
      <c r="AA252" s="6" t="s">
        <v>40</v>
      </c>
      <c r="AB252" s="6" t="s">
        <v>24</v>
      </c>
      <c r="AC252" s="6" t="s">
        <v>48</v>
      </c>
    </row>
    <row r="253" spans="1:29" x14ac:dyDescent="0.3">
      <c r="A253" s="7">
        <v>252</v>
      </c>
      <c r="B253" s="7">
        <v>0</v>
      </c>
      <c r="C253" s="7">
        <v>1</v>
      </c>
      <c r="D253" s="7">
        <v>0</v>
      </c>
      <c r="E253" s="7">
        <v>0</v>
      </c>
      <c r="F253" s="7">
        <v>0</v>
      </c>
      <c r="G253" s="7">
        <v>0</v>
      </c>
      <c r="H253" s="8" t="s">
        <v>15</v>
      </c>
      <c r="I253" s="8" t="s">
        <v>43</v>
      </c>
      <c r="J253" s="8" t="s">
        <v>17</v>
      </c>
      <c r="K253" s="8" t="s">
        <v>15</v>
      </c>
      <c r="L253" s="8" t="s">
        <v>44</v>
      </c>
      <c r="M253" s="8">
        <v>4</v>
      </c>
      <c r="N253" s="8" t="s">
        <v>45</v>
      </c>
      <c r="O253" s="8" t="s">
        <v>63</v>
      </c>
      <c r="P253" s="8">
        <v>1</v>
      </c>
      <c r="Q253" s="8">
        <v>1</v>
      </c>
      <c r="R253" s="8">
        <v>1</v>
      </c>
      <c r="S253" s="8">
        <v>1</v>
      </c>
      <c r="T253" s="8">
        <v>1</v>
      </c>
      <c r="U253" s="8">
        <v>1</v>
      </c>
      <c r="V253" s="8">
        <v>1</v>
      </c>
      <c r="W253" s="8">
        <v>1</v>
      </c>
      <c r="X253" s="8">
        <v>1</v>
      </c>
      <c r="Y253" s="8">
        <v>1</v>
      </c>
      <c r="Z253" s="8" t="s">
        <v>25</v>
      </c>
      <c r="AA253" s="8" t="s">
        <v>34</v>
      </c>
      <c r="AB253" s="8" t="s">
        <v>24</v>
      </c>
      <c r="AC253" s="8" t="s">
        <v>48</v>
      </c>
    </row>
    <row r="254" spans="1:29" x14ac:dyDescent="0.3">
      <c r="A254" s="5">
        <v>253</v>
      </c>
      <c r="B254" s="5">
        <v>0</v>
      </c>
      <c r="C254" s="5">
        <v>0</v>
      </c>
      <c r="D254" s="5">
        <v>0</v>
      </c>
      <c r="E254" s="5">
        <v>0</v>
      </c>
      <c r="F254" s="5">
        <v>1</v>
      </c>
      <c r="G254" s="5">
        <v>0</v>
      </c>
      <c r="H254" s="6" t="s">
        <v>27</v>
      </c>
      <c r="I254" s="6" t="s">
        <v>43</v>
      </c>
      <c r="J254" s="6" t="s">
        <v>356</v>
      </c>
      <c r="K254" s="6" t="s">
        <v>18</v>
      </c>
      <c r="L254" s="6" t="s">
        <v>58</v>
      </c>
      <c r="M254" s="6">
        <v>5</v>
      </c>
      <c r="N254" s="6" t="s">
        <v>45</v>
      </c>
      <c r="O254" s="6" t="s">
        <v>52</v>
      </c>
      <c r="P254" s="6">
        <v>1</v>
      </c>
      <c r="Q254" s="6">
        <v>0</v>
      </c>
      <c r="R254" s="6">
        <v>0</v>
      </c>
      <c r="S254" s="6">
        <v>1</v>
      </c>
      <c r="T254" s="6">
        <v>1</v>
      </c>
      <c r="U254" s="6">
        <v>0</v>
      </c>
      <c r="V254" s="6">
        <v>0</v>
      </c>
      <c r="W254" s="6">
        <v>0</v>
      </c>
      <c r="X254" s="6">
        <v>0</v>
      </c>
      <c r="Y254" s="6">
        <v>0</v>
      </c>
      <c r="Z254" s="6" t="s">
        <v>21</v>
      </c>
      <c r="AA254" s="6" t="s">
        <v>23</v>
      </c>
      <c r="AB254" s="6" t="s">
        <v>24</v>
      </c>
      <c r="AC254" s="6" t="s">
        <v>25</v>
      </c>
    </row>
    <row r="255" spans="1:29" x14ac:dyDescent="0.3">
      <c r="A255" s="7">
        <v>254</v>
      </c>
      <c r="B255" s="7">
        <v>0</v>
      </c>
      <c r="C255" s="7">
        <v>0</v>
      </c>
      <c r="D255" s="7">
        <v>0</v>
      </c>
      <c r="E255" s="7">
        <v>0</v>
      </c>
      <c r="F255" s="7">
        <v>1</v>
      </c>
      <c r="G255" s="7">
        <v>0</v>
      </c>
      <c r="H255" s="8" t="s">
        <v>15</v>
      </c>
      <c r="I255" s="8" t="s">
        <v>43</v>
      </c>
      <c r="J255" s="8" t="s">
        <v>37</v>
      </c>
      <c r="K255" s="8" t="s">
        <v>49</v>
      </c>
      <c r="L255" s="8" t="s">
        <v>58</v>
      </c>
      <c r="M255" s="8">
        <v>4</v>
      </c>
      <c r="N255" s="8" t="s">
        <v>45</v>
      </c>
      <c r="O255" s="8" t="s">
        <v>46</v>
      </c>
      <c r="P255" s="8">
        <v>0</v>
      </c>
      <c r="Q255" s="8">
        <v>0</v>
      </c>
      <c r="R255" s="8">
        <v>0</v>
      </c>
      <c r="S255" s="8">
        <v>0</v>
      </c>
      <c r="T255" s="8">
        <v>0</v>
      </c>
      <c r="U255" s="8">
        <v>0</v>
      </c>
      <c r="V255" s="8">
        <v>1</v>
      </c>
      <c r="W255" s="8">
        <v>0</v>
      </c>
      <c r="X255" s="8">
        <v>0</v>
      </c>
      <c r="Y255" s="8">
        <v>0</v>
      </c>
      <c r="Z255" s="8" t="s">
        <v>21</v>
      </c>
      <c r="AA255" s="8" t="s">
        <v>34</v>
      </c>
      <c r="AB255" s="8" t="s">
        <v>24</v>
      </c>
      <c r="AC255" s="8" t="s">
        <v>25</v>
      </c>
    </row>
    <row r="256" spans="1:29" x14ac:dyDescent="0.3">
      <c r="A256" s="5">
        <v>255</v>
      </c>
      <c r="B256" s="5">
        <v>0</v>
      </c>
      <c r="C256" s="5">
        <v>0</v>
      </c>
      <c r="D256" s="5">
        <v>1</v>
      </c>
      <c r="E256" s="5">
        <v>0</v>
      </c>
      <c r="F256" s="5">
        <v>0</v>
      </c>
      <c r="G256" s="5">
        <v>0</v>
      </c>
      <c r="H256" s="6" t="s">
        <v>49</v>
      </c>
      <c r="I256" s="6" t="s">
        <v>352</v>
      </c>
      <c r="J256" s="6" t="s">
        <v>50</v>
      </c>
      <c r="K256" s="6" t="s">
        <v>49</v>
      </c>
      <c r="L256" s="6" t="s">
        <v>70</v>
      </c>
      <c r="M256" s="6">
        <v>5</v>
      </c>
      <c r="N256" s="6" t="s">
        <v>45</v>
      </c>
      <c r="O256" s="6" t="s">
        <v>63</v>
      </c>
      <c r="P256" s="6">
        <v>0</v>
      </c>
      <c r="Q256" s="6">
        <v>0</v>
      </c>
      <c r="R256" s="6">
        <v>1</v>
      </c>
      <c r="S256" s="6">
        <v>0</v>
      </c>
      <c r="T256" s="6">
        <v>0</v>
      </c>
      <c r="U256" s="6">
        <v>1</v>
      </c>
      <c r="V256" s="6">
        <v>0</v>
      </c>
      <c r="W256" s="6">
        <v>0</v>
      </c>
      <c r="X256" s="6">
        <v>1</v>
      </c>
      <c r="Y256" s="6">
        <v>0</v>
      </c>
      <c r="Z256" s="6" t="s">
        <v>25</v>
      </c>
      <c r="AA256" s="6" t="s">
        <v>23</v>
      </c>
      <c r="AB256" s="6" t="s">
        <v>136</v>
      </c>
      <c r="AC256" s="6" t="s">
        <v>48</v>
      </c>
    </row>
    <row r="257" spans="1:29" x14ac:dyDescent="0.3">
      <c r="A257" s="7">
        <v>256</v>
      </c>
      <c r="B257" s="7">
        <v>0</v>
      </c>
      <c r="C257" s="7">
        <v>1</v>
      </c>
      <c r="D257" s="7">
        <v>0</v>
      </c>
      <c r="E257" s="7">
        <v>0</v>
      </c>
      <c r="F257" s="7">
        <v>0</v>
      </c>
      <c r="G257" s="7">
        <v>0</v>
      </c>
      <c r="H257" s="8" t="s">
        <v>15</v>
      </c>
      <c r="I257" s="8" t="s">
        <v>43</v>
      </c>
      <c r="J257" s="8" t="s">
        <v>37</v>
      </c>
      <c r="K257" s="8" t="s">
        <v>30</v>
      </c>
      <c r="L257" s="8" t="s">
        <v>44</v>
      </c>
      <c r="M257" s="8">
        <v>4</v>
      </c>
      <c r="N257" s="8" t="s">
        <v>45</v>
      </c>
      <c r="O257" s="8" t="s">
        <v>63</v>
      </c>
      <c r="P257" s="8">
        <v>1</v>
      </c>
      <c r="Q257" s="8">
        <v>0</v>
      </c>
      <c r="R257" s="8">
        <v>1</v>
      </c>
      <c r="S257" s="8">
        <v>1</v>
      </c>
      <c r="T257" s="8">
        <v>0</v>
      </c>
      <c r="U257" s="8">
        <v>0</v>
      </c>
      <c r="V257" s="8">
        <v>0</v>
      </c>
      <c r="W257" s="8">
        <v>0</v>
      </c>
      <c r="X257" s="8">
        <v>1</v>
      </c>
      <c r="Y257" s="8">
        <v>0</v>
      </c>
      <c r="Z257" s="8" t="s">
        <v>25</v>
      </c>
      <c r="AA257" s="8" t="s">
        <v>23</v>
      </c>
      <c r="AB257" s="8" t="s">
        <v>24</v>
      </c>
      <c r="AC257" s="8" t="s">
        <v>82</v>
      </c>
    </row>
    <row r="258" spans="1:29" x14ac:dyDescent="0.3">
      <c r="A258" s="5">
        <v>257</v>
      </c>
      <c r="B258" s="5">
        <v>0</v>
      </c>
      <c r="C258" s="5">
        <v>1</v>
      </c>
      <c r="D258" s="5">
        <v>0</v>
      </c>
      <c r="E258" s="5">
        <v>0</v>
      </c>
      <c r="F258" s="5">
        <v>0</v>
      </c>
      <c r="G258" s="5">
        <v>1</v>
      </c>
      <c r="H258" s="6" t="s">
        <v>15</v>
      </c>
      <c r="I258" s="6" t="s">
        <v>43</v>
      </c>
      <c r="J258" s="6" t="s">
        <v>29</v>
      </c>
      <c r="K258" s="6" t="s">
        <v>102</v>
      </c>
      <c r="L258" s="6" t="s">
        <v>44</v>
      </c>
      <c r="M258" s="6">
        <v>5</v>
      </c>
      <c r="N258" s="6" t="s">
        <v>45</v>
      </c>
      <c r="O258" s="6" t="s">
        <v>63</v>
      </c>
      <c r="P258" s="6">
        <v>1</v>
      </c>
      <c r="Q258" s="6">
        <v>0</v>
      </c>
      <c r="R258" s="6">
        <v>1</v>
      </c>
      <c r="S258" s="6">
        <v>0</v>
      </c>
      <c r="T258" s="6">
        <v>0</v>
      </c>
      <c r="U258" s="6">
        <v>0</v>
      </c>
      <c r="V258" s="6">
        <v>0</v>
      </c>
      <c r="W258" s="6">
        <v>0</v>
      </c>
      <c r="X258" s="6">
        <v>1</v>
      </c>
      <c r="Y258" s="6">
        <v>0</v>
      </c>
      <c r="Z258" s="6" t="s">
        <v>21</v>
      </c>
      <c r="AA258" s="6" t="s">
        <v>23</v>
      </c>
      <c r="AB258" s="6" t="s">
        <v>24</v>
      </c>
      <c r="AC258" s="6" t="s">
        <v>48</v>
      </c>
    </row>
    <row r="259" spans="1:29" x14ac:dyDescent="0.3">
      <c r="A259" s="7">
        <v>258</v>
      </c>
      <c r="B259" s="7">
        <v>1</v>
      </c>
      <c r="C259" s="7">
        <v>0</v>
      </c>
      <c r="D259" s="7">
        <v>0</v>
      </c>
      <c r="E259" s="7">
        <v>0</v>
      </c>
      <c r="F259" s="7">
        <v>0</v>
      </c>
      <c r="G259" s="7">
        <v>0</v>
      </c>
      <c r="H259" s="8" t="s">
        <v>15</v>
      </c>
      <c r="I259" s="8" t="s">
        <v>83</v>
      </c>
      <c r="J259" s="8" t="s">
        <v>17</v>
      </c>
      <c r="K259" s="8" t="s">
        <v>18</v>
      </c>
      <c r="L259" s="8" t="s">
        <v>70</v>
      </c>
      <c r="M259" s="8">
        <v>5</v>
      </c>
      <c r="N259" s="8" t="s">
        <v>45</v>
      </c>
      <c r="O259" s="8" t="s">
        <v>46</v>
      </c>
      <c r="P259" s="8">
        <v>1</v>
      </c>
      <c r="Q259" s="8">
        <v>0</v>
      </c>
      <c r="R259" s="8">
        <v>0</v>
      </c>
      <c r="S259" s="8">
        <v>0</v>
      </c>
      <c r="T259" s="8">
        <v>0</v>
      </c>
      <c r="U259" s="8">
        <v>0</v>
      </c>
      <c r="V259" s="8">
        <v>0</v>
      </c>
      <c r="W259" s="8">
        <v>0</v>
      </c>
      <c r="X259" s="8">
        <v>0</v>
      </c>
      <c r="Y259" s="8">
        <v>0</v>
      </c>
      <c r="Z259" s="8" t="s">
        <v>21</v>
      </c>
      <c r="AA259" s="8" t="s">
        <v>40</v>
      </c>
      <c r="AB259" s="8" t="s">
        <v>24</v>
      </c>
      <c r="AC259" s="8" t="s">
        <v>21</v>
      </c>
    </row>
    <row r="260" spans="1:29" x14ac:dyDescent="0.3">
      <c r="A260" s="5">
        <v>259</v>
      </c>
      <c r="B260" s="5">
        <v>0</v>
      </c>
      <c r="C260" s="5">
        <v>0</v>
      </c>
      <c r="D260" s="5">
        <v>0</v>
      </c>
      <c r="E260" s="5">
        <v>0</v>
      </c>
      <c r="F260" s="5">
        <v>0</v>
      </c>
      <c r="G260" s="5">
        <v>1</v>
      </c>
      <c r="H260" s="6" t="s">
        <v>27</v>
      </c>
      <c r="I260" s="6" t="s">
        <v>83</v>
      </c>
      <c r="J260" s="6" t="s">
        <v>17</v>
      </c>
      <c r="K260" s="6" t="s">
        <v>15</v>
      </c>
      <c r="L260" s="6" t="s">
        <v>70</v>
      </c>
      <c r="M260" s="6">
        <v>3</v>
      </c>
      <c r="N260" s="6" t="s">
        <v>45</v>
      </c>
      <c r="O260" s="6" t="s">
        <v>46</v>
      </c>
      <c r="P260" s="6">
        <v>1</v>
      </c>
      <c r="Q260" s="6">
        <v>1</v>
      </c>
      <c r="R260" s="6">
        <v>0</v>
      </c>
      <c r="S260" s="6">
        <v>0</v>
      </c>
      <c r="T260" s="6">
        <v>1</v>
      </c>
      <c r="U260" s="6">
        <v>1</v>
      </c>
      <c r="V260" s="6">
        <v>0</v>
      </c>
      <c r="W260" s="6">
        <v>1</v>
      </c>
      <c r="X260" s="6">
        <v>0</v>
      </c>
      <c r="Y260" s="6">
        <v>0</v>
      </c>
      <c r="Z260" s="6" t="s">
        <v>21</v>
      </c>
      <c r="AA260" s="6" t="s">
        <v>34</v>
      </c>
      <c r="AB260" s="6" t="s">
        <v>24</v>
      </c>
      <c r="AC260" s="6" t="s">
        <v>48</v>
      </c>
    </row>
    <row r="261" spans="1:29" x14ac:dyDescent="0.3">
      <c r="A261" s="7">
        <v>260</v>
      </c>
      <c r="B261" s="7">
        <v>0</v>
      </c>
      <c r="C261" s="7">
        <v>0</v>
      </c>
      <c r="D261" s="7">
        <v>0</v>
      </c>
      <c r="E261" s="7">
        <v>0</v>
      </c>
      <c r="F261" s="7">
        <v>0</v>
      </c>
      <c r="G261" s="7">
        <v>1</v>
      </c>
      <c r="H261" s="8" t="s">
        <v>42</v>
      </c>
      <c r="I261" s="8" t="s">
        <v>36</v>
      </c>
      <c r="J261" s="8" t="s">
        <v>29</v>
      </c>
      <c r="K261" s="8" t="s">
        <v>15</v>
      </c>
      <c r="L261" s="8" t="s">
        <v>51</v>
      </c>
      <c r="M261" s="8">
        <v>4</v>
      </c>
      <c r="N261" s="8" t="s">
        <v>84</v>
      </c>
      <c r="O261" s="8" t="s">
        <v>46</v>
      </c>
      <c r="P261" s="8">
        <v>1</v>
      </c>
      <c r="Q261" s="8">
        <v>0</v>
      </c>
      <c r="R261" s="8">
        <v>0</v>
      </c>
      <c r="S261" s="8">
        <v>0</v>
      </c>
      <c r="T261" s="8">
        <v>0</v>
      </c>
      <c r="U261" s="8">
        <v>0</v>
      </c>
      <c r="V261" s="8">
        <v>0</v>
      </c>
      <c r="W261" s="8">
        <v>0</v>
      </c>
      <c r="X261" s="8">
        <v>0</v>
      </c>
      <c r="Y261" s="8">
        <v>0</v>
      </c>
      <c r="Z261" s="8" t="s">
        <v>25</v>
      </c>
      <c r="AA261" s="8" t="s">
        <v>34</v>
      </c>
      <c r="AB261" s="8" t="s">
        <v>24</v>
      </c>
      <c r="AC261" s="8" t="s">
        <v>21</v>
      </c>
    </row>
    <row r="262" spans="1:29" x14ac:dyDescent="0.3">
      <c r="A262" s="5">
        <v>261</v>
      </c>
      <c r="B262" s="5">
        <v>0</v>
      </c>
      <c r="C262" s="5">
        <v>0</v>
      </c>
      <c r="D262" s="5">
        <v>0</v>
      </c>
      <c r="E262" s="5">
        <v>0</v>
      </c>
      <c r="F262" s="5">
        <v>0</v>
      </c>
      <c r="G262" s="5">
        <v>1</v>
      </c>
      <c r="H262" s="6" t="s">
        <v>49</v>
      </c>
      <c r="I262" s="6" t="s">
        <v>43</v>
      </c>
      <c r="J262" s="6" t="s">
        <v>50</v>
      </c>
      <c r="K262" s="6" t="s">
        <v>30</v>
      </c>
      <c r="L262" s="6" t="s">
        <v>51</v>
      </c>
      <c r="M262" s="6">
        <v>5</v>
      </c>
      <c r="N262" s="6" t="s">
        <v>45</v>
      </c>
      <c r="O262" s="6" t="s">
        <v>63</v>
      </c>
      <c r="P262" s="6">
        <v>1</v>
      </c>
      <c r="Q262" s="6">
        <v>0</v>
      </c>
      <c r="R262" s="6">
        <v>1</v>
      </c>
      <c r="S262" s="6">
        <v>0</v>
      </c>
      <c r="T262" s="6">
        <v>0</v>
      </c>
      <c r="U262" s="6">
        <v>0</v>
      </c>
      <c r="V262" s="6">
        <v>0</v>
      </c>
      <c r="W262" s="6">
        <v>1</v>
      </c>
      <c r="X262" s="6">
        <v>0</v>
      </c>
      <c r="Y262" s="6">
        <v>0</v>
      </c>
      <c r="Z262" s="6" t="s">
        <v>21</v>
      </c>
      <c r="AA262" s="6" t="s">
        <v>23</v>
      </c>
      <c r="AB262" s="6" t="s">
        <v>24</v>
      </c>
      <c r="AC262" s="6" t="s">
        <v>25</v>
      </c>
    </row>
    <row r="263" spans="1:29" x14ac:dyDescent="0.3">
      <c r="A263" s="7">
        <v>262</v>
      </c>
      <c r="B263" s="7">
        <v>0</v>
      </c>
      <c r="C263" s="7">
        <v>0</v>
      </c>
      <c r="D263" s="7">
        <v>0</v>
      </c>
      <c r="E263" s="7">
        <v>0</v>
      </c>
      <c r="F263" s="7">
        <v>1</v>
      </c>
      <c r="G263" s="7">
        <v>0</v>
      </c>
      <c r="H263" s="8" t="s">
        <v>42</v>
      </c>
      <c r="I263" s="8" t="s">
        <v>36</v>
      </c>
      <c r="J263" s="8" t="s">
        <v>17</v>
      </c>
      <c r="K263" s="8" t="s">
        <v>15</v>
      </c>
      <c r="L263" s="8" t="s">
        <v>70</v>
      </c>
      <c r="M263" s="8">
        <v>2</v>
      </c>
      <c r="N263" s="8" t="s">
        <v>45</v>
      </c>
      <c r="O263" s="8" t="s">
        <v>52</v>
      </c>
      <c r="P263" s="8">
        <v>1</v>
      </c>
      <c r="Q263" s="8">
        <v>1</v>
      </c>
      <c r="R263" s="8">
        <v>1</v>
      </c>
      <c r="S263" s="8">
        <v>1</v>
      </c>
      <c r="T263" s="8">
        <v>1</v>
      </c>
      <c r="U263" s="8">
        <v>1</v>
      </c>
      <c r="V263" s="8">
        <v>1</v>
      </c>
      <c r="W263" s="8">
        <v>1</v>
      </c>
      <c r="X263" s="8">
        <v>1</v>
      </c>
      <c r="Y263" s="8">
        <v>1</v>
      </c>
      <c r="Z263" s="8" t="s">
        <v>21</v>
      </c>
      <c r="AA263" s="8" t="s">
        <v>23</v>
      </c>
      <c r="AB263" s="8" t="s">
        <v>24</v>
      </c>
      <c r="AC263" s="8" t="s">
        <v>25</v>
      </c>
    </row>
    <row r="264" spans="1:29" x14ac:dyDescent="0.3">
      <c r="A264" s="5">
        <v>263</v>
      </c>
      <c r="B264" s="5">
        <v>0</v>
      </c>
      <c r="C264" s="5">
        <v>1</v>
      </c>
      <c r="D264" s="5">
        <v>0</v>
      </c>
      <c r="E264" s="5">
        <v>0</v>
      </c>
      <c r="F264" s="5">
        <v>0</v>
      </c>
      <c r="G264" s="5">
        <v>0</v>
      </c>
      <c r="H264" s="6" t="s">
        <v>15</v>
      </c>
      <c r="I264" s="6" t="s">
        <v>43</v>
      </c>
      <c r="J264" s="6" t="s">
        <v>50</v>
      </c>
      <c r="K264" s="6" t="s">
        <v>49</v>
      </c>
      <c r="L264" s="6" t="s">
        <v>51</v>
      </c>
      <c r="M264" s="6">
        <v>5</v>
      </c>
      <c r="N264" s="6" t="s">
        <v>45</v>
      </c>
      <c r="O264" s="6" t="s">
        <v>52</v>
      </c>
      <c r="P264" s="6">
        <v>0</v>
      </c>
      <c r="Q264" s="6">
        <v>0</v>
      </c>
      <c r="R264" s="6">
        <v>1</v>
      </c>
      <c r="S264" s="6">
        <v>0</v>
      </c>
      <c r="T264" s="6">
        <v>0</v>
      </c>
      <c r="U264" s="6">
        <v>0</v>
      </c>
      <c r="V264" s="6">
        <v>0</v>
      </c>
      <c r="W264" s="6">
        <v>0</v>
      </c>
      <c r="X264" s="6">
        <v>0</v>
      </c>
      <c r="Y264" s="6">
        <v>0</v>
      </c>
      <c r="Z264" s="6" t="s">
        <v>25</v>
      </c>
      <c r="AA264" s="6" t="s">
        <v>34</v>
      </c>
      <c r="AB264" s="6" t="s">
        <v>88</v>
      </c>
      <c r="AC264" s="6" t="s">
        <v>25</v>
      </c>
    </row>
    <row r="265" spans="1:29" x14ac:dyDescent="0.3">
      <c r="A265" s="7">
        <v>264</v>
      </c>
      <c r="B265" s="7">
        <v>0</v>
      </c>
      <c r="C265" s="7">
        <v>1</v>
      </c>
      <c r="D265" s="7">
        <v>0</v>
      </c>
      <c r="E265" s="7">
        <v>0</v>
      </c>
      <c r="F265" s="7">
        <v>0</v>
      </c>
      <c r="G265" s="7">
        <v>0</v>
      </c>
      <c r="H265" s="8" t="s">
        <v>15</v>
      </c>
      <c r="I265" s="8" t="s">
        <v>43</v>
      </c>
      <c r="J265" s="8" t="s">
        <v>37</v>
      </c>
      <c r="K265" s="8" t="s">
        <v>30</v>
      </c>
      <c r="L265" s="8" t="s">
        <v>51</v>
      </c>
      <c r="M265" s="8">
        <v>4</v>
      </c>
      <c r="N265" s="8" t="s">
        <v>45</v>
      </c>
      <c r="O265" s="8" t="s">
        <v>46</v>
      </c>
      <c r="P265" s="8">
        <v>1</v>
      </c>
      <c r="Q265" s="8">
        <v>1</v>
      </c>
      <c r="R265" s="8">
        <v>0</v>
      </c>
      <c r="S265" s="8">
        <v>0</v>
      </c>
      <c r="T265" s="8">
        <v>0</v>
      </c>
      <c r="U265" s="8">
        <v>0</v>
      </c>
      <c r="V265" s="8">
        <v>0</v>
      </c>
      <c r="W265" s="8">
        <v>1</v>
      </c>
      <c r="X265" s="8">
        <v>1</v>
      </c>
      <c r="Y265" s="8">
        <v>0</v>
      </c>
      <c r="Z265" s="8" t="s">
        <v>21</v>
      </c>
      <c r="AA265" s="8" t="s">
        <v>23</v>
      </c>
      <c r="AB265" s="8" t="s">
        <v>24</v>
      </c>
      <c r="AC265" s="8" t="s">
        <v>21</v>
      </c>
    </row>
    <row r="266" spans="1:29" x14ac:dyDescent="0.3">
      <c r="A266" s="5">
        <v>265</v>
      </c>
      <c r="B266" s="5">
        <v>1</v>
      </c>
      <c r="C266" s="5">
        <v>0</v>
      </c>
      <c r="D266" s="5">
        <v>0</v>
      </c>
      <c r="E266" s="5">
        <v>0</v>
      </c>
      <c r="F266" s="5">
        <v>0</v>
      </c>
      <c r="G266" s="5">
        <v>0</v>
      </c>
      <c r="H266" s="6" t="s">
        <v>42</v>
      </c>
      <c r="I266" s="6" t="s">
        <v>43</v>
      </c>
      <c r="J266" s="6" t="s">
        <v>37</v>
      </c>
      <c r="K266" s="6" t="s">
        <v>18</v>
      </c>
      <c r="L266" s="6" t="s">
        <v>58</v>
      </c>
      <c r="M266" s="6">
        <v>5</v>
      </c>
      <c r="N266" s="6" t="s">
        <v>45</v>
      </c>
      <c r="O266" s="6" t="s">
        <v>63</v>
      </c>
      <c r="P266" s="6">
        <v>1</v>
      </c>
      <c r="Q266" s="6">
        <v>1</v>
      </c>
      <c r="R266" s="6">
        <v>0</v>
      </c>
      <c r="S266" s="6">
        <v>0</v>
      </c>
      <c r="T266" s="6">
        <v>0</v>
      </c>
      <c r="U266" s="6">
        <v>0</v>
      </c>
      <c r="V266" s="6">
        <v>0</v>
      </c>
      <c r="W266" s="6">
        <v>0</v>
      </c>
      <c r="X266" s="6">
        <v>1</v>
      </c>
      <c r="Y266" s="6">
        <v>0</v>
      </c>
      <c r="Z266" s="6" t="s">
        <v>21</v>
      </c>
      <c r="AA266" s="6" t="s">
        <v>40</v>
      </c>
      <c r="AB266" s="6" t="s">
        <v>24</v>
      </c>
      <c r="AC266" s="6" t="s">
        <v>48</v>
      </c>
    </row>
    <row r="267" spans="1:29" x14ac:dyDescent="0.3">
      <c r="A267" s="7">
        <v>266</v>
      </c>
      <c r="B267" s="7">
        <v>1</v>
      </c>
      <c r="C267" s="7">
        <v>0</v>
      </c>
      <c r="D267" s="7">
        <v>0</v>
      </c>
      <c r="E267" s="7">
        <v>0</v>
      </c>
      <c r="F267" s="7">
        <v>0</v>
      </c>
      <c r="G267" s="7">
        <v>0</v>
      </c>
      <c r="H267" s="8" t="s">
        <v>15</v>
      </c>
      <c r="I267" s="8" t="s">
        <v>43</v>
      </c>
      <c r="J267" s="8" t="s">
        <v>17</v>
      </c>
      <c r="K267" s="8" t="s">
        <v>15</v>
      </c>
      <c r="L267" s="8" t="s">
        <v>51</v>
      </c>
      <c r="M267" s="8">
        <v>5</v>
      </c>
      <c r="N267" s="8" t="s">
        <v>45</v>
      </c>
      <c r="O267" s="8" t="s">
        <v>63</v>
      </c>
      <c r="P267" s="8">
        <v>1</v>
      </c>
      <c r="Q267" s="8">
        <v>0</v>
      </c>
      <c r="R267" s="8">
        <v>1</v>
      </c>
      <c r="S267" s="8">
        <v>0</v>
      </c>
      <c r="T267" s="8">
        <v>0</v>
      </c>
      <c r="U267" s="8">
        <v>0</v>
      </c>
      <c r="V267" s="8">
        <v>0</v>
      </c>
      <c r="W267" s="8">
        <v>0</v>
      </c>
      <c r="X267" s="8">
        <v>0</v>
      </c>
      <c r="Y267" s="8">
        <v>0</v>
      </c>
      <c r="Z267" s="8" t="s">
        <v>21</v>
      </c>
      <c r="AA267" s="8" t="s">
        <v>23</v>
      </c>
      <c r="AB267" s="8" t="s">
        <v>24</v>
      </c>
      <c r="AC267" s="8" t="s">
        <v>25</v>
      </c>
    </row>
    <row r="268" spans="1:29" x14ac:dyDescent="0.3">
      <c r="A268" s="5">
        <v>267</v>
      </c>
      <c r="B268" s="5">
        <v>0</v>
      </c>
      <c r="C268" s="5">
        <v>0</v>
      </c>
      <c r="D268" s="5">
        <v>0</v>
      </c>
      <c r="E268" s="5">
        <v>0</v>
      </c>
      <c r="F268" s="5">
        <v>0</v>
      </c>
      <c r="G268" s="5">
        <v>1</v>
      </c>
      <c r="H268" s="6" t="s">
        <v>15</v>
      </c>
      <c r="I268" s="6" t="s">
        <v>43</v>
      </c>
      <c r="J268" s="6" t="s">
        <v>29</v>
      </c>
      <c r="K268" s="6" t="s">
        <v>30</v>
      </c>
      <c r="L268" s="6" t="s">
        <v>44</v>
      </c>
      <c r="M268" s="6">
        <v>3</v>
      </c>
      <c r="N268" s="6" t="s">
        <v>45</v>
      </c>
      <c r="O268" s="6" t="s">
        <v>63</v>
      </c>
      <c r="P268" s="6">
        <v>1</v>
      </c>
      <c r="Q268" s="6">
        <v>1</v>
      </c>
      <c r="R268" s="6">
        <v>1</v>
      </c>
      <c r="S268" s="6">
        <v>1</v>
      </c>
      <c r="T268" s="6">
        <v>1</v>
      </c>
      <c r="U268" s="6">
        <v>1</v>
      </c>
      <c r="V268" s="6">
        <v>1</v>
      </c>
      <c r="W268" s="6">
        <v>1</v>
      </c>
      <c r="X268" s="6">
        <v>1</v>
      </c>
      <c r="Y268" s="6">
        <v>1</v>
      </c>
      <c r="Z268" s="6" t="s">
        <v>25</v>
      </c>
      <c r="AA268" s="6" t="s">
        <v>34</v>
      </c>
      <c r="AB268" s="6" t="s">
        <v>24</v>
      </c>
      <c r="AC268" s="6" t="s">
        <v>48</v>
      </c>
    </row>
    <row r="269" spans="1:29" x14ac:dyDescent="0.3">
      <c r="A269" s="7">
        <v>268</v>
      </c>
      <c r="B269" s="7">
        <v>1</v>
      </c>
      <c r="C269" s="7">
        <v>0</v>
      </c>
      <c r="D269" s="7">
        <v>0</v>
      </c>
      <c r="E269" s="7">
        <v>0</v>
      </c>
      <c r="F269" s="7">
        <v>0</v>
      </c>
      <c r="G269" s="7">
        <v>0</v>
      </c>
      <c r="H269" s="8" t="s">
        <v>42</v>
      </c>
      <c r="I269" s="8" t="s">
        <v>36</v>
      </c>
      <c r="J269" s="8" t="s">
        <v>37</v>
      </c>
      <c r="K269" s="8" t="s">
        <v>18</v>
      </c>
      <c r="L269" s="8" t="s">
        <v>44</v>
      </c>
      <c r="M269" s="8">
        <v>4</v>
      </c>
      <c r="N269" s="8" t="s">
        <v>59</v>
      </c>
      <c r="O269" s="8" t="s">
        <v>46</v>
      </c>
      <c r="P269" s="8">
        <v>1</v>
      </c>
      <c r="Q269" s="8">
        <v>0</v>
      </c>
      <c r="R269" s="8">
        <v>0</v>
      </c>
      <c r="S269" s="8">
        <v>0</v>
      </c>
      <c r="T269" s="8">
        <v>0</v>
      </c>
      <c r="U269" s="8">
        <v>0</v>
      </c>
      <c r="V269" s="8">
        <v>0</v>
      </c>
      <c r="W269" s="8">
        <v>0</v>
      </c>
      <c r="X269" s="8">
        <v>0</v>
      </c>
      <c r="Y269" s="8">
        <v>0</v>
      </c>
      <c r="Z269" s="8" t="s">
        <v>21</v>
      </c>
      <c r="AA269" s="8" t="s">
        <v>40</v>
      </c>
      <c r="AB269" s="8" t="s">
        <v>24</v>
      </c>
      <c r="AC269" s="8" t="s">
        <v>21</v>
      </c>
    </row>
    <row r="270" spans="1:29" x14ac:dyDescent="0.3">
      <c r="A270" s="5">
        <v>269</v>
      </c>
      <c r="B270" s="5">
        <v>0</v>
      </c>
      <c r="C270" s="5">
        <v>1</v>
      </c>
      <c r="D270" s="5">
        <v>0</v>
      </c>
      <c r="E270" s="5">
        <v>0</v>
      </c>
      <c r="F270" s="5">
        <v>0</v>
      </c>
      <c r="G270" s="5">
        <v>0</v>
      </c>
      <c r="H270" s="6" t="s">
        <v>49</v>
      </c>
      <c r="I270" s="6" t="s">
        <v>43</v>
      </c>
      <c r="J270" s="6" t="s">
        <v>356</v>
      </c>
      <c r="K270" s="6" t="s">
        <v>102</v>
      </c>
      <c r="L270" s="6" t="s">
        <v>51</v>
      </c>
      <c r="M270" s="6">
        <v>3</v>
      </c>
      <c r="N270" s="6" t="s">
        <v>45</v>
      </c>
      <c r="O270" s="6" t="s">
        <v>52</v>
      </c>
      <c r="P270" s="6">
        <v>1</v>
      </c>
      <c r="Q270" s="6">
        <v>1</v>
      </c>
      <c r="R270" s="6">
        <v>1</v>
      </c>
      <c r="S270" s="6">
        <v>1</v>
      </c>
      <c r="T270" s="6">
        <v>1</v>
      </c>
      <c r="U270" s="6">
        <v>1</v>
      </c>
      <c r="V270" s="6">
        <v>1</v>
      </c>
      <c r="W270" s="6">
        <v>1</v>
      </c>
      <c r="X270" s="6">
        <v>0</v>
      </c>
      <c r="Y270" s="6">
        <v>1</v>
      </c>
      <c r="Z270" s="6" t="s">
        <v>25</v>
      </c>
      <c r="AA270" s="6" t="s">
        <v>34</v>
      </c>
      <c r="AB270" s="6" t="s">
        <v>24</v>
      </c>
      <c r="AC270" s="6" t="s">
        <v>25</v>
      </c>
    </row>
    <row r="271" spans="1:29" x14ac:dyDescent="0.3">
      <c r="A271" s="7">
        <v>270</v>
      </c>
      <c r="B271" s="7">
        <v>0</v>
      </c>
      <c r="C271" s="7">
        <v>1</v>
      </c>
      <c r="D271" s="7">
        <v>0</v>
      </c>
      <c r="E271" s="7">
        <v>0</v>
      </c>
      <c r="F271" s="7">
        <v>0</v>
      </c>
      <c r="G271" s="7">
        <v>0</v>
      </c>
      <c r="H271" s="8" t="s">
        <v>15</v>
      </c>
      <c r="I271" s="8" t="s">
        <v>83</v>
      </c>
      <c r="J271" s="8" t="s">
        <v>356</v>
      </c>
      <c r="K271" s="8" t="s">
        <v>15</v>
      </c>
      <c r="L271" s="8" t="s">
        <v>44</v>
      </c>
      <c r="M271" s="8">
        <v>3</v>
      </c>
      <c r="N271" s="8" t="s">
        <v>45</v>
      </c>
      <c r="O271" s="8" t="s">
        <v>63</v>
      </c>
      <c r="P271" s="8">
        <v>1</v>
      </c>
      <c r="Q271" s="8">
        <v>1</v>
      </c>
      <c r="R271" s="8">
        <v>0</v>
      </c>
      <c r="S271" s="8">
        <v>1</v>
      </c>
      <c r="T271" s="8">
        <v>1</v>
      </c>
      <c r="U271" s="8">
        <v>1</v>
      </c>
      <c r="V271" s="8">
        <v>1</v>
      </c>
      <c r="W271" s="8">
        <v>0</v>
      </c>
      <c r="X271" s="8">
        <v>0</v>
      </c>
      <c r="Y271" s="8">
        <v>1</v>
      </c>
      <c r="Z271" s="8" t="s">
        <v>25</v>
      </c>
      <c r="AA271" s="8" t="s">
        <v>23</v>
      </c>
      <c r="AB271" s="8" t="s">
        <v>113</v>
      </c>
      <c r="AC271" s="8" t="s">
        <v>48</v>
      </c>
    </row>
    <row r="272" spans="1:29" x14ac:dyDescent="0.3">
      <c r="A272" s="5">
        <v>271</v>
      </c>
      <c r="B272" s="5">
        <v>0</v>
      </c>
      <c r="C272" s="5">
        <v>1</v>
      </c>
      <c r="D272" s="5">
        <v>0</v>
      </c>
      <c r="E272" s="5">
        <v>0</v>
      </c>
      <c r="F272" s="5">
        <v>0</v>
      </c>
      <c r="G272" s="5">
        <v>1</v>
      </c>
      <c r="H272" s="6" t="s">
        <v>49</v>
      </c>
      <c r="I272" s="6" t="s">
        <v>43</v>
      </c>
      <c r="J272" s="6" t="s">
        <v>356</v>
      </c>
      <c r="K272" s="6" t="s">
        <v>30</v>
      </c>
      <c r="L272" s="6" t="s">
        <v>51</v>
      </c>
      <c r="M272" s="6">
        <v>4</v>
      </c>
      <c r="N272" s="6" t="s">
        <v>45</v>
      </c>
      <c r="O272" s="6" t="s">
        <v>52</v>
      </c>
      <c r="P272" s="6">
        <v>0</v>
      </c>
      <c r="Q272" s="6">
        <v>0</v>
      </c>
      <c r="R272" s="6">
        <v>0</v>
      </c>
      <c r="S272" s="6">
        <v>0</v>
      </c>
      <c r="T272" s="6">
        <v>0</v>
      </c>
      <c r="U272" s="6">
        <v>0</v>
      </c>
      <c r="V272" s="6">
        <v>0</v>
      </c>
      <c r="W272" s="6">
        <v>1</v>
      </c>
      <c r="X272" s="6">
        <v>1</v>
      </c>
      <c r="Y272" s="6">
        <v>0</v>
      </c>
      <c r="Z272" s="6" t="s">
        <v>21</v>
      </c>
      <c r="AA272" s="6" t="s">
        <v>23</v>
      </c>
      <c r="AB272" s="6" t="s">
        <v>113</v>
      </c>
      <c r="AC272" s="6" t="s">
        <v>21</v>
      </c>
    </row>
    <row r="273" spans="1:29" x14ac:dyDescent="0.3">
      <c r="A273" s="7">
        <v>272</v>
      </c>
      <c r="B273" s="7">
        <v>1</v>
      </c>
      <c r="C273" s="7">
        <v>1</v>
      </c>
      <c r="D273" s="7">
        <v>0</v>
      </c>
      <c r="E273" s="7">
        <v>0</v>
      </c>
      <c r="F273" s="7">
        <v>0</v>
      </c>
      <c r="G273" s="7">
        <v>1</v>
      </c>
      <c r="H273" s="8" t="s">
        <v>27</v>
      </c>
      <c r="I273" s="8" t="s">
        <v>43</v>
      </c>
      <c r="J273" s="8" t="s">
        <v>50</v>
      </c>
      <c r="K273" s="8" t="s">
        <v>30</v>
      </c>
      <c r="L273" s="8" t="s">
        <v>58</v>
      </c>
      <c r="M273" s="8">
        <v>5</v>
      </c>
      <c r="N273" s="8" t="s">
        <v>45</v>
      </c>
      <c r="O273" s="8" t="s">
        <v>46</v>
      </c>
      <c r="P273" s="8">
        <v>1</v>
      </c>
      <c r="Q273" s="8">
        <v>0</v>
      </c>
      <c r="R273" s="8">
        <v>1</v>
      </c>
      <c r="S273" s="8">
        <v>1</v>
      </c>
      <c r="T273" s="8">
        <v>0</v>
      </c>
      <c r="U273" s="8">
        <v>1</v>
      </c>
      <c r="V273" s="8">
        <v>1</v>
      </c>
      <c r="W273" s="8">
        <v>0</v>
      </c>
      <c r="X273" s="8">
        <v>0</v>
      </c>
      <c r="Y273" s="8">
        <v>1</v>
      </c>
      <c r="Z273" s="8" t="s">
        <v>25</v>
      </c>
      <c r="AA273" s="8" t="s">
        <v>23</v>
      </c>
      <c r="AB273" s="8" t="s">
        <v>24</v>
      </c>
      <c r="AC273" s="8" t="s">
        <v>48</v>
      </c>
    </row>
    <row r="274" spans="1:29" x14ac:dyDescent="0.3">
      <c r="A274" s="5">
        <v>273</v>
      </c>
      <c r="B274" s="5">
        <v>0</v>
      </c>
      <c r="C274" s="5">
        <v>1</v>
      </c>
      <c r="D274" s="5">
        <v>0</v>
      </c>
      <c r="E274" s="5">
        <v>0</v>
      </c>
      <c r="F274" s="5">
        <v>1</v>
      </c>
      <c r="G274" s="5">
        <v>0</v>
      </c>
      <c r="H274" s="6" t="s">
        <v>15</v>
      </c>
      <c r="I274" s="6" t="s">
        <v>43</v>
      </c>
      <c r="J274" s="6" t="s">
        <v>356</v>
      </c>
      <c r="K274" s="6" t="s">
        <v>30</v>
      </c>
      <c r="L274" s="6" t="s">
        <v>70</v>
      </c>
      <c r="M274" s="6">
        <v>5</v>
      </c>
      <c r="N274" s="6" t="s">
        <v>45</v>
      </c>
      <c r="O274" s="6" t="s">
        <v>63</v>
      </c>
      <c r="P274" s="6">
        <v>1</v>
      </c>
      <c r="Q274" s="6">
        <v>1</v>
      </c>
      <c r="R274" s="6">
        <v>0</v>
      </c>
      <c r="S274" s="6">
        <v>1</v>
      </c>
      <c r="T274" s="6">
        <v>0</v>
      </c>
      <c r="U274" s="6">
        <v>0</v>
      </c>
      <c r="V274" s="6">
        <v>1</v>
      </c>
      <c r="W274" s="6">
        <v>1</v>
      </c>
      <c r="X274" s="6">
        <v>1</v>
      </c>
      <c r="Y274" s="6">
        <v>0</v>
      </c>
      <c r="Z274" s="6" t="s">
        <v>21</v>
      </c>
      <c r="AA274" s="6" t="s">
        <v>40</v>
      </c>
      <c r="AB274" s="6" t="s">
        <v>24</v>
      </c>
      <c r="AC274" s="6" t="s">
        <v>21</v>
      </c>
    </row>
    <row r="275" spans="1:29" x14ac:dyDescent="0.3">
      <c r="A275" s="7">
        <v>274</v>
      </c>
      <c r="B275" s="7">
        <v>0</v>
      </c>
      <c r="C275" s="7">
        <v>1</v>
      </c>
      <c r="D275" s="7">
        <v>0</v>
      </c>
      <c r="E275" s="7">
        <v>0</v>
      </c>
      <c r="F275" s="7">
        <v>1</v>
      </c>
      <c r="G275" s="7">
        <v>1</v>
      </c>
      <c r="H275" s="8" t="s">
        <v>49</v>
      </c>
      <c r="I275" s="8" t="s">
        <v>43</v>
      </c>
      <c r="J275" s="8" t="s">
        <v>50</v>
      </c>
      <c r="K275" s="8" t="s">
        <v>30</v>
      </c>
      <c r="L275" s="8" t="s">
        <v>51</v>
      </c>
      <c r="M275" s="8">
        <v>5</v>
      </c>
      <c r="N275" s="8" t="s">
        <v>45</v>
      </c>
      <c r="O275" s="8" t="s">
        <v>63</v>
      </c>
      <c r="P275" s="8">
        <v>0</v>
      </c>
      <c r="Q275" s="8">
        <v>1</v>
      </c>
      <c r="R275" s="8">
        <v>0</v>
      </c>
      <c r="S275" s="8">
        <v>0</v>
      </c>
      <c r="T275" s="8">
        <v>0</v>
      </c>
      <c r="U275" s="8">
        <v>1</v>
      </c>
      <c r="V275" s="8">
        <v>1</v>
      </c>
      <c r="W275" s="8">
        <v>1</v>
      </c>
      <c r="X275" s="8">
        <v>0</v>
      </c>
      <c r="Y275" s="8">
        <v>0</v>
      </c>
      <c r="Z275" s="8" t="s">
        <v>25</v>
      </c>
      <c r="AA275" s="8" t="s">
        <v>23</v>
      </c>
      <c r="AB275" s="8" t="s">
        <v>24</v>
      </c>
      <c r="AC275" s="8" t="s">
        <v>48</v>
      </c>
    </row>
    <row r="276" spans="1:29" x14ac:dyDescent="0.3">
      <c r="A276" s="5">
        <v>275</v>
      </c>
      <c r="B276" s="5">
        <v>0</v>
      </c>
      <c r="C276" s="5">
        <v>0</v>
      </c>
      <c r="D276" s="5">
        <v>1</v>
      </c>
      <c r="E276" s="5">
        <v>0</v>
      </c>
      <c r="F276" s="5">
        <v>0</v>
      </c>
      <c r="G276" s="5">
        <v>0</v>
      </c>
      <c r="H276" s="6" t="s">
        <v>15</v>
      </c>
      <c r="I276" s="6" t="s">
        <v>43</v>
      </c>
      <c r="J276" s="6" t="s">
        <v>37</v>
      </c>
      <c r="K276" s="6" t="s">
        <v>30</v>
      </c>
      <c r="L276" s="6" t="s">
        <v>44</v>
      </c>
      <c r="M276" s="6">
        <v>1</v>
      </c>
      <c r="N276" s="6" t="s">
        <v>45</v>
      </c>
      <c r="O276" s="6" t="s">
        <v>52</v>
      </c>
      <c r="P276" s="6">
        <v>0</v>
      </c>
      <c r="Q276" s="6">
        <v>0</v>
      </c>
      <c r="R276" s="6">
        <v>0</v>
      </c>
      <c r="S276" s="6">
        <v>0</v>
      </c>
      <c r="T276" s="6">
        <v>1</v>
      </c>
      <c r="U276" s="6">
        <v>0</v>
      </c>
      <c r="V276" s="6">
        <v>0</v>
      </c>
      <c r="W276" s="6">
        <v>0</v>
      </c>
      <c r="X276" s="6">
        <v>0</v>
      </c>
      <c r="Y276" s="6">
        <v>0</v>
      </c>
      <c r="Z276" s="6" t="s">
        <v>25</v>
      </c>
      <c r="AA276" s="6" t="s">
        <v>34</v>
      </c>
      <c r="AB276" s="6" t="s">
        <v>24</v>
      </c>
      <c r="AC276" s="6" t="s">
        <v>21</v>
      </c>
    </row>
    <row r="277" spans="1:29" x14ac:dyDescent="0.3">
      <c r="A277" s="7">
        <v>276</v>
      </c>
      <c r="B277" s="7">
        <v>1</v>
      </c>
      <c r="C277" s="7">
        <v>1</v>
      </c>
      <c r="D277" s="7">
        <v>0</v>
      </c>
      <c r="E277" s="7">
        <v>0</v>
      </c>
      <c r="F277" s="7">
        <v>0</v>
      </c>
      <c r="G277" s="7">
        <v>1</v>
      </c>
      <c r="H277" s="8" t="s">
        <v>42</v>
      </c>
      <c r="I277" s="8" t="s">
        <v>43</v>
      </c>
      <c r="J277" s="8" t="s">
        <v>50</v>
      </c>
      <c r="K277" s="8" t="s">
        <v>30</v>
      </c>
      <c r="L277" s="8" t="s">
        <v>51</v>
      </c>
      <c r="M277" s="8">
        <v>5</v>
      </c>
      <c r="N277" s="8" t="s">
        <v>45</v>
      </c>
      <c r="O277" s="8" t="s">
        <v>46</v>
      </c>
      <c r="P277" s="8">
        <v>1</v>
      </c>
      <c r="Q277" s="8">
        <v>0</v>
      </c>
      <c r="R277" s="8">
        <v>1</v>
      </c>
      <c r="S277" s="8">
        <v>1</v>
      </c>
      <c r="T277" s="8">
        <v>0</v>
      </c>
      <c r="U277" s="8">
        <v>1</v>
      </c>
      <c r="V277" s="8">
        <v>0</v>
      </c>
      <c r="W277" s="8">
        <v>1</v>
      </c>
      <c r="X277" s="8">
        <v>0</v>
      </c>
      <c r="Y277" s="8">
        <v>0</v>
      </c>
      <c r="Z277" s="8" t="s">
        <v>21</v>
      </c>
      <c r="AA277" s="8" t="s">
        <v>23</v>
      </c>
      <c r="AB277" s="8" t="s">
        <v>136</v>
      </c>
      <c r="AC277" s="8" t="s">
        <v>48</v>
      </c>
    </row>
    <row r="278" spans="1:29" x14ac:dyDescent="0.3">
      <c r="A278" s="5">
        <v>277</v>
      </c>
      <c r="B278" s="5">
        <v>0</v>
      </c>
      <c r="C278" s="5">
        <v>1</v>
      </c>
      <c r="D278" s="5">
        <v>0</v>
      </c>
      <c r="E278" s="5">
        <v>0</v>
      </c>
      <c r="F278" s="5">
        <v>0</v>
      </c>
      <c r="G278" s="5">
        <v>0</v>
      </c>
      <c r="H278" s="6" t="s">
        <v>49</v>
      </c>
      <c r="I278" s="6" t="s">
        <v>43</v>
      </c>
      <c r="J278" s="6" t="s">
        <v>50</v>
      </c>
      <c r="K278" s="6" t="s">
        <v>49</v>
      </c>
      <c r="L278" s="6" t="s">
        <v>44</v>
      </c>
      <c r="M278" s="6">
        <v>4</v>
      </c>
      <c r="N278" s="6" t="s">
        <v>45</v>
      </c>
      <c r="O278" s="6" t="s">
        <v>63</v>
      </c>
      <c r="P278" s="6">
        <v>1</v>
      </c>
      <c r="Q278" s="6">
        <v>0</v>
      </c>
      <c r="R278" s="6">
        <v>0</v>
      </c>
      <c r="S278" s="6">
        <v>1</v>
      </c>
      <c r="T278" s="6">
        <v>0</v>
      </c>
      <c r="U278" s="6">
        <v>0</v>
      </c>
      <c r="V278" s="6">
        <v>0</v>
      </c>
      <c r="W278" s="6">
        <v>0</v>
      </c>
      <c r="X278" s="6">
        <v>0</v>
      </c>
      <c r="Y278" s="6">
        <v>0</v>
      </c>
      <c r="Z278" s="6" t="s">
        <v>21</v>
      </c>
      <c r="AA278" s="6" t="s">
        <v>34</v>
      </c>
      <c r="AB278" s="6" t="s">
        <v>24</v>
      </c>
      <c r="AC278" s="6" t="s">
        <v>25</v>
      </c>
    </row>
    <row r="279" spans="1:29" x14ac:dyDescent="0.3">
      <c r="A279" s="7">
        <v>278</v>
      </c>
      <c r="B279" s="7">
        <v>0</v>
      </c>
      <c r="C279" s="7">
        <v>0</v>
      </c>
      <c r="D279" s="7">
        <v>0</v>
      </c>
      <c r="E279" s="7">
        <v>0</v>
      </c>
      <c r="F279" s="7">
        <v>0</v>
      </c>
      <c r="G279" s="7">
        <v>1</v>
      </c>
      <c r="H279" s="8" t="s">
        <v>15</v>
      </c>
      <c r="I279" s="8" t="s">
        <v>43</v>
      </c>
      <c r="J279" s="8" t="s">
        <v>356</v>
      </c>
      <c r="K279" s="8" t="s">
        <v>102</v>
      </c>
      <c r="L279" s="8" t="s">
        <v>70</v>
      </c>
      <c r="M279" s="8">
        <v>4</v>
      </c>
      <c r="N279" s="8" t="s">
        <v>45</v>
      </c>
      <c r="O279" s="8" t="s">
        <v>63</v>
      </c>
      <c r="P279" s="8">
        <v>0</v>
      </c>
      <c r="Q279" s="8">
        <v>0</v>
      </c>
      <c r="R279" s="8">
        <v>0</v>
      </c>
      <c r="S279" s="8">
        <v>1</v>
      </c>
      <c r="T279" s="8">
        <v>0</v>
      </c>
      <c r="U279" s="8">
        <v>0</v>
      </c>
      <c r="V279" s="8">
        <v>0</v>
      </c>
      <c r="W279" s="8">
        <v>0</v>
      </c>
      <c r="X279" s="8">
        <v>0</v>
      </c>
      <c r="Y279" s="8">
        <v>0</v>
      </c>
      <c r="Z279" s="8" t="s">
        <v>21</v>
      </c>
      <c r="AA279" s="8" t="s">
        <v>23</v>
      </c>
      <c r="AB279" s="8" t="s">
        <v>136</v>
      </c>
      <c r="AC279" s="8" t="s">
        <v>48</v>
      </c>
    </row>
    <row r="280" spans="1:29" x14ac:dyDescent="0.3">
      <c r="A280" s="5">
        <v>279</v>
      </c>
      <c r="B280" s="5">
        <v>0</v>
      </c>
      <c r="C280" s="5">
        <v>1</v>
      </c>
      <c r="D280" s="5">
        <v>0</v>
      </c>
      <c r="E280" s="5">
        <v>0</v>
      </c>
      <c r="F280" s="5">
        <v>0</v>
      </c>
      <c r="G280" s="5">
        <v>0</v>
      </c>
      <c r="H280" s="6" t="s">
        <v>15</v>
      </c>
      <c r="I280" s="6" t="s">
        <v>43</v>
      </c>
      <c r="J280" s="6" t="s">
        <v>50</v>
      </c>
      <c r="K280" s="6" t="s">
        <v>49</v>
      </c>
      <c r="L280" s="6" t="s">
        <v>44</v>
      </c>
      <c r="M280" s="6">
        <v>2</v>
      </c>
      <c r="N280" s="6" t="s">
        <v>45</v>
      </c>
      <c r="O280" s="6" t="s">
        <v>52</v>
      </c>
      <c r="P280" s="6">
        <v>1</v>
      </c>
      <c r="Q280" s="6">
        <v>0</v>
      </c>
      <c r="R280" s="6">
        <v>0</v>
      </c>
      <c r="S280" s="6">
        <v>0</v>
      </c>
      <c r="T280" s="6">
        <v>1</v>
      </c>
      <c r="U280" s="6">
        <v>0</v>
      </c>
      <c r="V280" s="6">
        <v>1</v>
      </c>
      <c r="W280" s="6">
        <v>1</v>
      </c>
      <c r="X280" s="6">
        <v>0</v>
      </c>
      <c r="Y280" s="6">
        <v>0</v>
      </c>
      <c r="Z280" s="6" t="s">
        <v>25</v>
      </c>
      <c r="AA280" s="6" t="s">
        <v>34</v>
      </c>
      <c r="AB280" s="6" t="s">
        <v>136</v>
      </c>
      <c r="AC280" s="6" t="s">
        <v>25</v>
      </c>
    </row>
    <row r="281" spans="1:29" x14ac:dyDescent="0.3">
      <c r="A281" s="7">
        <v>280</v>
      </c>
      <c r="B281" s="7">
        <v>0</v>
      </c>
      <c r="C281" s="7">
        <v>1</v>
      </c>
      <c r="D281" s="7">
        <v>0</v>
      </c>
      <c r="E281" s="7">
        <v>0</v>
      </c>
      <c r="F281" s="7">
        <v>0</v>
      </c>
      <c r="G281" s="7">
        <v>1</v>
      </c>
      <c r="H281" s="8" t="s">
        <v>27</v>
      </c>
      <c r="I281" s="8" t="s">
        <v>43</v>
      </c>
      <c r="J281" s="8" t="s">
        <v>50</v>
      </c>
      <c r="K281" s="8" t="s">
        <v>30</v>
      </c>
      <c r="L281" s="8" t="s">
        <v>58</v>
      </c>
      <c r="M281" s="8">
        <v>5</v>
      </c>
      <c r="N281" s="8" t="s">
        <v>45</v>
      </c>
      <c r="O281" s="8" t="s">
        <v>46</v>
      </c>
      <c r="P281" s="8">
        <v>1</v>
      </c>
      <c r="Q281" s="8">
        <v>0</v>
      </c>
      <c r="R281" s="8">
        <v>0</v>
      </c>
      <c r="S281" s="8">
        <v>0</v>
      </c>
      <c r="T281" s="8">
        <v>0</v>
      </c>
      <c r="U281" s="8">
        <v>1</v>
      </c>
      <c r="V281" s="8">
        <v>1</v>
      </c>
      <c r="W281" s="8">
        <v>1</v>
      </c>
      <c r="X281" s="8">
        <v>0</v>
      </c>
      <c r="Y281" s="8">
        <v>0</v>
      </c>
      <c r="Z281" s="8" t="s">
        <v>21</v>
      </c>
      <c r="AA281" s="8" t="s">
        <v>23</v>
      </c>
      <c r="AB281" s="8" t="s">
        <v>136</v>
      </c>
      <c r="AC281" s="8" t="s">
        <v>82</v>
      </c>
    </row>
    <row r="282" spans="1:29" x14ac:dyDescent="0.3">
      <c r="A282" s="5">
        <v>281</v>
      </c>
      <c r="B282" s="5">
        <v>1</v>
      </c>
      <c r="C282" s="5">
        <v>1</v>
      </c>
      <c r="D282" s="5">
        <v>0</v>
      </c>
      <c r="E282" s="5">
        <v>0</v>
      </c>
      <c r="F282" s="5">
        <v>0</v>
      </c>
      <c r="G282" s="5">
        <v>1</v>
      </c>
      <c r="H282" s="6" t="s">
        <v>27</v>
      </c>
      <c r="I282" s="6" t="s">
        <v>83</v>
      </c>
      <c r="J282" s="6" t="s">
        <v>356</v>
      </c>
      <c r="K282" s="6" t="s">
        <v>15</v>
      </c>
      <c r="L282" s="6" t="s">
        <v>58</v>
      </c>
      <c r="M282" s="6">
        <v>4</v>
      </c>
      <c r="N282" s="6" t="s">
        <v>45</v>
      </c>
      <c r="O282" s="6" t="s">
        <v>46</v>
      </c>
      <c r="P282" s="6">
        <v>1</v>
      </c>
      <c r="Q282" s="6">
        <v>1</v>
      </c>
      <c r="R282" s="6">
        <v>1</v>
      </c>
      <c r="S282" s="6">
        <v>1</v>
      </c>
      <c r="T282" s="6">
        <v>1</v>
      </c>
      <c r="U282" s="6">
        <v>0</v>
      </c>
      <c r="V282" s="6">
        <v>1</v>
      </c>
      <c r="W282" s="6">
        <v>0</v>
      </c>
      <c r="X282" s="6">
        <v>0</v>
      </c>
      <c r="Y282" s="6">
        <v>1</v>
      </c>
      <c r="Z282" s="6" t="s">
        <v>21</v>
      </c>
      <c r="AA282" s="6" t="s">
        <v>23</v>
      </c>
      <c r="AB282" s="6" t="s">
        <v>54</v>
      </c>
      <c r="AC282" s="6" t="s">
        <v>48</v>
      </c>
    </row>
    <row r="283" spans="1:29" x14ac:dyDescent="0.3">
      <c r="A283" s="7">
        <v>282</v>
      </c>
      <c r="B283" s="7">
        <v>0</v>
      </c>
      <c r="C283" s="7">
        <v>1</v>
      </c>
      <c r="D283" s="7">
        <v>0</v>
      </c>
      <c r="E283" s="7">
        <v>0</v>
      </c>
      <c r="F283" s="7">
        <v>0</v>
      </c>
      <c r="G283" s="7">
        <v>1</v>
      </c>
      <c r="H283" s="8" t="s">
        <v>49</v>
      </c>
      <c r="I283" s="8" t="s">
        <v>352</v>
      </c>
      <c r="J283" s="8" t="s">
        <v>50</v>
      </c>
      <c r="K283" s="8" t="s">
        <v>30</v>
      </c>
      <c r="L283" s="8" t="s">
        <v>51</v>
      </c>
      <c r="M283" s="8">
        <v>5</v>
      </c>
      <c r="N283" s="8" t="s">
        <v>59</v>
      </c>
      <c r="O283" s="8" t="s">
        <v>46</v>
      </c>
      <c r="P283" s="8">
        <v>1</v>
      </c>
      <c r="Q283" s="8">
        <v>0</v>
      </c>
      <c r="R283" s="8">
        <v>0</v>
      </c>
      <c r="S283" s="8">
        <v>0</v>
      </c>
      <c r="T283" s="8">
        <v>1</v>
      </c>
      <c r="U283" s="8">
        <v>1</v>
      </c>
      <c r="V283" s="8">
        <v>1</v>
      </c>
      <c r="W283" s="8">
        <v>1</v>
      </c>
      <c r="X283" s="8">
        <v>0</v>
      </c>
      <c r="Y283" s="8">
        <v>0</v>
      </c>
      <c r="Z283" s="8" t="s">
        <v>21</v>
      </c>
      <c r="AA283" s="8" t="s">
        <v>40</v>
      </c>
      <c r="AB283" s="8" t="s">
        <v>88</v>
      </c>
      <c r="AC283" s="8" t="s">
        <v>21</v>
      </c>
    </row>
    <row r="284" spans="1:29" x14ac:dyDescent="0.3">
      <c r="A284" s="5">
        <v>283</v>
      </c>
      <c r="B284" s="5">
        <v>0</v>
      </c>
      <c r="C284" s="5">
        <v>0</v>
      </c>
      <c r="D284" s="5">
        <v>1</v>
      </c>
      <c r="E284" s="5">
        <v>0</v>
      </c>
      <c r="F284" s="5">
        <v>0</v>
      </c>
      <c r="G284" s="5">
        <v>0</v>
      </c>
      <c r="H284" s="6" t="s">
        <v>27</v>
      </c>
      <c r="I284" s="6" t="s">
        <v>43</v>
      </c>
      <c r="J284" s="6" t="s">
        <v>50</v>
      </c>
      <c r="K284" s="6" t="s">
        <v>49</v>
      </c>
      <c r="L284" s="6" t="s">
        <v>58</v>
      </c>
      <c r="M284" s="6">
        <v>4</v>
      </c>
      <c r="N284" s="6" t="s">
        <v>45</v>
      </c>
      <c r="O284" s="6" t="s">
        <v>52</v>
      </c>
      <c r="P284" s="6">
        <v>0</v>
      </c>
      <c r="Q284" s="6">
        <v>0</v>
      </c>
      <c r="R284" s="6">
        <v>0</v>
      </c>
      <c r="S284" s="6">
        <v>1</v>
      </c>
      <c r="T284" s="6">
        <v>0</v>
      </c>
      <c r="U284" s="6">
        <v>0</v>
      </c>
      <c r="V284" s="6">
        <v>0</v>
      </c>
      <c r="W284" s="6">
        <v>0</v>
      </c>
      <c r="X284" s="6">
        <v>0</v>
      </c>
      <c r="Y284" s="6">
        <v>0</v>
      </c>
      <c r="Z284" s="6" t="s">
        <v>21</v>
      </c>
      <c r="AA284" s="6" t="s">
        <v>34</v>
      </c>
      <c r="AB284" s="6" t="s">
        <v>24</v>
      </c>
      <c r="AC284" s="6" t="s">
        <v>82</v>
      </c>
    </row>
    <row r="285" spans="1:29" x14ac:dyDescent="0.3">
      <c r="A285" s="7">
        <v>284</v>
      </c>
      <c r="B285" s="7">
        <v>0</v>
      </c>
      <c r="C285" s="7">
        <v>1</v>
      </c>
      <c r="D285" s="7">
        <v>0</v>
      </c>
      <c r="E285" s="7">
        <v>0</v>
      </c>
      <c r="F285" s="7">
        <v>0</v>
      </c>
      <c r="G285" s="7">
        <v>1</v>
      </c>
      <c r="H285" s="8" t="s">
        <v>15</v>
      </c>
      <c r="I285" s="8" t="s">
        <v>43</v>
      </c>
      <c r="J285" s="8" t="s">
        <v>50</v>
      </c>
      <c r="K285" s="8" t="s">
        <v>15</v>
      </c>
      <c r="L285" s="8" t="s">
        <v>44</v>
      </c>
      <c r="M285" s="8">
        <v>2</v>
      </c>
      <c r="N285" s="8" t="s">
        <v>45</v>
      </c>
      <c r="O285" s="8" t="s">
        <v>63</v>
      </c>
      <c r="P285" s="8">
        <v>1</v>
      </c>
      <c r="Q285" s="8">
        <v>0</v>
      </c>
      <c r="R285" s="8">
        <v>0</v>
      </c>
      <c r="S285" s="8">
        <v>1</v>
      </c>
      <c r="T285" s="8">
        <v>0</v>
      </c>
      <c r="U285" s="8">
        <v>0</v>
      </c>
      <c r="V285" s="8">
        <v>0</v>
      </c>
      <c r="W285" s="8">
        <v>1</v>
      </c>
      <c r="X285" s="8">
        <v>1</v>
      </c>
      <c r="Y285" s="8">
        <v>0</v>
      </c>
      <c r="Z285" s="8" t="s">
        <v>25</v>
      </c>
      <c r="AA285" s="8" t="s">
        <v>23</v>
      </c>
      <c r="AB285" s="8" t="s">
        <v>24</v>
      </c>
      <c r="AC285" s="8" t="s">
        <v>25</v>
      </c>
    </row>
    <row r="286" spans="1:29" x14ac:dyDescent="0.3">
      <c r="A286" s="5">
        <v>285</v>
      </c>
      <c r="B286" s="5">
        <v>0</v>
      </c>
      <c r="C286" s="5">
        <v>0</v>
      </c>
      <c r="D286" s="5">
        <v>0</v>
      </c>
      <c r="E286" s="5">
        <v>0</v>
      </c>
      <c r="F286" s="5">
        <v>0</v>
      </c>
      <c r="G286" s="5">
        <v>1</v>
      </c>
      <c r="H286" s="6" t="s">
        <v>42</v>
      </c>
      <c r="I286" s="6" t="s">
        <v>43</v>
      </c>
      <c r="J286" s="6" t="s">
        <v>37</v>
      </c>
      <c r="K286" s="6" t="s">
        <v>30</v>
      </c>
      <c r="L286" s="6" t="s">
        <v>70</v>
      </c>
      <c r="M286" s="6">
        <v>3</v>
      </c>
      <c r="N286" s="6" t="s">
        <v>45</v>
      </c>
      <c r="O286" s="6" t="s">
        <v>46</v>
      </c>
      <c r="P286" s="6">
        <v>1</v>
      </c>
      <c r="Q286" s="6">
        <v>0</v>
      </c>
      <c r="R286" s="6">
        <v>0</v>
      </c>
      <c r="S286" s="6">
        <v>1</v>
      </c>
      <c r="T286" s="6">
        <v>0</v>
      </c>
      <c r="U286" s="6">
        <v>0</v>
      </c>
      <c r="V286" s="6">
        <v>1</v>
      </c>
      <c r="W286" s="6">
        <v>0</v>
      </c>
      <c r="X286" s="6">
        <v>1</v>
      </c>
      <c r="Y286" s="6">
        <v>0</v>
      </c>
      <c r="Z286" s="6" t="s">
        <v>21</v>
      </c>
      <c r="AA286" s="6" t="s">
        <v>23</v>
      </c>
      <c r="AB286" s="6" t="s">
        <v>24</v>
      </c>
      <c r="AC286" s="6" t="s">
        <v>48</v>
      </c>
    </row>
    <row r="287" spans="1:29" x14ac:dyDescent="0.3">
      <c r="A287" s="7">
        <v>286</v>
      </c>
      <c r="B287" s="7">
        <v>1</v>
      </c>
      <c r="C287" s="7">
        <v>1</v>
      </c>
      <c r="D287" s="7">
        <v>0</v>
      </c>
      <c r="E287" s="7">
        <v>0</v>
      </c>
      <c r="F287" s="7">
        <v>1</v>
      </c>
      <c r="G287" s="7">
        <v>1</v>
      </c>
      <c r="H287" s="8" t="s">
        <v>15</v>
      </c>
      <c r="I287" s="8" t="s">
        <v>83</v>
      </c>
      <c r="J287" s="8" t="s">
        <v>50</v>
      </c>
      <c r="K287" s="8" t="s">
        <v>49</v>
      </c>
      <c r="L287" s="8" t="s">
        <v>44</v>
      </c>
      <c r="M287" s="8">
        <v>5</v>
      </c>
      <c r="N287" s="8" t="s">
        <v>59</v>
      </c>
      <c r="O287" s="8" t="s">
        <v>46</v>
      </c>
      <c r="P287" s="8">
        <v>1</v>
      </c>
      <c r="Q287" s="8">
        <v>0</v>
      </c>
      <c r="R287" s="8">
        <v>0</v>
      </c>
      <c r="S287" s="8">
        <v>1</v>
      </c>
      <c r="T287" s="8">
        <v>0</v>
      </c>
      <c r="U287" s="8">
        <v>0</v>
      </c>
      <c r="V287" s="8">
        <v>0</v>
      </c>
      <c r="W287" s="8">
        <v>1</v>
      </c>
      <c r="X287" s="8">
        <v>0</v>
      </c>
      <c r="Y287" s="8">
        <v>0</v>
      </c>
      <c r="Z287" s="8" t="s">
        <v>21</v>
      </c>
      <c r="AA287" s="8" t="s">
        <v>23</v>
      </c>
      <c r="AB287" s="8" t="s">
        <v>113</v>
      </c>
      <c r="AC287" s="8" t="s">
        <v>21</v>
      </c>
    </row>
    <row r="288" spans="1:29" x14ac:dyDescent="0.3">
      <c r="A288" s="5">
        <v>287</v>
      </c>
      <c r="B288" s="5">
        <v>1</v>
      </c>
      <c r="C288" s="5">
        <v>1</v>
      </c>
      <c r="D288" s="5">
        <v>0</v>
      </c>
      <c r="E288" s="5">
        <v>0</v>
      </c>
      <c r="F288" s="5">
        <v>0</v>
      </c>
      <c r="G288" s="5">
        <v>0</v>
      </c>
      <c r="H288" s="6" t="s">
        <v>15</v>
      </c>
      <c r="I288" s="6" t="s">
        <v>83</v>
      </c>
      <c r="J288" s="6" t="s">
        <v>29</v>
      </c>
      <c r="K288" s="6" t="s">
        <v>15</v>
      </c>
      <c r="L288" s="6" t="s">
        <v>44</v>
      </c>
      <c r="M288" s="6">
        <v>3</v>
      </c>
      <c r="N288" s="6" t="s">
        <v>45</v>
      </c>
      <c r="O288" s="6" t="s">
        <v>46</v>
      </c>
      <c r="P288" s="6">
        <v>0</v>
      </c>
      <c r="Q288" s="6">
        <v>1</v>
      </c>
      <c r="R288" s="6">
        <v>0</v>
      </c>
      <c r="S288" s="6">
        <v>0</v>
      </c>
      <c r="T288" s="6">
        <v>1</v>
      </c>
      <c r="U288" s="6">
        <v>1</v>
      </c>
      <c r="V288" s="6">
        <v>1</v>
      </c>
      <c r="W288" s="6">
        <v>1</v>
      </c>
      <c r="X288" s="6">
        <v>0</v>
      </c>
      <c r="Y288" s="6">
        <v>0</v>
      </c>
      <c r="Z288" s="6" t="s">
        <v>21</v>
      </c>
      <c r="AA288" s="6" t="s">
        <v>23</v>
      </c>
      <c r="AB288" s="6" t="s">
        <v>24</v>
      </c>
      <c r="AC288" s="6" t="s">
        <v>48</v>
      </c>
    </row>
    <row r="289" spans="1:29" x14ac:dyDescent="0.3">
      <c r="A289" s="7">
        <v>288</v>
      </c>
      <c r="B289" s="7">
        <v>0</v>
      </c>
      <c r="C289" s="7">
        <v>0</v>
      </c>
      <c r="D289" s="7">
        <v>0</v>
      </c>
      <c r="E289" s="7">
        <v>0</v>
      </c>
      <c r="F289" s="7">
        <v>1</v>
      </c>
      <c r="G289" s="7">
        <v>0</v>
      </c>
      <c r="H289" s="8" t="s">
        <v>15</v>
      </c>
      <c r="I289" s="8" t="s">
        <v>83</v>
      </c>
      <c r="J289" s="8" t="s">
        <v>17</v>
      </c>
      <c r="K289" s="8" t="s">
        <v>15</v>
      </c>
      <c r="L289" s="8" t="s">
        <v>51</v>
      </c>
      <c r="M289" s="8">
        <v>2</v>
      </c>
      <c r="N289" s="8" t="s">
        <v>59</v>
      </c>
      <c r="O289" s="8" t="s">
        <v>63</v>
      </c>
      <c r="P289" s="8">
        <v>0</v>
      </c>
      <c r="Q289" s="8">
        <v>0</v>
      </c>
      <c r="R289" s="8">
        <v>1</v>
      </c>
      <c r="S289" s="8">
        <v>0</v>
      </c>
      <c r="T289" s="8">
        <v>0</v>
      </c>
      <c r="U289" s="8">
        <v>0</v>
      </c>
      <c r="V289" s="8">
        <v>0</v>
      </c>
      <c r="W289" s="8">
        <v>0</v>
      </c>
      <c r="X289" s="8">
        <v>0</v>
      </c>
      <c r="Y289" s="8">
        <v>0</v>
      </c>
      <c r="Z289" s="8" t="s">
        <v>25</v>
      </c>
      <c r="AA289" s="8" t="s">
        <v>34</v>
      </c>
      <c r="AB289" s="8" t="s">
        <v>24</v>
      </c>
      <c r="AC289" s="8" t="s">
        <v>25</v>
      </c>
    </row>
    <row r="290" spans="1:29" x14ac:dyDescent="0.3">
      <c r="A290" s="5">
        <v>289</v>
      </c>
      <c r="B290" s="5">
        <v>0</v>
      </c>
      <c r="C290" s="5">
        <v>0</v>
      </c>
      <c r="D290" s="5">
        <v>0</v>
      </c>
      <c r="E290" s="5">
        <v>0</v>
      </c>
      <c r="F290" s="5">
        <v>0</v>
      </c>
      <c r="G290" s="5">
        <v>1</v>
      </c>
      <c r="H290" s="6" t="s">
        <v>49</v>
      </c>
      <c r="I290" s="6" t="s">
        <v>352</v>
      </c>
      <c r="J290" s="6" t="s">
        <v>50</v>
      </c>
      <c r="K290" s="6" t="s">
        <v>49</v>
      </c>
      <c r="L290" s="6" t="s">
        <v>51</v>
      </c>
      <c r="M290" s="6">
        <v>1</v>
      </c>
      <c r="N290" s="6" t="s">
        <v>45</v>
      </c>
      <c r="O290" s="6" t="s">
        <v>52</v>
      </c>
      <c r="P290" s="6">
        <v>0</v>
      </c>
      <c r="Q290" s="6">
        <v>0</v>
      </c>
      <c r="R290" s="6">
        <v>0</v>
      </c>
      <c r="S290" s="6">
        <v>0</v>
      </c>
      <c r="T290" s="6">
        <v>0</v>
      </c>
      <c r="U290" s="6">
        <v>0</v>
      </c>
      <c r="V290" s="6">
        <v>0</v>
      </c>
      <c r="W290" s="6">
        <v>0</v>
      </c>
      <c r="X290" s="6">
        <v>0</v>
      </c>
      <c r="Y290" s="6">
        <v>0</v>
      </c>
      <c r="Z290" s="6" t="s">
        <v>25</v>
      </c>
      <c r="AA290" s="6" t="s">
        <v>34</v>
      </c>
      <c r="AB290" s="6" t="s">
        <v>88</v>
      </c>
      <c r="AC290" s="6" t="s">
        <v>25</v>
      </c>
    </row>
    <row r="291" spans="1:29" x14ac:dyDescent="0.3">
      <c r="A291" s="7">
        <v>290</v>
      </c>
      <c r="B291" s="7">
        <v>0</v>
      </c>
      <c r="C291" s="7">
        <v>0</v>
      </c>
      <c r="D291" s="7">
        <v>0</v>
      </c>
      <c r="E291" s="7">
        <v>0</v>
      </c>
      <c r="F291" s="7">
        <v>0</v>
      </c>
      <c r="G291" s="7">
        <v>1</v>
      </c>
      <c r="H291" s="8" t="s">
        <v>27</v>
      </c>
      <c r="I291" s="8" t="s">
        <v>43</v>
      </c>
      <c r="J291" s="8" t="s">
        <v>50</v>
      </c>
      <c r="K291" s="8" t="s">
        <v>30</v>
      </c>
      <c r="L291" s="8" t="s">
        <v>51</v>
      </c>
      <c r="M291" s="8">
        <v>5</v>
      </c>
      <c r="N291" s="8" t="s">
        <v>45</v>
      </c>
      <c r="O291" s="8" t="s">
        <v>52</v>
      </c>
      <c r="P291" s="8">
        <v>0</v>
      </c>
      <c r="Q291" s="8">
        <v>0</v>
      </c>
      <c r="R291" s="8">
        <v>0</v>
      </c>
      <c r="S291" s="8">
        <v>0</v>
      </c>
      <c r="T291" s="8">
        <v>1</v>
      </c>
      <c r="U291" s="8">
        <v>0</v>
      </c>
      <c r="V291" s="8">
        <v>0</v>
      </c>
      <c r="W291" s="8">
        <v>0</v>
      </c>
      <c r="X291" s="8">
        <v>0</v>
      </c>
      <c r="Y291" s="8">
        <v>0</v>
      </c>
      <c r="Z291" s="8" t="s">
        <v>25</v>
      </c>
      <c r="AA291" s="8" t="s">
        <v>34</v>
      </c>
      <c r="AB291" s="8" t="s">
        <v>24</v>
      </c>
      <c r="AC291" s="8" t="s">
        <v>25</v>
      </c>
    </row>
    <row r="292" spans="1:29" x14ac:dyDescent="0.3">
      <c r="A292" s="5">
        <v>291</v>
      </c>
      <c r="B292" s="5">
        <v>1</v>
      </c>
      <c r="C292" s="5">
        <v>1</v>
      </c>
      <c r="D292" s="5">
        <v>0</v>
      </c>
      <c r="E292" s="5">
        <v>0</v>
      </c>
      <c r="F292" s="5">
        <v>0</v>
      </c>
      <c r="G292" s="5">
        <v>1</v>
      </c>
      <c r="H292" s="6" t="s">
        <v>27</v>
      </c>
      <c r="I292" s="6" t="s">
        <v>43</v>
      </c>
      <c r="J292" s="6" t="s">
        <v>37</v>
      </c>
      <c r="K292" s="6" t="s">
        <v>30</v>
      </c>
      <c r="L292" s="6" t="s">
        <v>51</v>
      </c>
      <c r="M292" s="6">
        <v>4</v>
      </c>
      <c r="N292" s="6" t="s">
        <v>45</v>
      </c>
      <c r="O292" s="6" t="s">
        <v>63</v>
      </c>
      <c r="P292" s="6">
        <v>1</v>
      </c>
      <c r="Q292" s="6">
        <v>1</v>
      </c>
      <c r="R292" s="6">
        <v>0</v>
      </c>
      <c r="S292" s="6">
        <v>1</v>
      </c>
      <c r="T292" s="6">
        <v>1</v>
      </c>
      <c r="U292" s="6">
        <v>0</v>
      </c>
      <c r="V292" s="6">
        <v>1</v>
      </c>
      <c r="W292" s="6">
        <v>0</v>
      </c>
      <c r="X292" s="6">
        <v>0</v>
      </c>
      <c r="Y292" s="6">
        <v>0</v>
      </c>
      <c r="Z292" s="6" t="s">
        <v>25</v>
      </c>
      <c r="AA292" s="6" t="s">
        <v>34</v>
      </c>
      <c r="AB292" s="6" t="s">
        <v>88</v>
      </c>
      <c r="AC292" s="6" t="s">
        <v>25</v>
      </c>
    </row>
    <row r="293" spans="1:29" x14ac:dyDescent="0.3">
      <c r="A293" s="7">
        <v>292</v>
      </c>
      <c r="B293" s="7">
        <v>0</v>
      </c>
      <c r="C293" s="7">
        <v>1</v>
      </c>
      <c r="D293" s="7">
        <v>0</v>
      </c>
      <c r="E293" s="7">
        <v>0</v>
      </c>
      <c r="F293" s="7">
        <v>0</v>
      </c>
      <c r="G293" s="7">
        <v>0</v>
      </c>
      <c r="H293" s="8" t="s">
        <v>49</v>
      </c>
      <c r="I293" s="8" t="s">
        <v>43</v>
      </c>
      <c r="J293" s="8" t="s">
        <v>50</v>
      </c>
      <c r="K293" s="8" t="s">
        <v>49</v>
      </c>
      <c r="L293" s="8" t="s">
        <v>58</v>
      </c>
      <c r="M293" s="8">
        <v>5</v>
      </c>
      <c r="N293" s="8" t="s">
        <v>45</v>
      </c>
      <c r="O293" s="8" t="s">
        <v>46</v>
      </c>
      <c r="P293" s="8">
        <v>1</v>
      </c>
      <c r="Q293" s="8">
        <v>1</v>
      </c>
      <c r="R293" s="8">
        <v>0</v>
      </c>
      <c r="S293" s="8">
        <v>0</v>
      </c>
      <c r="T293" s="8">
        <v>0</v>
      </c>
      <c r="U293" s="8">
        <v>1</v>
      </c>
      <c r="V293" s="8">
        <v>1</v>
      </c>
      <c r="W293" s="8">
        <v>0</v>
      </c>
      <c r="X293" s="8">
        <v>0</v>
      </c>
      <c r="Y293" s="8">
        <v>0</v>
      </c>
      <c r="Z293" s="8" t="s">
        <v>21</v>
      </c>
      <c r="AA293" s="8" t="s">
        <v>23</v>
      </c>
      <c r="AB293" s="8" t="s">
        <v>24</v>
      </c>
      <c r="AC293" s="8" t="s">
        <v>48</v>
      </c>
    </row>
    <row r="294" spans="1:29" x14ac:dyDescent="0.3">
      <c r="A294" s="5">
        <v>293</v>
      </c>
      <c r="B294" s="5">
        <v>0</v>
      </c>
      <c r="C294" s="5">
        <v>0</v>
      </c>
      <c r="D294" s="5">
        <v>0</v>
      </c>
      <c r="E294" s="5">
        <v>0</v>
      </c>
      <c r="F294" s="5">
        <v>1</v>
      </c>
      <c r="G294" s="5">
        <v>0</v>
      </c>
      <c r="H294" s="6" t="s">
        <v>15</v>
      </c>
      <c r="I294" s="6" t="s">
        <v>43</v>
      </c>
      <c r="J294" s="6" t="s">
        <v>29</v>
      </c>
      <c r="K294" s="6" t="s">
        <v>49</v>
      </c>
      <c r="L294" s="6" t="s">
        <v>44</v>
      </c>
      <c r="M294" s="6">
        <v>3</v>
      </c>
      <c r="N294" s="6" t="s">
        <v>45</v>
      </c>
      <c r="O294" s="6" t="s">
        <v>63</v>
      </c>
      <c r="P294" s="6">
        <v>0</v>
      </c>
      <c r="Q294" s="6">
        <v>0</v>
      </c>
      <c r="R294" s="6">
        <v>1</v>
      </c>
      <c r="S294" s="6">
        <v>0</v>
      </c>
      <c r="T294" s="6">
        <v>1</v>
      </c>
      <c r="U294" s="6">
        <v>0</v>
      </c>
      <c r="V294" s="6">
        <v>0</v>
      </c>
      <c r="W294" s="6">
        <v>0</v>
      </c>
      <c r="X294" s="6">
        <v>1</v>
      </c>
      <c r="Y294" s="6">
        <v>1</v>
      </c>
      <c r="Z294" s="6" t="s">
        <v>21</v>
      </c>
      <c r="AA294" s="6" t="s">
        <v>23</v>
      </c>
      <c r="AB294" s="6" t="s">
        <v>24</v>
      </c>
      <c r="AC294" s="6" t="s">
        <v>48</v>
      </c>
    </row>
    <row r="295" spans="1:29" x14ac:dyDescent="0.3">
      <c r="A295" s="7">
        <v>294</v>
      </c>
      <c r="B295" s="7">
        <v>1</v>
      </c>
      <c r="C295" s="7">
        <v>0</v>
      </c>
      <c r="D295" s="7">
        <v>0</v>
      </c>
      <c r="E295" s="7">
        <v>0</v>
      </c>
      <c r="F295" s="7">
        <v>0</v>
      </c>
      <c r="G295" s="7">
        <v>0</v>
      </c>
      <c r="H295" s="8" t="s">
        <v>27</v>
      </c>
      <c r="I295" s="8" t="s">
        <v>16</v>
      </c>
      <c r="J295" s="8" t="s">
        <v>356</v>
      </c>
      <c r="K295" s="8" t="s">
        <v>102</v>
      </c>
      <c r="L295" s="8" t="s">
        <v>44</v>
      </c>
      <c r="M295" s="8">
        <v>5</v>
      </c>
      <c r="N295" s="8" t="s">
        <v>84</v>
      </c>
      <c r="O295" s="8" t="s">
        <v>52</v>
      </c>
      <c r="P295" s="8">
        <v>0</v>
      </c>
      <c r="Q295" s="8">
        <v>0</v>
      </c>
      <c r="R295" s="8">
        <v>0</v>
      </c>
      <c r="S295" s="8">
        <v>0</v>
      </c>
      <c r="T295" s="8">
        <v>0</v>
      </c>
      <c r="U295" s="8">
        <v>0</v>
      </c>
      <c r="V295" s="8">
        <v>0</v>
      </c>
      <c r="W295" s="8">
        <v>1</v>
      </c>
      <c r="X295" s="8">
        <v>0</v>
      </c>
      <c r="Y295" s="8">
        <v>0</v>
      </c>
      <c r="Z295" s="8" t="s">
        <v>21</v>
      </c>
      <c r="AA295" s="8" t="s">
        <v>40</v>
      </c>
      <c r="AB295" s="8" t="s">
        <v>24</v>
      </c>
      <c r="AC295" s="8" t="s">
        <v>82</v>
      </c>
    </row>
    <row r="296" spans="1:29" x14ac:dyDescent="0.3">
      <c r="A296" s="5">
        <v>295</v>
      </c>
      <c r="B296" s="5">
        <v>1</v>
      </c>
      <c r="C296" s="5">
        <v>0</v>
      </c>
      <c r="D296" s="5">
        <v>0</v>
      </c>
      <c r="E296" s="5">
        <v>0</v>
      </c>
      <c r="F296" s="5">
        <v>0</v>
      </c>
      <c r="G296" s="5">
        <v>0</v>
      </c>
      <c r="H296" s="6" t="s">
        <v>15</v>
      </c>
      <c r="I296" s="6" t="s">
        <v>43</v>
      </c>
      <c r="J296" s="6" t="s">
        <v>17</v>
      </c>
      <c r="K296" s="6" t="s">
        <v>15</v>
      </c>
      <c r="L296" s="6" t="s">
        <v>51</v>
      </c>
      <c r="M296" s="6">
        <v>5</v>
      </c>
      <c r="N296" s="6" t="s">
        <v>45</v>
      </c>
      <c r="O296" s="6" t="s">
        <v>46</v>
      </c>
      <c r="P296" s="6">
        <v>0</v>
      </c>
      <c r="Q296" s="6">
        <v>0</v>
      </c>
      <c r="R296" s="6">
        <v>0</v>
      </c>
      <c r="S296" s="6">
        <v>0</v>
      </c>
      <c r="T296" s="6">
        <v>0</v>
      </c>
      <c r="U296" s="6">
        <v>1</v>
      </c>
      <c r="V296" s="6">
        <v>0</v>
      </c>
      <c r="W296" s="6">
        <v>0</v>
      </c>
      <c r="X296" s="6">
        <v>0</v>
      </c>
      <c r="Y296" s="6">
        <v>0</v>
      </c>
      <c r="Z296" s="6" t="s">
        <v>25</v>
      </c>
      <c r="AA296" s="6" t="s">
        <v>23</v>
      </c>
      <c r="AB296" s="6" t="s">
        <v>113</v>
      </c>
      <c r="AC296" s="6" t="s">
        <v>48</v>
      </c>
    </row>
    <row r="297" spans="1:29" x14ac:dyDescent="0.3">
      <c r="A297" s="7">
        <v>296</v>
      </c>
      <c r="B297" s="7">
        <v>0</v>
      </c>
      <c r="C297" s="7">
        <v>1</v>
      </c>
      <c r="D297" s="7">
        <v>0</v>
      </c>
      <c r="E297" s="7">
        <v>0</v>
      </c>
      <c r="F297" s="7">
        <v>0</v>
      </c>
      <c r="G297" s="7">
        <v>0</v>
      </c>
      <c r="H297" s="8" t="s">
        <v>27</v>
      </c>
      <c r="I297" s="8" t="s">
        <v>43</v>
      </c>
      <c r="J297" s="8" t="s">
        <v>50</v>
      </c>
      <c r="K297" s="8" t="s">
        <v>49</v>
      </c>
      <c r="L297" s="8" t="s">
        <v>58</v>
      </c>
      <c r="M297" s="8">
        <v>5</v>
      </c>
      <c r="N297" s="8" t="s">
        <v>45</v>
      </c>
      <c r="O297" s="8" t="s">
        <v>63</v>
      </c>
      <c r="P297" s="8">
        <v>1</v>
      </c>
      <c r="Q297" s="8">
        <v>1</v>
      </c>
      <c r="R297" s="8">
        <v>1</v>
      </c>
      <c r="S297" s="8">
        <v>1</v>
      </c>
      <c r="T297" s="8">
        <v>0</v>
      </c>
      <c r="U297" s="8">
        <v>0</v>
      </c>
      <c r="V297" s="8">
        <v>1</v>
      </c>
      <c r="W297" s="8">
        <v>0</v>
      </c>
      <c r="X297" s="8">
        <v>0</v>
      </c>
      <c r="Y297" s="8">
        <v>0</v>
      </c>
      <c r="Z297" s="8" t="s">
        <v>21</v>
      </c>
      <c r="AA297" s="8" t="s">
        <v>40</v>
      </c>
      <c r="AB297" s="8" t="s">
        <v>113</v>
      </c>
      <c r="AC297" s="8" t="s">
        <v>25</v>
      </c>
    </row>
    <row r="298" spans="1:29" x14ac:dyDescent="0.3">
      <c r="A298" s="5">
        <v>297</v>
      </c>
      <c r="B298" s="5">
        <v>1</v>
      </c>
      <c r="C298" s="5">
        <v>0</v>
      </c>
      <c r="D298" s="5">
        <v>0</v>
      </c>
      <c r="E298" s="5">
        <v>0</v>
      </c>
      <c r="F298" s="5">
        <v>0</v>
      </c>
      <c r="G298" s="5">
        <v>1</v>
      </c>
      <c r="H298" s="6" t="s">
        <v>49</v>
      </c>
      <c r="I298" s="6" t="s">
        <v>43</v>
      </c>
      <c r="J298" s="6" t="s">
        <v>50</v>
      </c>
      <c r="K298" s="6" t="s">
        <v>49</v>
      </c>
      <c r="L298" s="6" t="s">
        <v>58</v>
      </c>
      <c r="M298" s="6">
        <v>4</v>
      </c>
      <c r="N298" s="6" t="s">
        <v>45</v>
      </c>
      <c r="O298" s="6" t="s">
        <v>63</v>
      </c>
      <c r="P298" s="6">
        <v>1</v>
      </c>
      <c r="Q298" s="6">
        <v>1</v>
      </c>
      <c r="R298" s="6">
        <v>1</v>
      </c>
      <c r="S298" s="6">
        <v>1</v>
      </c>
      <c r="T298" s="6">
        <v>1</v>
      </c>
      <c r="U298" s="6">
        <v>1</v>
      </c>
      <c r="V298" s="6">
        <v>1</v>
      </c>
      <c r="W298" s="6">
        <v>1</v>
      </c>
      <c r="X298" s="6">
        <v>0</v>
      </c>
      <c r="Y298" s="6">
        <v>0</v>
      </c>
      <c r="Z298" s="6" t="s">
        <v>21</v>
      </c>
      <c r="AA298" s="6" t="s">
        <v>40</v>
      </c>
      <c r="AB298" s="6" t="s">
        <v>24</v>
      </c>
      <c r="AC298" s="6" t="s">
        <v>48</v>
      </c>
    </row>
    <row r="299" spans="1:29" x14ac:dyDescent="0.3">
      <c r="A299" s="7">
        <v>298</v>
      </c>
      <c r="B299" s="7">
        <v>0</v>
      </c>
      <c r="C299" s="7">
        <v>0</v>
      </c>
      <c r="D299" s="7">
        <v>0</v>
      </c>
      <c r="E299" s="7">
        <v>0</v>
      </c>
      <c r="F299" s="7">
        <v>0</v>
      </c>
      <c r="G299" s="7">
        <v>1</v>
      </c>
      <c r="H299" s="8" t="s">
        <v>49</v>
      </c>
      <c r="I299" s="8" t="s">
        <v>16</v>
      </c>
      <c r="J299" s="8" t="s">
        <v>17</v>
      </c>
      <c r="K299" s="8" t="s">
        <v>30</v>
      </c>
      <c r="L299" s="8" t="s">
        <v>58</v>
      </c>
      <c r="M299" s="8">
        <v>2</v>
      </c>
      <c r="N299" s="8" t="s">
        <v>45</v>
      </c>
      <c r="O299" s="8" t="s">
        <v>46</v>
      </c>
      <c r="P299" s="8">
        <v>0</v>
      </c>
      <c r="Q299" s="8">
        <v>0</v>
      </c>
      <c r="R299" s="8">
        <v>0</v>
      </c>
      <c r="S299" s="8">
        <v>1</v>
      </c>
      <c r="T299" s="8">
        <v>0</v>
      </c>
      <c r="U299" s="8">
        <v>0</v>
      </c>
      <c r="V299" s="8">
        <v>0</v>
      </c>
      <c r="W299" s="8">
        <v>0</v>
      </c>
      <c r="X299" s="8">
        <v>0</v>
      </c>
      <c r="Y299" s="8">
        <v>0</v>
      </c>
      <c r="Z299" s="8" t="s">
        <v>25</v>
      </c>
      <c r="AA299" s="8" t="s">
        <v>34</v>
      </c>
      <c r="AB299" s="8" t="s">
        <v>24</v>
      </c>
      <c r="AC299" s="8" t="s">
        <v>48</v>
      </c>
    </row>
    <row r="300" spans="1:29" x14ac:dyDescent="0.3">
      <c r="A300" s="5">
        <v>299</v>
      </c>
      <c r="B300" s="5">
        <v>0</v>
      </c>
      <c r="C300" s="5">
        <v>0</v>
      </c>
      <c r="D300" s="5">
        <v>0</v>
      </c>
      <c r="E300" s="5">
        <v>0</v>
      </c>
      <c r="F300" s="5">
        <v>1</v>
      </c>
      <c r="G300" s="5">
        <v>1</v>
      </c>
      <c r="H300" s="6" t="s">
        <v>27</v>
      </c>
      <c r="I300" s="6" t="s">
        <v>43</v>
      </c>
      <c r="J300" s="6" t="s">
        <v>17</v>
      </c>
      <c r="K300" s="6" t="s">
        <v>30</v>
      </c>
      <c r="L300" s="6" t="s">
        <v>51</v>
      </c>
      <c r="M300" s="6">
        <v>3</v>
      </c>
      <c r="N300" s="6" t="s">
        <v>45</v>
      </c>
      <c r="O300" s="6" t="s">
        <v>63</v>
      </c>
      <c r="P300" s="6">
        <v>1</v>
      </c>
      <c r="Q300" s="6">
        <v>1</v>
      </c>
      <c r="R300" s="6">
        <v>1</v>
      </c>
      <c r="S300" s="6">
        <v>1</v>
      </c>
      <c r="T300" s="6">
        <v>1</v>
      </c>
      <c r="U300" s="6">
        <v>1</v>
      </c>
      <c r="V300" s="6">
        <v>1</v>
      </c>
      <c r="W300" s="6">
        <v>0</v>
      </c>
      <c r="X300" s="6">
        <v>0</v>
      </c>
      <c r="Y300" s="6">
        <v>1</v>
      </c>
      <c r="Z300" s="6" t="s">
        <v>25</v>
      </c>
      <c r="AA300" s="6" t="s">
        <v>23</v>
      </c>
      <c r="AB300" s="6" t="s">
        <v>24</v>
      </c>
      <c r="AC300" s="6" t="s">
        <v>25</v>
      </c>
    </row>
    <row r="301" spans="1:29" x14ac:dyDescent="0.3">
      <c r="A301" s="7">
        <v>300</v>
      </c>
      <c r="B301" s="7">
        <v>0</v>
      </c>
      <c r="C301" s="7">
        <v>0</v>
      </c>
      <c r="D301" s="7">
        <v>0</v>
      </c>
      <c r="E301" s="7">
        <v>0</v>
      </c>
      <c r="F301" s="7">
        <v>1</v>
      </c>
      <c r="G301" s="7">
        <v>0</v>
      </c>
      <c r="H301" s="8" t="s">
        <v>15</v>
      </c>
      <c r="I301" s="8" t="s">
        <v>43</v>
      </c>
      <c r="J301" s="8" t="s">
        <v>356</v>
      </c>
      <c r="K301" s="8" t="s">
        <v>30</v>
      </c>
      <c r="L301" s="8" t="s">
        <v>51</v>
      </c>
      <c r="M301" s="8">
        <v>5</v>
      </c>
      <c r="N301" s="8" t="s">
        <v>45</v>
      </c>
      <c r="O301" s="8" t="s">
        <v>63</v>
      </c>
      <c r="P301" s="8">
        <v>1</v>
      </c>
      <c r="Q301" s="8">
        <v>1</v>
      </c>
      <c r="R301" s="8">
        <v>1</v>
      </c>
      <c r="S301" s="8">
        <v>1</v>
      </c>
      <c r="T301" s="8">
        <v>1</v>
      </c>
      <c r="U301" s="8">
        <v>1</v>
      </c>
      <c r="V301" s="8">
        <v>1</v>
      </c>
      <c r="W301" s="8">
        <v>1</v>
      </c>
      <c r="X301" s="8">
        <v>1</v>
      </c>
      <c r="Y301" s="8">
        <v>1</v>
      </c>
      <c r="Z301" s="8" t="s">
        <v>21</v>
      </c>
      <c r="AA301" s="8" t="s">
        <v>34</v>
      </c>
      <c r="AB301" s="8" t="s">
        <v>54</v>
      </c>
      <c r="AC301" s="8" t="s">
        <v>25</v>
      </c>
    </row>
    <row r="302" spans="1:29" x14ac:dyDescent="0.3">
      <c r="A302" s="5">
        <v>301</v>
      </c>
      <c r="B302" s="5">
        <v>0</v>
      </c>
      <c r="C302" s="5">
        <v>1</v>
      </c>
      <c r="D302" s="5">
        <v>0</v>
      </c>
      <c r="E302" s="5">
        <v>0</v>
      </c>
      <c r="F302" s="5">
        <v>1</v>
      </c>
      <c r="G302" s="5">
        <v>0</v>
      </c>
      <c r="H302" s="6" t="s">
        <v>15</v>
      </c>
      <c r="I302" s="6" t="s">
        <v>83</v>
      </c>
      <c r="J302" s="6" t="s">
        <v>17</v>
      </c>
      <c r="K302" s="6" t="s">
        <v>15</v>
      </c>
      <c r="L302" s="6" t="s">
        <v>51</v>
      </c>
      <c r="M302" s="6">
        <v>5</v>
      </c>
      <c r="N302" s="6" t="s">
        <v>45</v>
      </c>
      <c r="O302" s="6" t="s">
        <v>52</v>
      </c>
      <c r="P302" s="6">
        <v>0</v>
      </c>
      <c r="Q302" s="6">
        <v>1</v>
      </c>
      <c r="R302" s="6">
        <v>0</v>
      </c>
      <c r="S302" s="6">
        <v>1</v>
      </c>
      <c r="T302" s="6">
        <v>1</v>
      </c>
      <c r="U302" s="6">
        <v>0</v>
      </c>
      <c r="V302" s="6">
        <v>1</v>
      </c>
      <c r="W302" s="6">
        <v>0</v>
      </c>
      <c r="X302" s="6">
        <v>1</v>
      </c>
      <c r="Y302" s="6">
        <v>0</v>
      </c>
      <c r="Z302" s="6" t="s">
        <v>21</v>
      </c>
      <c r="AA302" s="6" t="s">
        <v>34</v>
      </c>
      <c r="AB302" s="6" t="s">
        <v>54</v>
      </c>
      <c r="AC302" s="6" t="s">
        <v>21</v>
      </c>
    </row>
    <row r="303" spans="1:29" x14ac:dyDescent="0.3">
      <c r="A303" s="7">
        <v>302</v>
      </c>
      <c r="B303" s="7">
        <v>0</v>
      </c>
      <c r="C303" s="7">
        <v>0</v>
      </c>
      <c r="D303" s="7">
        <v>0</v>
      </c>
      <c r="E303" s="7">
        <v>0</v>
      </c>
      <c r="F303" s="7">
        <v>1</v>
      </c>
      <c r="G303" s="7">
        <v>0</v>
      </c>
      <c r="H303" s="8" t="s">
        <v>27</v>
      </c>
      <c r="I303" s="8" t="s">
        <v>43</v>
      </c>
      <c r="J303" s="8" t="s">
        <v>50</v>
      </c>
      <c r="K303" s="8" t="s">
        <v>49</v>
      </c>
      <c r="L303" s="8" t="s">
        <v>44</v>
      </c>
      <c r="M303" s="8">
        <v>4</v>
      </c>
      <c r="N303" s="8" t="s">
        <v>84</v>
      </c>
      <c r="O303" s="8" t="s">
        <v>52</v>
      </c>
      <c r="P303" s="8">
        <v>1</v>
      </c>
      <c r="Q303" s="8">
        <v>0</v>
      </c>
      <c r="R303" s="8">
        <v>0</v>
      </c>
      <c r="S303" s="8">
        <v>0</v>
      </c>
      <c r="T303" s="8">
        <v>1</v>
      </c>
      <c r="U303" s="8">
        <v>0</v>
      </c>
      <c r="V303" s="8">
        <v>0</v>
      </c>
      <c r="W303" s="8">
        <v>1</v>
      </c>
      <c r="X303" s="8">
        <v>0</v>
      </c>
      <c r="Y303" s="8">
        <v>0</v>
      </c>
      <c r="Z303" s="8" t="s">
        <v>21</v>
      </c>
      <c r="AA303" s="8" t="s">
        <v>34</v>
      </c>
      <c r="AB303" s="8" t="s">
        <v>24</v>
      </c>
      <c r="AC303" s="8" t="s">
        <v>25</v>
      </c>
    </row>
    <row r="304" spans="1:29" x14ac:dyDescent="0.3">
      <c r="A304" s="5">
        <v>303</v>
      </c>
      <c r="B304" s="5">
        <v>0</v>
      </c>
      <c r="C304" s="5">
        <v>1</v>
      </c>
      <c r="D304" s="5">
        <v>0</v>
      </c>
      <c r="E304" s="5">
        <v>0</v>
      </c>
      <c r="F304" s="5">
        <v>0</v>
      </c>
      <c r="G304" s="5">
        <v>0</v>
      </c>
      <c r="H304" s="6" t="s">
        <v>15</v>
      </c>
      <c r="I304" s="6" t="s">
        <v>83</v>
      </c>
      <c r="J304" s="6" t="s">
        <v>29</v>
      </c>
      <c r="K304" s="6" t="s">
        <v>15</v>
      </c>
      <c r="L304" s="6" t="s">
        <v>51</v>
      </c>
      <c r="M304" s="6">
        <v>5</v>
      </c>
      <c r="N304" s="6" t="s">
        <v>59</v>
      </c>
      <c r="O304" s="6" t="s">
        <v>46</v>
      </c>
      <c r="P304" s="6">
        <v>1</v>
      </c>
      <c r="Q304" s="6">
        <v>1</v>
      </c>
      <c r="R304" s="6">
        <v>1</v>
      </c>
      <c r="S304" s="6">
        <v>1</v>
      </c>
      <c r="T304" s="6">
        <v>1</v>
      </c>
      <c r="U304" s="6">
        <v>1</v>
      </c>
      <c r="V304" s="6">
        <v>1</v>
      </c>
      <c r="W304" s="6">
        <v>1</v>
      </c>
      <c r="X304" s="6">
        <v>1</v>
      </c>
      <c r="Y304" s="6">
        <v>1</v>
      </c>
      <c r="Z304" s="6" t="s">
        <v>21</v>
      </c>
      <c r="AA304" s="6" t="s">
        <v>40</v>
      </c>
      <c r="AB304" s="6" t="s">
        <v>136</v>
      </c>
      <c r="AC304" s="6" t="s">
        <v>48</v>
      </c>
    </row>
    <row r="305" spans="1:29" x14ac:dyDescent="0.3">
      <c r="A305" s="7">
        <v>304</v>
      </c>
      <c r="B305" s="7">
        <v>0</v>
      </c>
      <c r="C305" s="7">
        <v>1</v>
      </c>
      <c r="D305" s="7">
        <v>0</v>
      </c>
      <c r="E305" s="7">
        <v>0</v>
      </c>
      <c r="F305" s="7">
        <v>0</v>
      </c>
      <c r="G305" s="7">
        <v>0</v>
      </c>
      <c r="H305" s="8" t="s">
        <v>15</v>
      </c>
      <c r="I305" s="8" t="s">
        <v>43</v>
      </c>
      <c r="J305" s="8" t="s">
        <v>284</v>
      </c>
      <c r="K305" s="8" t="s">
        <v>30</v>
      </c>
      <c r="L305" s="8" t="s">
        <v>70</v>
      </c>
      <c r="M305" s="8">
        <v>5</v>
      </c>
      <c r="N305" s="8" t="s">
        <v>45</v>
      </c>
      <c r="O305" s="8" t="s">
        <v>63</v>
      </c>
      <c r="P305" s="8">
        <v>1</v>
      </c>
      <c r="Q305" s="8">
        <v>1</v>
      </c>
      <c r="R305" s="8">
        <v>1</v>
      </c>
      <c r="S305" s="8">
        <v>1</v>
      </c>
      <c r="T305" s="8">
        <v>1</v>
      </c>
      <c r="U305" s="8">
        <v>0</v>
      </c>
      <c r="V305" s="8">
        <v>1</v>
      </c>
      <c r="W305" s="8">
        <v>0</v>
      </c>
      <c r="X305" s="8">
        <v>0</v>
      </c>
      <c r="Y305" s="8">
        <v>0</v>
      </c>
      <c r="Z305" s="8" t="s">
        <v>25</v>
      </c>
      <c r="AA305" s="8" t="s">
        <v>23</v>
      </c>
      <c r="AB305" s="8" t="s">
        <v>54</v>
      </c>
      <c r="AC305" s="8" t="s">
        <v>48</v>
      </c>
    </row>
    <row r="306" spans="1:29" x14ac:dyDescent="0.3">
      <c r="A306" s="5">
        <v>305</v>
      </c>
      <c r="B306" s="5">
        <v>0</v>
      </c>
      <c r="C306" s="5">
        <v>1</v>
      </c>
      <c r="D306" s="5">
        <v>0</v>
      </c>
      <c r="E306" s="5">
        <v>0</v>
      </c>
      <c r="F306" s="5">
        <v>0</v>
      </c>
      <c r="G306" s="5">
        <v>1</v>
      </c>
      <c r="H306" s="6" t="s">
        <v>15</v>
      </c>
      <c r="I306" s="6" t="s">
        <v>43</v>
      </c>
      <c r="J306" s="6" t="s">
        <v>50</v>
      </c>
      <c r="K306" s="6" t="s">
        <v>49</v>
      </c>
      <c r="L306" s="6" t="s">
        <v>70</v>
      </c>
      <c r="M306" s="6">
        <v>5</v>
      </c>
      <c r="N306" s="6" t="s">
        <v>45</v>
      </c>
      <c r="O306" s="6" t="s">
        <v>46</v>
      </c>
      <c r="P306" s="6">
        <v>1</v>
      </c>
      <c r="Q306" s="6">
        <v>1</v>
      </c>
      <c r="R306" s="6">
        <v>1</v>
      </c>
      <c r="S306" s="6">
        <v>0</v>
      </c>
      <c r="T306" s="6">
        <v>1</v>
      </c>
      <c r="U306" s="6">
        <v>1</v>
      </c>
      <c r="V306" s="6">
        <v>0</v>
      </c>
      <c r="W306" s="6">
        <v>1</v>
      </c>
      <c r="X306" s="6">
        <v>0</v>
      </c>
      <c r="Y306" s="6">
        <v>0</v>
      </c>
      <c r="Z306" s="6" t="s">
        <v>21</v>
      </c>
      <c r="AA306" s="6" t="s">
        <v>23</v>
      </c>
      <c r="AB306" s="6" t="s">
        <v>24</v>
      </c>
      <c r="AC306" s="6" t="s">
        <v>48</v>
      </c>
    </row>
    <row r="307" spans="1:29" x14ac:dyDescent="0.3">
      <c r="A307" s="7">
        <v>306</v>
      </c>
      <c r="B307" s="7">
        <v>1</v>
      </c>
      <c r="C307" s="7">
        <v>1</v>
      </c>
      <c r="D307" s="7">
        <v>0</v>
      </c>
      <c r="E307" s="7">
        <v>0</v>
      </c>
      <c r="F307" s="7">
        <v>0</v>
      </c>
      <c r="G307" s="7">
        <v>1</v>
      </c>
      <c r="H307" s="8" t="s">
        <v>42</v>
      </c>
      <c r="I307" s="8" t="s">
        <v>16</v>
      </c>
      <c r="J307" s="8" t="s">
        <v>50</v>
      </c>
      <c r="K307" s="8" t="s">
        <v>18</v>
      </c>
      <c r="L307" s="8" t="s">
        <v>44</v>
      </c>
      <c r="M307" s="8">
        <v>5</v>
      </c>
      <c r="N307" s="8" t="s">
        <v>84</v>
      </c>
      <c r="O307" s="8" t="s">
        <v>46</v>
      </c>
      <c r="P307" s="8">
        <v>1</v>
      </c>
      <c r="Q307" s="8">
        <v>0</v>
      </c>
      <c r="R307" s="8">
        <v>0</v>
      </c>
      <c r="S307" s="8">
        <v>0</v>
      </c>
      <c r="T307" s="8">
        <v>0</v>
      </c>
      <c r="U307" s="8">
        <v>0</v>
      </c>
      <c r="V307" s="8">
        <v>0</v>
      </c>
      <c r="W307" s="8">
        <v>0</v>
      </c>
      <c r="X307" s="8">
        <v>0</v>
      </c>
      <c r="Y307" s="8">
        <v>0</v>
      </c>
      <c r="Z307" s="8" t="s">
        <v>25</v>
      </c>
      <c r="AA307" s="8" t="s">
        <v>23</v>
      </c>
      <c r="AB307" s="8" t="s">
        <v>24</v>
      </c>
      <c r="AC307" s="8" t="s">
        <v>25</v>
      </c>
    </row>
    <row r="308" spans="1:29" x14ac:dyDescent="0.3">
      <c r="A308" s="5">
        <v>307</v>
      </c>
      <c r="B308" s="5">
        <v>0</v>
      </c>
      <c r="C308" s="5">
        <v>1</v>
      </c>
      <c r="D308" s="5">
        <v>0</v>
      </c>
      <c r="E308" s="5">
        <v>0</v>
      </c>
      <c r="F308" s="5">
        <v>0</v>
      </c>
      <c r="G308" s="5">
        <v>0</v>
      </c>
      <c r="H308" s="6" t="s">
        <v>27</v>
      </c>
      <c r="I308" s="6" t="s">
        <v>43</v>
      </c>
      <c r="J308" s="6" t="s">
        <v>50</v>
      </c>
      <c r="K308" s="6" t="s">
        <v>30</v>
      </c>
      <c r="L308" s="6" t="s">
        <v>44</v>
      </c>
      <c r="M308" s="6">
        <v>4</v>
      </c>
      <c r="N308" s="6" t="s">
        <v>72</v>
      </c>
      <c r="O308" s="6" t="s">
        <v>63</v>
      </c>
      <c r="P308" s="6">
        <v>1</v>
      </c>
      <c r="Q308" s="6">
        <v>0</v>
      </c>
      <c r="R308" s="6">
        <v>1</v>
      </c>
      <c r="S308" s="6">
        <v>0</v>
      </c>
      <c r="T308" s="6">
        <v>0</v>
      </c>
      <c r="U308" s="6">
        <v>0</v>
      </c>
      <c r="V308" s="6">
        <v>1</v>
      </c>
      <c r="W308" s="6">
        <v>0</v>
      </c>
      <c r="X308" s="6">
        <v>0</v>
      </c>
      <c r="Y308" s="6">
        <v>0</v>
      </c>
      <c r="Z308" s="6" t="s">
        <v>21</v>
      </c>
      <c r="AA308" s="6" t="s">
        <v>23</v>
      </c>
      <c r="AB308" s="6" t="s">
        <v>54</v>
      </c>
      <c r="AC308" s="6" t="s">
        <v>48</v>
      </c>
    </row>
    <row r="309" spans="1:29" x14ac:dyDescent="0.3">
      <c r="A309" s="7">
        <v>308</v>
      </c>
      <c r="B309" s="7">
        <v>0</v>
      </c>
      <c r="C309" s="7">
        <v>1</v>
      </c>
      <c r="D309" s="7">
        <v>0</v>
      </c>
      <c r="E309" s="7">
        <v>0</v>
      </c>
      <c r="F309" s="7">
        <v>1</v>
      </c>
      <c r="G309" s="7">
        <v>0</v>
      </c>
      <c r="H309" s="8" t="s">
        <v>15</v>
      </c>
      <c r="I309" s="8" t="s">
        <v>43</v>
      </c>
      <c r="J309" s="8" t="s">
        <v>356</v>
      </c>
      <c r="K309" s="8" t="s">
        <v>15</v>
      </c>
      <c r="L309" s="8" t="s">
        <v>58</v>
      </c>
      <c r="M309" s="8">
        <v>2</v>
      </c>
      <c r="N309" s="8" t="s">
        <v>45</v>
      </c>
      <c r="O309" s="8" t="s">
        <v>63</v>
      </c>
      <c r="P309" s="8">
        <v>0</v>
      </c>
      <c r="Q309" s="8">
        <v>0</v>
      </c>
      <c r="R309" s="8">
        <v>0</v>
      </c>
      <c r="S309" s="8">
        <v>0</v>
      </c>
      <c r="T309" s="8">
        <v>0</v>
      </c>
      <c r="U309" s="8">
        <v>1</v>
      </c>
      <c r="V309" s="8">
        <v>0</v>
      </c>
      <c r="W309" s="8">
        <v>0</v>
      </c>
      <c r="X309" s="8">
        <v>0</v>
      </c>
      <c r="Y309" s="8">
        <v>0</v>
      </c>
      <c r="Z309" s="8" t="s">
        <v>21</v>
      </c>
      <c r="AA309" s="8" t="s">
        <v>40</v>
      </c>
      <c r="AB309" s="8" t="s">
        <v>24</v>
      </c>
      <c r="AC309" s="8" t="s">
        <v>48</v>
      </c>
    </row>
    <row r="310" spans="1:29" x14ac:dyDescent="0.3">
      <c r="A310" s="5">
        <v>309</v>
      </c>
      <c r="B310" s="5">
        <v>0</v>
      </c>
      <c r="C310" s="5">
        <v>1</v>
      </c>
      <c r="D310" s="5">
        <v>0</v>
      </c>
      <c r="E310" s="5">
        <v>0</v>
      </c>
      <c r="F310" s="5">
        <v>1</v>
      </c>
      <c r="G310" s="5">
        <v>1</v>
      </c>
      <c r="H310" s="6" t="s">
        <v>42</v>
      </c>
      <c r="I310" s="6" t="s">
        <v>43</v>
      </c>
      <c r="J310" s="6" t="s">
        <v>29</v>
      </c>
      <c r="K310" s="6" t="s">
        <v>15</v>
      </c>
      <c r="L310" s="6" t="s">
        <v>58</v>
      </c>
      <c r="M310" s="6">
        <v>4</v>
      </c>
      <c r="N310" s="6" t="s">
        <v>45</v>
      </c>
      <c r="O310" s="6" t="s">
        <v>46</v>
      </c>
      <c r="P310" s="6">
        <v>1</v>
      </c>
      <c r="Q310" s="6">
        <v>0</v>
      </c>
      <c r="R310" s="6">
        <v>1</v>
      </c>
      <c r="S310" s="6">
        <v>1</v>
      </c>
      <c r="T310" s="6">
        <v>1</v>
      </c>
      <c r="U310" s="6">
        <v>0</v>
      </c>
      <c r="V310" s="6">
        <v>1</v>
      </c>
      <c r="W310" s="6">
        <v>1</v>
      </c>
      <c r="X310" s="6">
        <v>0</v>
      </c>
      <c r="Y310" s="6">
        <v>0</v>
      </c>
      <c r="Z310" s="6" t="s">
        <v>21</v>
      </c>
      <c r="AA310" s="6" t="s">
        <v>23</v>
      </c>
      <c r="AB310" s="6" t="s">
        <v>24</v>
      </c>
      <c r="AC310" s="6" t="s">
        <v>48</v>
      </c>
    </row>
    <row r="311" spans="1:29" x14ac:dyDescent="0.3">
      <c r="A311" s="7">
        <v>310</v>
      </c>
      <c r="B311" s="7">
        <v>0</v>
      </c>
      <c r="C311" s="7">
        <v>0</v>
      </c>
      <c r="D311" s="7">
        <v>0</v>
      </c>
      <c r="E311" s="7">
        <v>0</v>
      </c>
      <c r="F311" s="7">
        <v>1</v>
      </c>
      <c r="G311" s="7">
        <v>0</v>
      </c>
      <c r="H311" s="8" t="s">
        <v>15</v>
      </c>
      <c r="I311" s="8" t="s">
        <v>43</v>
      </c>
      <c r="J311" s="8" t="s">
        <v>37</v>
      </c>
      <c r="K311" s="8" t="s">
        <v>18</v>
      </c>
      <c r="L311" s="8" t="s">
        <v>51</v>
      </c>
      <c r="M311" s="8">
        <v>2</v>
      </c>
      <c r="N311" s="8" t="s">
        <v>45</v>
      </c>
      <c r="O311" s="8" t="s">
        <v>46</v>
      </c>
      <c r="P311" s="8">
        <v>1</v>
      </c>
      <c r="Q311" s="8">
        <v>0</v>
      </c>
      <c r="R311" s="8">
        <v>0</v>
      </c>
      <c r="S311" s="8">
        <v>0</v>
      </c>
      <c r="T311" s="8">
        <v>0</v>
      </c>
      <c r="U311" s="8">
        <v>0</v>
      </c>
      <c r="V311" s="8">
        <v>0</v>
      </c>
      <c r="W311" s="8">
        <v>0</v>
      </c>
      <c r="X311" s="8">
        <v>0</v>
      </c>
      <c r="Y311" s="8">
        <v>0</v>
      </c>
      <c r="Z311" s="8" t="s">
        <v>21</v>
      </c>
      <c r="AA311" s="8" t="s">
        <v>40</v>
      </c>
      <c r="AB311" s="8" t="s">
        <v>24</v>
      </c>
      <c r="AC311" s="8" t="s">
        <v>21</v>
      </c>
    </row>
    <row r="312" spans="1:29" x14ac:dyDescent="0.3">
      <c r="A312" s="5">
        <v>311</v>
      </c>
      <c r="B312" s="5">
        <v>0</v>
      </c>
      <c r="C312" s="5">
        <v>0</v>
      </c>
      <c r="D312" s="5">
        <v>0</v>
      </c>
      <c r="E312" s="5">
        <v>0</v>
      </c>
      <c r="F312" s="5">
        <v>0</v>
      </c>
      <c r="G312" s="5">
        <v>1</v>
      </c>
      <c r="H312" s="6" t="s">
        <v>15</v>
      </c>
      <c r="I312" s="6" t="s">
        <v>43</v>
      </c>
      <c r="J312" s="6" t="s">
        <v>17</v>
      </c>
      <c r="K312" s="6" t="s">
        <v>30</v>
      </c>
      <c r="L312" s="6" t="s">
        <v>51</v>
      </c>
      <c r="M312" s="6">
        <v>5</v>
      </c>
      <c r="N312" s="6" t="s">
        <v>45</v>
      </c>
      <c r="O312" s="6" t="s">
        <v>46</v>
      </c>
      <c r="P312" s="6">
        <v>1</v>
      </c>
      <c r="Q312" s="6">
        <v>1</v>
      </c>
      <c r="R312" s="6">
        <v>1</v>
      </c>
      <c r="S312" s="6">
        <v>0</v>
      </c>
      <c r="T312" s="6">
        <v>0</v>
      </c>
      <c r="U312" s="6">
        <v>1</v>
      </c>
      <c r="V312" s="6">
        <v>1</v>
      </c>
      <c r="W312" s="6">
        <v>1</v>
      </c>
      <c r="X312" s="6">
        <v>0</v>
      </c>
      <c r="Y312" s="6">
        <v>1</v>
      </c>
      <c r="Z312" s="6" t="s">
        <v>21</v>
      </c>
      <c r="AA312" s="6" t="s">
        <v>34</v>
      </c>
      <c r="AB312" s="6" t="s">
        <v>24</v>
      </c>
      <c r="AC312" s="6" t="s">
        <v>48</v>
      </c>
    </row>
    <row r="313" spans="1:29" x14ac:dyDescent="0.3">
      <c r="A313" s="7">
        <v>312</v>
      </c>
      <c r="B313" s="7">
        <v>0</v>
      </c>
      <c r="C313" s="7">
        <v>1</v>
      </c>
      <c r="D313" s="7">
        <v>0</v>
      </c>
      <c r="E313" s="7">
        <v>0</v>
      </c>
      <c r="F313" s="7">
        <v>0</v>
      </c>
      <c r="G313" s="7">
        <v>0</v>
      </c>
      <c r="H313" s="8" t="s">
        <v>27</v>
      </c>
      <c r="I313" s="8" t="s">
        <v>43</v>
      </c>
      <c r="J313" s="8" t="s">
        <v>356</v>
      </c>
      <c r="K313" s="8" t="s">
        <v>30</v>
      </c>
      <c r="L313" s="8" t="s">
        <v>58</v>
      </c>
      <c r="M313" s="8">
        <v>5</v>
      </c>
      <c r="N313" s="8" t="s">
        <v>45</v>
      </c>
      <c r="O313" s="8" t="s">
        <v>63</v>
      </c>
      <c r="P313" s="8">
        <v>0</v>
      </c>
      <c r="Q313" s="8">
        <v>0</v>
      </c>
      <c r="R313" s="8">
        <v>0</v>
      </c>
      <c r="S313" s="8">
        <v>0</v>
      </c>
      <c r="T313" s="8">
        <v>0</v>
      </c>
      <c r="U313" s="8">
        <v>0</v>
      </c>
      <c r="V313" s="8">
        <v>0</v>
      </c>
      <c r="W313" s="8">
        <v>1</v>
      </c>
      <c r="X313" s="8">
        <v>0</v>
      </c>
      <c r="Y313" s="8">
        <v>0</v>
      </c>
      <c r="Z313" s="8" t="s">
        <v>21</v>
      </c>
      <c r="AA313" s="8" t="s">
        <v>23</v>
      </c>
      <c r="AB313" s="8" t="s">
        <v>24</v>
      </c>
      <c r="AC313" s="8" t="s">
        <v>82</v>
      </c>
    </row>
    <row r="314" spans="1:29" x14ac:dyDescent="0.3">
      <c r="A314" s="5">
        <v>313</v>
      </c>
      <c r="B314" s="5">
        <v>0</v>
      </c>
      <c r="C314" s="5">
        <v>0</v>
      </c>
      <c r="D314" s="5">
        <v>0</v>
      </c>
      <c r="E314" s="5">
        <v>0</v>
      </c>
      <c r="F314" s="5">
        <v>0</v>
      </c>
      <c r="G314" s="5">
        <v>1</v>
      </c>
      <c r="H314" s="6" t="s">
        <v>49</v>
      </c>
      <c r="I314" s="6" t="s">
        <v>43</v>
      </c>
      <c r="J314" s="6" t="s">
        <v>50</v>
      </c>
      <c r="K314" s="6" t="s">
        <v>49</v>
      </c>
      <c r="L314" s="6" t="s">
        <v>51</v>
      </c>
      <c r="M314" s="6">
        <v>3</v>
      </c>
      <c r="N314" s="6" t="s">
        <v>45</v>
      </c>
      <c r="O314" s="6" t="s">
        <v>46</v>
      </c>
      <c r="P314" s="6">
        <v>1</v>
      </c>
      <c r="Q314" s="6">
        <v>0</v>
      </c>
      <c r="R314" s="6">
        <v>0</v>
      </c>
      <c r="S314" s="6">
        <v>1</v>
      </c>
      <c r="T314" s="6">
        <v>1</v>
      </c>
      <c r="U314" s="6">
        <v>0</v>
      </c>
      <c r="V314" s="6">
        <v>1</v>
      </c>
      <c r="W314" s="6">
        <v>0</v>
      </c>
      <c r="X314" s="6">
        <v>0</v>
      </c>
      <c r="Y314" s="6">
        <v>0</v>
      </c>
      <c r="Z314" s="6" t="s">
        <v>21</v>
      </c>
      <c r="AA314" s="6" t="s">
        <v>23</v>
      </c>
      <c r="AB314" s="6" t="s">
        <v>24</v>
      </c>
      <c r="AC314" s="6" t="s">
        <v>25</v>
      </c>
    </row>
    <row r="315" spans="1:29" x14ac:dyDescent="0.3">
      <c r="A315" s="7">
        <v>314</v>
      </c>
      <c r="B315" s="7">
        <v>0</v>
      </c>
      <c r="C315" s="7">
        <v>0</v>
      </c>
      <c r="D315" s="7">
        <v>1</v>
      </c>
      <c r="E315" s="7">
        <v>0</v>
      </c>
      <c r="F315" s="7">
        <v>0</v>
      </c>
      <c r="G315" s="7">
        <v>0</v>
      </c>
      <c r="H315" s="8" t="s">
        <v>49</v>
      </c>
      <c r="I315" s="8" t="s">
        <v>43</v>
      </c>
      <c r="J315" s="8" t="s">
        <v>50</v>
      </c>
      <c r="K315" s="8" t="s">
        <v>15</v>
      </c>
      <c r="L315" s="8" t="s">
        <v>51</v>
      </c>
      <c r="M315" s="8">
        <v>3</v>
      </c>
      <c r="N315" s="8" t="s">
        <v>45</v>
      </c>
      <c r="O315" s="8" t="s">
        <v>63</v>
      </c>
      <c r="P315" s="8">
        <v>0</v>
      </c>
      <c r="Q315" s="8">
        <v>0</v>
      </c>
      <c r="R315" s="8">
        <v>0</v>
      </c>
      <c r="S315" s="8">
        <v>1</v>
      </c>
      <c r="T315" s="8">
        <v>0</v>
      </c>
      <c r="U315" s="8">
        <v>1</v>
      </c>
      <c r="V315" s="8">
        <v>0</v>
      </c>
      <c r="W315" s="8">
        <v>0</v>
      </c>
      <c r="X315" s="8">
        <v>0</v>
      </c>
      <c r="Y315" s="8">
        <v>1</v>
      </c>
      <c r="Z315" s="8" t="s">
        <v>25</v>
      </c>
      <c r="AA315" s="8" t="s">
        <v>23</v>
      </c>
      <c r="AB315" s="8" t="s">
        <v>24</v>
      </c>
      <c r="AC315" s="8" t="s">
        <v>48</v>
      </c>
    </row>
    <row r="316" spans="1:29" x14ac:dyDescent="0.3">
      <c r="A316" s="5">
        <v>315</v>
      </c>
      <c r="B316" s="5">
        <v>0</v>
      </c>
      <c r="C316" s="5">
        <v>0</v>
      </c>
      <c r="D316" s="5">
        <v>0</v>
      </c>
      <c r="E316" s="5">
        <v>0</v>
      </c>
      <c r="F316" s="5">
        <v>0</v>
      </c>
      <c r="G316" s="5">
        <v>1</v>
      </c>
      <c r="H316" s="6" t="s">
        <v>15</v>
      </c>
      <c r="I316" s="6" t="s">
        <v>83</v>
      </c>
      <c r="J316" s="6" t="s">
        <v>356</v>
      </c>
      <c r="K316" s="6" t="s">
        <v>15</v>
      </c>
      <c r="L316" s="6" t="s">
        <v>51</v>
      </c>
      <c r="M316" s="6">
        <v>4</v>
      </c>
      <c r="N316" s="6" t="s">
        <v>59</v>
      </c>
      <c r="O316" s="6" t="s">
        <v>63</v>
      </c>
      <c r="P316" s="6">
        <v>0</v>
      </c>
      <c r="Q316" s="6">
        <v>0</v>
      </c>
      <c r="R316" s="6">
        <v>1</v>
      </c>
      <c r="S316" s="6">
        <v>1</v>
      </c>
      <c r="T316" s="6">
        <v>0</v>
      </c>
      <c r="U316" s="6">
        <v>0</v>
      </c>
      <c r="V316" s="6">
        <v>0</v>
      </c>
      <c r="W316" s="6">
        <v>0</v>
      </c>
      <c r="X316" s="6">
        <v>0</v>
      </c>
      <c r="Y316" s="6">
        <v>0</v>
      </c>
      <c r="Z316" s="6" t="s">
        <v>21</v>
      </c>
      <c r="AA316" s="6" t="s">
        <v>23</v>
      </c>
      <c r="AB316" s="6" t="s">
        <v>24</v>
      </c>
      <c r="AC316" s="6" t="s">
        <v>21</v>
      </c>
    </row>
    <row r="317" spans="1:29" x14ac:dyDescent="0.3">
      <c r="A317" s="7">
        <v>316</v>
      </c>
      <c r="B317" s="7">
        <v>1</v>
      </c>
      <c r="C317" s="7">
        <v>0</v>
      </c>
      <c r="D317" s="7">
        <v>0</v>
      </c>
      <c r="E317" s="7">
        <v>0</v>
      </c>
      <c r="F317" s="7">
        <v>0</v>
      </c>
      <c r="G317" s="7">
        <v>0</v>
      </c>
      <c r="H317" s="8" t="s">
        <v>42</v>
      </c>
      <c r="I317" s="8" t="s">
        <v>83</v>
      </c>
      <c r="J317" s="8" t="s">
        <v>50</v>
      </c>
      <c r="K317" s="8" t="s">
        <v>30</v>
      </c>
      <c r="L317" s="8" t="s">
        <v>58</v>
      </c>
      <c r="M317" s="8">
        <v>5</v>
      </c>
      <c r="N317" s="8" t="s">
        <v>72</v>
      </c>
      <c r="O317" s="8" t="s">
        <v>63</v>
      </c>
      <c r="P317" s="8">
        <v>0</v>
      </c>
      <c r="Q317" s="8">
        <v>0</v>
      </c>
      <c r="R317" s="8">
        <v>1</v>
      </c>
      <c r="S317" s="8">
        <v>1</v>
      </c>
      <c r="T317" s="8">
        <v>0</v>
      </c>
      <c r="U317" s="8">
        <v>0</v>
      </c>
      <c r="V317" s="8">
        <v>1</v>
      </c>
      <c r="W317" s="8">
        <v>0</v>
      </c>
      <c r="X317" s="8">
        <v>0</v>
      </c>
      <c r="Y317" s="8">
        <v>0</v>
      </c>
      <c r="Z317" s="8" t="s">
        <v>21</v>
      </c>
      <c r="AA317" s="8" t="s">
        <v>23</v>
      </c>
      <c r="AB317" s="8" t="s">
        <v>136</v>
      </c>
      <c r="AC317" s="8" t="s">
        <v>48</v>
      </c>
    </row>
    <row r="318" spans="1:29" x14ac:dyDescent="0.3">
      <c r="A318" s="5">
        <v>317</v>
      </c>
      <c r="B318" s="5">
        <v>0</v>
      </c>
      <c r="C318" s="5">
        <v>1</v>
      </c>
      <c r="D318" s="5">
        <v>0</v>
      </c>
      <c r="E318" s="5">
        <v>0</v>
      </c>
      <c r="F318" s="5">
        <v>0</v>
      </c>
      <c r="G318" s="5">
        <v>0</v>
      </c>
      <c r="H318" s="6" t="s">
        <v>15</v>
      </c>
      <c r="I318" s="6" t="s">
        <v>43</v>
      </c>
      <c r="J318" s="6" t="s">
        <v>50</v>
      </c>
      <c r="K318" s="6" t="s">
        <v>49</v>
      </c>
      <c r="L318" s="6" t="s">
        <v>58</v>
      </c>
      <c r="M318" s="6">
        <v>5</v>
      </c>
      <c r="N318" s="6" t="s">
        <v>45</v>
      </c>
      <c r="O318" s="6" t="s">
        <v>46</v>
      </c>
      <c r="P318" s="6">
        <v>0</v>
      </c>
      <c r="Q318" s="6">
        <v>0</v>
      </c>
      <c r="R318" s="6">
        <v>0</v>
      </c>
      <c r="S318" s="6">
        <v>1</v>
      </c>
      <c r="T318" s="6">
        <v>0</v>
      </c>
      <c r="U318" s="6">
        <v>0</v>
      </c>
      <c r="V318" s="6">
        <v>0</v>
      </c>
      <c r="W318" s="6">
        <v>0</v>
      </c>
      <c r="X318" s="6">
        <v>0</v>
      </c>
      <c r="Y318" s="6">
        <v>0</v>
      </c>
      <c r="Z318" s="6" t="s">
        <v>21</v>
      </c>
      <c r="AA318" s="6" t="s">
        <v>23</v>
      </c>
      <c r="AB318" s="6" t="s">
        <v>24</v>
      </c>
      <c r="AC318" s="6" t="s">
        <v>48</v>
      </c>
    </row>
    <row r="319" spans="1:29" x14ac:dyDescent="0.3">
      <c r="A319" s="7">
        <v>318</v>
      </c>
      <c r="B319" s="7">
        <v>0</v>
      </c>
      <c r="C319" s="7">
        <v>1</v>
      </c>
      <c r="D319" s="7">
        <v>0</v>
      </c>
      <c r="E319" s="7">
        <v>0</v>
      </c>
      <c r="F319" s="7">
        <v>0</v>
      </c>
      <c r="G319" s="7">
        <v>1</v>
      </c>
      <c r="H319" s="8" t="s">
        <v>15</v>
      </c>
      <c r="I319" s="8" t="s">
        <v>43</v>
      </c>
      <c r="J319" s="8" t="s">
        <v>50</v>
      </c>
      <c r="K319" s="8" t="s">
        <v>30</v>
      </c>
      <c r="L319" s="8" t="s">
        <v>58</v>
      </c>
      <c r="M319" s="8">
        <v>1</v>
      </c>
      <c r="N319" s="8" t="s">
        <v>45</v>
      </c>
      <c r="O319" s="8" t="s">
        <v>46</v>
      </c>
      <c r="P319" s="8">
        <v>0</v>
      </c>
      <c r="Q319" s="8">
        <v>0</v>
      </c>
      <c r="R319" s="8">
        <v>0</v>
      </c>
      <c r="S319" s="8">
        <v>1</v>
      </c>
      <c r="T319" s="8">
        <v>0</v>
      </c>
      <c r="U319" s="8">
        <v>0</v>
      </c>
      <c r="V319" s="8">
        <v>0</v>
      </c>
      <c r="W319" s="8">
        <v>1</v>
      </c>
      <c r="X319" s="8">
        <v>0</v>
      </c>
      <c r="Y319" s="8">
        <v>0</v>
      </c>
      <c r="Z319" s="8" t="s">
        <v>21</v>
      </c>
      <c r="AA319" s="8" t="s">
        <v>23</v>
      </c>
      <c r="AB319" s="8" t="s">
        <v>24</v>
      </c>
      <c r="AC319" s="8" t="s">
        <v>25</v>
      </c>
    </row>
    <row r="320" spans="1:29" x14ac:dyDescent="0.3">
      <c r="A320" s="5">
        <v>319</v>
      </c>
      <c r="B320" s="5">
        <v>1</v>
      </c>
      <c r="C320" s="5">
        <v>0</v>
      </c>
      <c r="D320" s="5">
        <v>0</v>
      </c>
      <c r="E320" s="5">
        <v>0</v>
      </c>
      <c r="F320" s="5">
        <v>0</v>
      </c>
      <c r="G320" s="5">
        <v>0</v>
      </c>
      <c r="H320" s="6" t="s">
        <v>15</v>
      </c>
      <c r="I320" s="6" t="s">
        <v>43</v>
      </c>
      <c r="J320" s="6" t="s">
        <v>50</v>
      </c>
      <c r="K320" s="6" t="s">
        <v>49</v>
      </c>
      <c r="L320" s="6" t="s">
        <v>44</v>
      </c>
      <c r="M320" s="6">
        <v>4</v>
      </c>
      <c r="N320" s="6" t="s">
        <v>45</v>
      </c>
      <c r="O320" s="6" t="s">
        <v>46</v>
      </c>
      <c r="P320" s="6">
        <v>0</v>
      </c>
      <c r="Q320" s="6">
        <v>0</v>
      </c>
      <c r="R320" s="6">
        <v>0</v>
      </c>
      <c r="S320" s="6">
        <v>1</v>
      </c>
      <c r="T320" s="6">
        <v>0</v>
      </c>
      <c r="U320" s="6">
        <v>0</v>
      </c>
      <c r="V320" s="6">
        <v>1</v>
      </c>
      <c r="W320" s="6">
        <v>1</v>
      </c>
      <c r="X320" s="6">
        <v>0</v>
      </c>
      <c r="Y320" s="6">
        <v>0</v>
      </c>
      <c r="Z320" s="6" t="s">
        <v>21</v>
      </c>
      <c r="AA320" s="6" t="s">
        <v>23</v>
      </c>
      <c r="AB320" s="6" t="s">
        <v>24</v>
      </c>
      <c r="AC320" s="6" t="s">
        <v>25</v>
      </c>
    </row>
    <row r="321" spans="1:29" x14ac:dyDescent="0.3">
      <c r="A321" s="7">
        <v>320</v>
      </c>
      <c r="B321" s="7">
        <v>0</v>
      </c>
      <c r="C321" s="7">
        <v>1</v>
      </c>
      <c r="D321" s="7">
        <v>0</v>
      </c>
      <c r="E321" s="7">
        <v>0</v>
      </c>
      <c r="F321" s="7">
        <v>0</v>
      </c>
      <c r="G321" s="7">
        <v>1</v>
      </c>
      <c r="H321" s="8" t="s">
        <v>49</v>
      </c>
      <c r="I321" s="8" t="s">
        <v>16</v>
      </c>
      <c r="J321" s="8" t="s">
        <v>50</v>
      </c>
      <c r="K321" s="8" t="s">
        <v>49</v>
      </c>
      <c r="L321" s="8" t="s">
        <v>58</v>
      </c>
      <c r="M321" s="8">
        <v>4</v>
      </c>
      <c r="N321" s="8" t="s">
        <v>45</v>
      </c>
      <c r="O321" s="8" t="s">
        <v>63</v>
      </c>
      <c r="P321" s="8">
        <v>1</v>
      </c>
      <c r="Q321" s="8">
        <v>0</v>
      </c>
      <c r="R321" s="8">
        <v>0</v>
      </c>
      <c r="S321" s="8">
        <v>0</v>
      </c>
      <c r="T321" s="8">
        <v>0</v>
      </c>
      <c r="U321" s="8">
        <v>0</v>
      </c>
      <c r="V321" s="8">
        <v>0</v>
      </c>
      <c r="W321" s="8">
        <v>0</v>
      </c>
      <c r="X321" s="8">
        <v>0</v>
      </c>
      <c r="Y321" s="8">
        <v>0</v>
      </c>
      <c r="Z321" s="8" t="s">
        <v>25</v>
      </c>
      <c r="AA321" s="8" t="s">
        <v>23</v>
      </c>
      <c r="AB321" s="8" t="s">
        <v>24</v>
      </c>
      <c r="AC321" s="8" t="s">
        <v>21</v>
      </c>
    </row>
    <row r="322" spans="1:29" x14ac:dyDescent="0.3">
      <c r="A322" s="5">
        <v>321</v>
      </c>
      <c r="B322" s="5">
        <v>1</v>
      </c>
      <c r="C322" s="5">
        <v>1</v>
      </c>
      <c r="D322" s="5">
        <v>1</v>
      </c>
      <c r="E322" s="5">
        <v>0</v>
      </c>
      <c r="F322" s="5">
        <v>1</v>
      </c>
      <c r="G322" s="5">
        <v>1</v>
      </c>
      <c r="H322" s="6" t="s">
        <v>42</v>
      </c>
      <c r="I322" s="6" t="s">
        <v>36</v>
      </c>
      <c r="J322" s="6" t="s">
        <v>37</v>
      </c>
      <c r="K322" s="6" t="s">
        <v>30</v>
      </c>
      <c r="L322" s="6" t="s">
        <v>70</v>
      </c>
      <c r="M322" s="6">
        <v>3</v>
      </c>
      <c r="N322" s="6" t="s">
        <v>59</v>
      </c>
      <c r="O322" s="6" t="s">
        <v>46</v>
      </c>
      <c r="P322" s="6">
        <v>1</v>
      </c>
      <c r="Q322" s="6">
        <v>0</v>
      </c>
      <c r="R322" s="6">
        <v>1</v>
      </c>
      <c r="S322" s="6">
        <v>0</v>
      </c>
      <c r="T322" s="6">
        <v>0</v>
      </c>
      <c r="U322" s="6">
        <v>0</v>
      </c>
      <c r="V322" s="6">
        <v>0</v>
      </c>
      <c r="W322" s="6">
        <v>0</v>
      </c>
      <c r="X322" s="6">
        <v>0</v>
      </c>
      <c r="Y322" s="6">
        <v>0</v>
      </c>
      <c r="Z322" s="6" t="s">
        <v>21</v>
      </c>
      <c r="AA322" s="6" t="s">
        <v>40</v>
      </c>
      <c r="AB322" s="6" t="s">
        <v>24</v>
      </c>
      <c r="AC322" s="6" t="s">
        <v>48</v>
      </c>
    </row>
    <row r="323" spans="1:29" x14ac:dyDescent="0.3">
      <c r="A323" s="7">
        <v>322</v>
      </c>
      <c r="B323" s="7">
        <v>1</v>
      </c>
      <c r="C323" s="7">
        <v>1</v>
      </c>
      <c r="D323" s="7">
        <v>0</v>
      </c>
      <c r="E323" s="7">
        <v>0</v>
      </c>
      <c r="F323" s="7">
        <v>0</v>
      </c>
      <c r="G323" s="7">
        <v>1</v>
      </c>
      <c r="H323" s="8" t="s">
        <v>49</v>
      </c>
      <c r="I323" s="8" t="s">
        <v>352</v>
      </c>
      <c r="J323" s="8" t="s">
        <v>50</v>
      </c>
      <c r="K323" s="8" t="s">
        <v>49</v>
      </c>
      <c r="L323" s="8" t="s">
        <v>51</v>
      </c>
      <c r="M323" s="8">
        <v>5</v>
      </c>
      <c r="N323" s="8" t="s">
        <v>45</v>
      </c>
      <c r="O323" s="8" t="s">
        <v>63</v>
      </c>
      <c r="P323" s="8">
        <v>1</v>
      </c>
      <c r="Q323" s="8">
        <v>1</v>
      </c>
      <c r="R323" s="8">
        <v>0</v>
      </c>
      <c r="S323" s="8">
        <v>1</v>
      </c>
      <c r="T323" s="8">
        <v>0</v>
      </c>
      <c r="U323" s="8">
        <v>1</v>
      </c>
      <c r="V323" s="8">
        <v>1</v>
      </c>
      <c r="W323" s="8">
        <v>0</v>
      </c>
      <c r="X323" s="8">
        <v>0</v>
      </c>
      <c r="Y323" s="8">
        <v>1</v>
      </c>
      <c r="Z323" s="8" t="s">
        <v>25</v>
      </c>
      <c r="AA323" s="8" t="s">
        <v>23</v>
      </c>
      <c r="AB323" s="8" t="s">
        <v>54</v>
      </c>
      <c r="AC323" s="8" t="s">
        <v>25</v>
      </c>
    </row>
    <row r="324" spans="1:29" x14ac:dyDescent="0.3">
      <c r="A324" s="5">
        <v>323</v>
      </c>
      <c r="B324" s="5">
        <v>0</v>
      </c>
      <c r="C324" s="5">
        <v>1</v>
      </c>
      <c r="D324" s="5">
        <v>0</v>
      </c>
      <c r="E324" s="5">
        <v>0</v>
      </c>
      <c r="F324" s="5">
        <v>0</v>
      </c>
      <c r="G324" s="5">
        <v>0</v>
      </c>
      <c r="H324" s="6" t="s">
        <v>49</v>
      </c>
      <c r="I324" s="6" t="s">
        <v>43</v>
      </c>
      <c r="J324" s="6" t="s">
        <v>50</v>
      </c>
      <c r="K324" s="6" t="s">
        <v>49</v>
      </c>
      <c r="L324" s="6" t="s">
        <v>44</v>
      </c>
      <c r="M324" s="6">
        <v>5</v>
      </c>
      <c r="N324" s="6" t="s">
        <v>45</v>
      </c>
      <c r="O324" s="6" t="s">
        <v>52</v>
      </c>
      <c r="P324" s="6">
        <v>1</v>
      </c>
      <c r="Q324" s="6">
        <v>0</v>
      </c>
      <c r="R324" s="6">
        <v>0</v>
      </c>
      <c r="S324" s="6">
        <v>0</v>
      </c>
      <c r="T324" s="6">
        <v>0</v>
      </c>
      <c r="U324" s="6">
        <v>0</v>
      </c>
      <c r="V324" s="6">
        <v>0</v>
      </c>
      <c r="W324" s="6">
        <v>0</v>
      </c>
      <c r="X324" s="6">
        <v>0</v>
      </c>
      <c r="Y324" s="6">
        <v>0</v>
      </c>
      <c r="Z324" s="6" t="s">
        <v>21</v>
      </c>
      <c r="AA324" s="6" t="s">
        <v>34</v>
      </c>
      <c r="AB324" s="6" t="s">
        <v>88</v>
      </c>
      <c r="AC324" s="6" t="s">
        <v>25</v>
      </c>
    </row>
    <row r="325" spans="1:29" x14ac:dyDescent="0.3">
      <c r="A325" s="7">
        <v>324</v>
      </c>
      <c r="B325" s="7">
        <v>0</v>
      </c>
      <c r="C325" s="7">
        <v>1</v>
      </c>
      <c r="D325" s="7">
        <v>0</v>
      </c>
      <c r="E325" s="7">
        <v>0</v>
      </c>
      <c r="F325" s="7">
        <v>1</v>
      </c>
      <c r="G325" s="7">
        <v>0</v>
      </c>
      <c r="H325" s="8" t="s">
        <v>49</v>
      </c>
      <c r="I325" s="8" t="s">
        <v>43</v>
      </c>
      <c r="J325" s="8" t="s">
        <v>37</v>
      </c>
      <c r="K325" s="8" t="s">
        <v>15</v>
      </c>
      <c r="L325" s="8" t="s">
        <v>58</v>
      </c>
      <c r="M325" s="8">
        <v>5</v>
      </c>
      <c r="N325" s="8" t="s">
        <v>45</v>
      </c>
      <c r="O325" s="8" t="s">
        <v>46</v>
      </c>
      <c r="P325" s="8">
        <v>1</v>
      </c>
      <c r="Q325" s="8">
        <v>0</v>
      </c>
      <c r="R325" s="8">
        <v>0</v>
      </c>
      <c r="S325" s="8">
        <v>0</v>
      </c>
      <c r="T325" s="8">
        <v>0</v>
      </c>
      <c r="U325" s="8">
        <v>0</v>
      </c>
      <c r="V325" s="8">
        <v>0</v>
      </c>
      <c r="W325" s="8">
        <v>0</v>
      </c>
      <c r="X325" s="8">
        <v>0</v>
      </c>
      <c r="Y325" s="8">
        <v>0</v>
      </c>
      <c r="Z325" s="8" t="s">
        <v>21</v>
      </c>
      <c r="AA325" s="8" t="s">
        <v>23</v>
      </c>
      <c r="AB325" s="8" t="s">
        <v>24</v>
      </c>
      <c r="AC325" s="8" t="s">
        <v>25</v>
      </c>
    </row>
    <row r="326" spans="1:29" x14ac:dyDescent="0.3">
      <c r="A326" s="5">
        <v>325</v>
      </c>
      <c r="B326" s="5">
        <v>0</v>
      </c>
      <c r="C326" s="5">
        <v>1</v>
      </c>
      <c r="D326" s="5">
        <v>0</v>
      </c>
      <c r="E326" s="5">
        <v>0</v>
      </c>
      <c r="F326" s="5">
        <v>0</v>
      </c>
      <c r="G326" s="5">
        <v>0</v>
      </c>
      <c r="H326" s="6" t="s">
        <v>15</v>
      </c>
      <c r="I326" s="6" t="s">
        <v>43</v>
      </c>
      <c r="J326" s="6" t="s">
        <v>17</v>
      </c>
      <c r="K326" s="6" t="s">
        <v>15</v>
      </c>
      <c r="L326" s="6" t="s">
        <v>51</v>
      </c>
      <c r="M326" s="6">
        <v>1</v>
      </c>
      <c r="N326" s="6" t="s">
        <v>45</v>
      </c>
      <c r="O326" s="6" t="s">
        <v>46</v>
      </c>
      <c r="P326" s="6">
        <v>1</v>
      </c>
      <c r="Q326" s="6">
        <v>0</v>
      </c>
      <c r="R326" s="6">
        <v>0</v>
      </c>
      <c r="S326" s="6">
        <v>0</v>
      </c>
      <c r="T326" s="6">
        <v>0</v>
      </c>
      <c r="U326" s="6">
        <v>0</v>
      </c>
      <c r="V326" s="6">
        <v>0</v>
      </c>
      <c r="W326" s="6">
        <v>0</v>
      </c>
      <c r="X326" s="6">
        <v>0</v>
      </c>
      <c r="Y326" s="6">
        <v>0</v>
      </c>
      <c r="Z326" s="6" t="s">
        <v>21</v>
      </c>
      <c r="AA326" s="6" t="s">
        <v>40</v>
      </c>
      <c r="AB326" s="6" t="s">
        <v>113</v>
      </c>
      <c r="AC326" s="6" t="s">
        <v>21</v>
      </c>
    </row>
    <row r="327" spans="1:29" x14ac:dyDescent="0.3">
      <c r="A327" s="7">
        <v>326</v>
      </c>
      <c r="B327" s="7">
        <v>0</v>
      </c>
      <c r="C327" s="7">
        <v>1</v>
      </c>
      <c r="D327" s="7">
        <v>0</v>
      </c>
      <c r="E327" s="7">
        <v>0</v>
      </c>
      <c r="F327" s="7">
        <v>0</v>
      </c>
      <c r="G327" s="7">
        <v>0</v>
      </c>
      <c r="H327" s="8" t="s">
        <v>42</v>
      </c>
      <c r="I327" s="8" t="s">
        <v>43</v>
      </c>
      <c r="J327" s="8" t="s">
        <v>17</v>
      </c>
      <c r="K327" s="8" t="s">
        <v>18</v>
      </c>
      <c r="L327" s="8" t="s">
        <v>51</v>
      </c>
      <c r="M327" s="8">
        <v>1</v>
      </c>
      <c r="N327" s="8" t="s">
        <v>45</v>
      </c>
      <c r="O327" s="8" t="s">
        <v>46</v>
      </c>
      <c r="P327" s="8">
        <v>1</v>
      </c>
      <c r="Q327" s="8">
        <v>0</v>
      </c>
      <c r="R327" s="8">
        <v>0</v>
      </c>
      <c r="S327" s="8">
        <v>0</v>
      </c>
      <c r="T327" s="8">
        <v>0</v>
      </c>
      <c r="U327" s="8">
        <v>0</v>
      </c>
      <c r="V327" s="8">
        <v>0</v>
      </c>
      <c r="W327" s="8">
        <v>0</v>
      </c>
      <c r="X327" s="8">
        <v>0</v>
      </c>
      <c r="Y327" s="8">
        <v>0</v>
      </c>
      <c r="Z327" s="8" t="s">
        <v>21</v>
      </c>
      <c r="AA327" s="8" t="s">
        <v>40</v>
      </c>
      <c r="AB327" s="8" t="s">
        <v>113</v>
      </c>
      <c r="AC327" s="8" t="s">
        <v>21</v>
      </c>
    </row>
    <row r="328" spans="1:29" x14ac:dyDescent="0.3">
      <c r="A328" s="5">
        <v>327</v>
      </c>
      <c r="B328" s="5">
        <v>0</v>
      </c>
      <c r="C328" s="5">
        <v>1</v>
      </c>
      <c r="D328" s="5">
        <v>0</v>
      </c>
      <c r="E328" s="5">
        <v>0</v>
      </c>
      <c r="F328" s="5">
        <v>0</v>
      </c>
      <c r="G328" s="5">
        <v>1</v>
      </c>
      <c r="H328" s="6" t="s">
        <v>15</v>
      </c>
      <c r="I328" s="6" t="s">
        <v>16</v>
      </c>
      <c r="J328" s="6" t="s">
        <v>50</v>
      </c>
      <c r="K328" s="6" t="s">
        <v>30</v>
      </c>
      <c r="L328" s="6" t="s">
        <v>44</v>
      </c>
      <c r="M328" s="6">
        <v>4</v>
      </c>
      <c r="N328" s="6" t="s">
        <v>72</v>
      </c>
      <c r="O328" s="6" t="s">
        <v>63</v>
      </c>
      <c r="P328" s="6">
        <v>1</v>
      </c>
      <c r="Q328" s="6">
        <v>0</v>
      </c>
      <c r="R328" s="6">
        <v>1</v>
      </c>
      <c r="S328" s="6">
        <v>1</v>
      </c>
      <c r="T328" s="6">
        <v>0</v>
      </c>
      <c r="U328" s="6">
        <v>1</v>
      </c>
      <c r="V328" s="6">
        <v>1</v>
      </c>
      <c r="W328" s="6">
        <v>1</v>
      </c>
      <c r="X328" s="6">
        <v>0</v>
      </c>
      <c r="Y328" s="6">
        <v>1</v>
      </c>
      <c r="Z328" s="6" t="s">
        <v>21</v>
      </c>
      <c r="AA328" s="6" t="s">
        <v>23</v>
      </c>
      <c r="AB328" s="6" t="s">
        <v>24</v>
      </c>
      <c r="AC328" s="6" t="s">
        <v>25</v>
      </c>
    </row>
    <row r="329" spans="1:29" x14ac:dyDescent="0.3">
      <c r="A329" s="7">
        <v>328</v>
      </c>
      <c r="B329" s="7">
        <v>0</v>
      </c>
      <c r="C329" s="7">
        <v>0</v>
      </c>
      <c r="D329" s="7">
        <v>0</v>
      </c>
      <c r="E329" s="7">
        <v>0</v>
      </c>
      <c r="F329" s="7">
        <v>0</v>
      </c>
      <c r="G329" s="7">
        <v>1</v>
      </c>
      <c r="H329" s="8" t="s">
        <v>15</v>
      </c>
      <c r="I329" s="8" t="s">
        <v>83</v>
      </c>
      <c r="J329" s="8" t="s">
        <v>356</v>
      </c>
      <c r="K329" s="8" t="s">
        <v>15</v>
      </c>
      <c r="L329" s="8" t="s">
        <v>44</v>
      </c>
      <c r="M329" s="8">
        <v>5</v>
      </c>
      <c r="N329" s="8" t="s">
        <v>59</v>
      </c>
      <c r="O329" s="8" t="s">
        <v>46</v>
      </c>
      <c r="P329" s="8">
        <v>1</v>
      </c>
      <c r="Q329" s="8">
        <v>1</v>
      </c>
      <c r="R329" s="8">
        <v>0</v>
      </c>
      <c r="S329" s="8">
        <v>1</v>
      </c>
      <c r="T329" s="8">
        <v>1</v>
      </c>
      <c r="U329" s="8">
        <v>1</v>
      </c>
      <c r="V329" s="8">
        <v>1</v>
      </c>
      <c r="W329" s="8">
        <v>1</v>
      </c>
      <c r="X329" s="8">
        <v>0</v>
      </c>
      <c r="Y329" s="8">
        <v>0</v>
      </c>
      <c r="Z329" s="8" t="s">
        <v>21</v>
      </c>
      <c r="AA329" s="8" t="s">
        <v>23</v>
      </c>
      <c r="AB329" s="8" t="s">
        <v>24</v>
      </c>
      <c r="AC329" s="8" t="s">
        <v>21</v>
      </c>
    </row>
    <row r="330" spans="1:29" x14ac:dyDescent="0.3">
      <c r="A330" s="5">
        <v>329</v>
      </c>
      <c r="B330" s="5">
        <v>0</v>
      </c>
      <c r="C330" s="5">
        <v>1</v>
      </c>
      <c r="D330" s="5">
        <v>0</v>
      </c>
      <c r="E330" s="5">
        <v>0</v>
      </c>
      <c r="F330" s="5">
        <v>0</v>
      </c>
      <c r="G330" s="5">
        <v>0</v>
      </c>
      <c r="H330" s="6" t="s">
        <v>49</v>
      </c>
      <c r="I330" s="6" t="s">
        <v>43</v>
      </c>
      <c r="J330" s="6" t="s">
        <v>50</v>
      </c>
      <c r="K330" s="6" t="s">
        <v>49</v>
      </c>
      <c r="L330" s="6" t="s">
        <v>51</v>
      </c>
      <c r="M330" s="6">
        <v>5</v>
      </c>
      <c r="N330" s="6" t="s">
        <v>45</v>
      </c>
      <c r="O330" s="6" t="s">
        <v>46</v>
      </c>
      <c r="P330" s="6">
        <v>1</v>
      </c>
      <c r="Q330" s="6">
        <v>1</v>
      </c>
      <c r="R330" s="6">
        <v>1</v>
      </c>
      <c r="S330" s="6">
        <v>1</v>
      </c>
      <c r="T330" s="6">
        <v>1</v>
      </c>
      <c r="U330" s="6">
        <v>1</v>
      </c>
      <c r="V330" s="6">
        <v>0</v>
      </c>
      <c r="W330" s="6">
        <v>0</v>
      </c>
      <c r="X330" s="6">
        <v>0</v>
      </c>
      <c r="Y330" s="6">
        <v>0</v>
      </c>
      <c r="Z330" s="6" t="s">
        <v>21</v>
      </c>
      <c r="AA330" s="6" t="s">
        <v>23</v>
      </c>
      <c r="AB330" s="6" t="s">
        <v>113</v>
      </c>
      <c r="AC330" s="6" t="s">
        <v>25</v>
      </c>
    </row>
    <row r="331" spans="1:29" x14ac:dyDescent="0.3">
      <c r="A331" s="7">
        <v>330</v>
      </c>
      <c r="B331" s="7">
        <v>0</v>
      </c>
      <c r="C331" s="7">
        <v>0</v>
      </c>
      <c r="D331" s="7">
        <v>0</v>
      </c>
      <c r="E331" s="7">
        <v>0</v>
      </c>
      <c r="F331" s="7">
        <v>0</v>
      </c>
      <c r="G331" s="7">
        <v>1</v>
      </c>
      <c r="H331" s="8" t="s">
        <v>15</v>
      </c>
      <c r="I331" s="8" t="s">
        <v>83</v>
      </c>
      <c r="J331" s="8" t="s">
        <v>50</v>
      </c>
      <c r="K331" s="8" t="s">
        <v>49</v>
      </c>
      <c r="L331" s="8" t="s">
        <v>51</v>
      </c>
      <c r="M331" s="8">
        <v>5</v>
      </c>
      <c r="N331" s="8" t="s">
        <v>45</v>
      </c>
      <c r="O331" s="8" t="s">
        <v>46</v>
      </c>
      <c r="P331" s="8">
        <v>1</v>
      </c>
      <c r="Q331" s="8">
        <v>0</v>
      </c>
      <c r="R331" s="8">
        <v>0</v>
      </c>
      <c r="S331" s="8">
        <v>0</v>
      </c>
      <c r="T331" s="8">
        <v>0</v>
      </c>
      <c r="U331" s="8">
        <v>0</v>
      </c>
      <c r="V331" s="8">
        <v>0</v>
      </c>
      <c r="W331" s="8">
        <v>0</v>
      </c>
      <c r="X331" s="8">
        <v>0</v>
      </c>
      <c r="Y331" s="8">
        <v>0</v>
      </c>
      <c r="Z331" s="8" t="s">
        <v>21</v>
      </c>
      <c r="AA331" s="8" t="s">
        <v>23</v>
      </c>
      <c r="AB331" s="8" t="s">
        <v>24</v>
      </c>
      <c r="AC331" s="8" t="s">
        <v>21</v>
      </c>
    </row>
    <row r="332" spans="1:29" x14ac:dyDescent="0.3">
      <c r="A332" s="5">
        <v>331</v>
      </c>
      <c r="B332" s="5">
        <v>0</v>
      </c>
      <c r="C332" s="5">
        <v>0</v>
      </c>
      <c r="D332" s="5">
        <v>0</v>
      </c>
      <c r="E332" s="5">
        <v>0</v>
      </c>
      <c r="F332" s="5">
        <v>1</v>
      </c>
      <c r="G332" s="5">
        <v>0</v>
      </c>
      <c r="H332" s="6" t="s">
        <v>49</v>
      </c>
      <c r="I332" s="6" t="s">
        <v>43</v>
      </c>
      <c r="J332" s="6" t="s">
        <v>17</v>
      </c>
      <c r="K332" s="6" t="s">
        <v>30</v>
      </c>
      <c r="L332" s="6" t="s">
        <v>44</v>
      </c>
      <c r="M332" s="6">
        <v>3</v>
      </c>
      <c r="N332" s="6" t="s">
        <v>45</v>
      </c>
      <c r="O332" s="6" t="s">
        <v>46</v>
      </c>
      <c r="P332" s="6">
        <v>1</v>
      </c>
      <c r="Q332" s="6">
        <v>1</v>
      </c>
      <c r="R332" s="6">
        <v>0</v>
      </c>
      <c r="S332" s="6">
        <v>1</v>
      </c>
      <c r="T332" s="6">
        <v>0</v>
      </c>
      <c r="U332" s="6">
        <v>1</v>
      </c>
      <c r="V332" s="6">
        <v>0</v>
      </c>
      <c r="W332" s="6">
        <v>0</v>
      </c>
      <c r="X332" s="6">
        <v>1</v>
      </c>
      <c r="Y332" s="6">
        <v>0</v>
      </c>
      <c r="Z332" s="6" t="s">
        <v>25</v>
      </c>
      <c r="AA332" s="6" t="s">
        <v>23</v>
      </c>
      <c r="AB332" s="6" t="s">
        <v>24</v>
      </c>
      <c r="AC332" s="6" t="s">
        <v>48</v>
      </c>
    </row>
    <row r="333" spans="1:29" x14ac:dyDescent="0.3">
      <c r="A333" s="7">
        <v>332</v>
      </c>
      <c r="B333" s="7">
        <v>0</v>
      </c>
      <c r="C333" s="7">
        <v>0</v>
      </c>
      <c r="D333" s="7">
        <v>0</v>
      </c>
      <c r="E333" s="7">
        <v>0</v>
      </c>
      <c r="F333" s="7">
        <v>0</v>
      </c>
      <c r="G333" s="7">
        <v>1</v>
      </c>
      <c r="H333" s="8" t="s">
        <v>15</v>
      </c>
      <c r="I333" s="8" t="s">
        <v>43</v>
      </c>
      <c r="J333" s="8" t="s">
        <v>356</v>
      </c>
      <c r="K333" s="8" t="s">
        <v>15</v>
      </c>
      <c r="L333" s="8" t="s">
        <v>58</v>
      </c>
      <c r="M333" s="8">
        <v>4</v>
      </c>
      <c r="N333" s="8" t="s">
        <v>45</v>
      </c>
      <c r="O333" s="8" t="s">
        <v>52</v>
      </c>
      <c r="P333" s="8">
        <v>0</v>
      </c>
      <c r="Q333" s="8">
        <v>0</v>
      </c>
      <c r="R333" s="8">
        <v>0</v>
      </c>
      <c r="S333" s="8">
        <v>0</v>
      </c>
      <c r="T333" s="8">
        <v>0</v>
      </c>
      <c r="U333" s="8">
        <v>0</v>
      </c>
      <c r="V333" s="8">
        <v>0</v>
      </c>
      <c r="W333" s="8">
        <v>1</v>
      </c>
      <c r="X333" s="8">
        <v>0</v>
      </c>
      <c r="Y333" s="8">
        <v>0</v>
      </c>
      <c r="Z333" s="8" t="s">
        <v>21</v>
      </c>
      <c r="AA333" s="8" t="s">
        <v>23</v>
      </c>
      <c r="AB333" s="8" t="s">
        <v>24</v>
      </c>
      <c r="AC333" s="8" t="s">
        <v>48</v>
      </c>
    </row>
    <row r="334" spans="1:29" x14ac:dyDescent="0.3">
      <c r="A334" s="5">
        <v>333</v>
      </c>
      <c r="B334" s="5">
        <v>0</v>
      </c>
      <c r="C334" s="5">
        <v>0</v>
      </c>
      <c r="D334" s="5">
        <v>0</v>
      </c>
      <c r="E334" s="5">
        <v>0</v>
      </c>
      <c r="F334" s="5">
        <v>0</v>
      </c>
      <c r="G334" s="5">
        <v>1</v>
      </c>
      <c r="H334" s="6" t="s">
        <v>27</v>
      </c>
      <c r="I334" s="6" t="s">
        <v>43</v>
      </c>
      <c r="J334" s="6" t="s">
        <v>356</v>
      </c>
      <c r="K334" s="6" t="s">
        <v>102</v>
      </c>
      <c r="L334" s="6" t="s">
        <v>58</v>
      </c>
      <c r="M334" s="6">
        <v>5</v>
      </c>
      <c r="N334" s="6" t="s">
        <v>45</v>
      </c>
      <c r="O334" s="6" t="s">
        <v>63</v>
      </c>
      <c r="P334" s="6">
        <v>0</v>
      </c>
      <c r="Q334" s="6">
        <v>0</v>
      </c>
      <c r="R334" s="6">
        <v>1</v>
      </c>
      <c r="S334" s="6">
        <v>1</v>
      </c>
      <c r="T334" s="6">
        <v>0</v>
      </c>
      <c r="U334" s="6">
        <v>1</v>
      </c>
      <c r="V334" s="6">
        <v>0</v>
      </c>
      <c r="W334" s="6">
        <v>1</v>
      </c>
      <c r="X334" s="6">
        <v>0</v>
      </c>
      <c r="Y334" s="6">
        <v>0</v>
      </c>
      <c r="Z334" s="6" t="s">
        <v>21</v>
      </c>
      <c r="AA334" s="6" t="s">
        <v>34</v>
      </c>
      <c r="AB334" s="6" t="s">
        <v>24</v>
      </c>
      <c r="AC334" s="6" t="s">
        <v>25</v>
      </c>
    </row>
    <row r="335" spans="1:29" x14ac:dyDescent="0.3">
      <c r="A335" s="7">
        <v>334</v>
      </c>
      <c r="B335" s="7">
        <v>1</v>
      </c>
      <c r="C335" s="7">
        <v>1</v>
      </c>
      <c r="D335" s="7">
        <v>0</v>
      </c>
      <c r="E335" s="7">
        <v>0</v>
      </c>
      <c r="F335" s="7">
        <v>1</v>
      </c>
      <c r="G335" s="7">
        <v>1</v>
      </c>
      <c r="H335" s="8" t="s">
        <v>27</v>
      </c>
      <c r="I335" s="8" t="s">
        <v>43</v>
      </c>
      <c r="J335" s="8" t="s">
        <v>50</v>
      </c>
      <c r="K335" s="8" t="s">
        <v>49</v>
      </c>
      <c r="L335" s="8" t="s">
        <v>44</v>
      </c>
      <c r="M335" s="8">
        <v>4</v>
      </c>
      <c r="N335" s="8" t="s">
        <v>45</v>
      </c>
      <c r="O335" s="8" t="s">
        <v>63</v>
      </c>
      <c r="P335" s="8">
        <v>1</v>
      </c>
      <c r="Q335" s="8">
        <v>0</v>
      </c>
      <c r="R335" s="8">
        <v>0</v>
      </c>
      <c r="S335" s="8">
        <v>0</v>
      </c>
      <c r="T335" s="8">
        <v>0</v>
      </c>
      <c r="U335" s="8">
        <v>1</v>
      </c>
      <c r="V335" s="8">
        <v>1</v>
      </c>
      <c r="W335" s="8">
        <v>0</v>
      </c>
      <c r="X335" s="8">
        <v>0</v>
      </c>
      <c r="Y335" s="8">
        <v>1</v>
      </c>
      <c r="Z335" s="8" t="s">
        <v>21</v>
      </c>
      <c r="AA335" s="8" t="s">
        <v>23</v>
      </c>
      <c r="AB335" s="8" t="s">
        <v>24</v>
      </c>
      <c r="AC335" s="8" t="s">
        <v>48</v>
      </c>
    </row>
    <row r="336" spans="1:29" x14ac:dyDescent="0.3">
      <c r="A336" s="5">
        <v>335</v>
      </c>
      <c r="B336" s="5">
        <v>0</v>
      </c>
      <c r="C336" s="5">
        <v>1</v>
      </c>
      <c r="D336" s="5">
        <v>1</v>
      </c>
      <c r="E336" s="5">
        <v>0</v>
      </c>
      <c r="F336" s="5">
        <v>0</v>
      </c>
      <c r="G336" s="5">
        <v>1</v>
      </c>
      <c r="H336" s="6" t="s">
        <v>15</v>
      </c>
      <c r="I336" s="6" t="s">
        <v>43</v>
      </c>
      <c r="J336" s="6" t="s">
        <v>50</v>
      </c>
      <c r="K336" s="6" t="s">
        <v>30</v>
      </c>
      <c r="L336" s="6" t="s">
        <v>51</v>
      </c>
      <c r="M336" s="6">
        <v>3</v>
      </c>
      <c r="N336" s="6" t="s">
        <v>45</v>
      </c>
      <c r="O336" s="6" t="s">
        <v>52</v>
      </c>
      <c r="P336" s="6">
        <v>1</v>
      </c>
      <c r="Q336" s="6">
        <v>0</v>
      </c>
      <c r="R336" s="6">
        <v>0</v>
      </c>
      <c r="S336" s="6">
        <v>0</v>
      </c>
      <c r="T336" s="6">
        <v>0</v>
      </c>
      <c r="U336" s="6">
        <v>1</v>
      </c>
      <c r="V336" s="6">
        <v>0</v>
      </c>
      <c r="W336" s="6">
        <v>0</v>
      </c>
      <c r="X336" s="6">
        <v>0</v>
      </c>
      <c r="Y336" s="6">
        <v>0</v>
      </c>
      <c r="Z336" s="6" t="s">
        <v>21</v>
      </c>
      <c r="AA336" s="6" t="s">
        <v>34</v>
      </c>
      <c r="AB336" s="6" t="s">
        <v>54</v>
      </c>
      <c r="AC336" s="6" t="s">
        <v>25</v>
      </c>
    </row>
    <row r="337" spans="1:29" x14ac:dyDescent="0.3">
      <c r="A337" s="7">
        <v>336</v>
      </c>
      <c r="B337" s="7">
        <v>0</v>
      </c>
      <c r="C337" s="7">
        <v>1</v>
      </c>
      <c r="D337" s="7">
        <v>0</v>
      </c>
      <c r="E337" s="7">
        <v>0</v>
      </c>
      <c r="F337" s="7">
        <v>0</v>
      </c>
      <c r="G337" s="7">
        <v>0</v>
      </c>
      <c r="H337" s="8" t="s">
        <v>49</v>
      </c>
      <c r="I337" s="8" t="s">
        <v>117</v>
      </c>
      <c r="J337" s="8" t="s">
        <v>17</v>
      </c>
      <c r="K337" s="8" t="s">
        <v>49</v>
      </c>
      <c r="L337" s="8" t="s">
        <v>51</v>
      </c>
      <c r="M337" s="8">
        <v>5</v>
      </c>
      <c r="N337" s="8" t="s">
        <v>45</v>
      </c>
      <c r="O337" s="8" t="s">
        <v>63</v>
      </c>
      <c r="P337" s="8">
        <v>1</v>
      </c>
      <c r="Q337" s="8">
        <v>1</v>
      </c>
      <c r="R337" s="8">
        <v>0</v>
      </c>
      <c r="S337" s="8">
        <v>0</v>
      </c>
      <c r="T337" s="8">
        <v>1</v>
      </c>
      <c r="U337" s="8">
        <v>1</v>
      </c>
      <c r="V337" s="8">
        <v>0</v>
      </c>
      <c r="W337" s="8">
        <v>0</v>
      </c>
      <c r="X337" s="8">
        <v>1</v>
      </c>
      <c r="Y337" s="8">
        <v>0</v>
      </c>
      <c r="Z337" s="8" t="s">
        <v>25</v>
      </c>
      <c r="AA337" s="8" t="s">
        <v>34</v>
      </c>
      <c r="AB337" s="8" t="s">
        <v>24</v>
      </c>
      <c r="AC337" s="8" t="s">
        <v>48</v>
      </c>
    </row>
    <row r="338" spans="1:29" x14ac:dyDescent="0.3">
      <c r="A338" s="5">
        <v>337</v>
      </c>
      <c r="B338" s="5">
        <v>0</v>
      </c>
      <c r="C338" s="5">
        <v>0</v>
      </c>
      <c r="D338" s="5">
        <v>0</v>
      </c>
      <c r="E338" s="5">
        <v>0</v>
      </c>
      <c r="F338" s="5">
        <v>0</v>
      </c>
      <c r="G338" s="5">
        <v>1</v>
      </c>
      <c r="H338" s="6" t="s">
        <v>15</v>
      </c>
      <c r="I338" s="6" t="s">
        <v>83</v>
      </c>
      <c r="J338" s="6" t="s">
        <v>29</v>
      </c>
      <c r="K338" s="6" t="s">
        <v>30</v>
      </c>
      <c r="L338" s="6" t="s">
        <v>51</v>
      </c>
      <c r="M338" s="6">
        <v>5</v>
      </c>
      <c r="N338" s="6" t="s">
        <v>45</v>
      </c>
      <c r="O338" s="6" t="s">
        <v>63</v>
      </c>
      <c r="P338" s="6">
        <v>1</v>
      </c>
      <c r="Q338" s="6">
        <v>0</v>
      </c>
      <c r="R338" s="6">
        <v>0</v>
      </c>
      <c r="S338" s="6">
        <v>0</v>
      </c>
      <c r="T338" s="6">
        <v>0</v>
      </c>
      <c r="U338" s="6">
        <v>0</v>
      </c>
      <c r="V338" s="6">
        <v>1</v>
      </c>
      <c r="W338" s="6">
        <v>1</v>
      </c>
      <c r="X338" s="6">
        <v>0</v>
      </c>
      <c r="Y338" s="6">
        <v>0</v>
      </c>
      <c r="Z338" s="6" t="s">
        <v>21</v>
      </c>
      <c r="AA338" s="6" t="s">
        <v>23</v>
      </c>
      <c r="AB338" s="6" t="s">
        <v>113</v>
      </c>
      <c r="AC338" s="6" t="s">
        <v>25</v>
      </c>
    </row>
    <row r="339" spans="1:29" x14ac:dyDescent="0.3">
      <c r="A339" s="7">
        <v>338</v>
      </c>
      <c r="B339" s="7">
        <v>1</v>
      </c>
      <c r="C339" s="7">
        <v>0</v>
      </c>
      <c r="D339" s="7">
        <v>0</v>
      </c>
      <c r="E339" s="7">
        <v>0</v>
      </c>
      <c r="F339" s="7">
        <v>0</v>
      </c>
      <c r="G339" s="7">
        <v>0</v>
      </c>
      <c r="H339" s="8" t="s">
        <v>27</v>
      </c>
      <c r="I339" s="8" t="s">
        <v>16</v>
      </c>
      <c r="J339" s="8" t="s">
        <v>356</v>
      </c>
      <c r="K339" s="8" t="s">
        <v>102</v>
      </c>
      <c r="L339" s="8" t="s">
        <v>51</v>
      </c>
      <c r="M339" s="8">
        <v>5</v>
      </c>
      <c r="N339" s="8" t="s">
        <v>45</v>
      </c>
      <c r="O339" s="8" t="s">
        <v>52</v>
      </c>
      <c r="P339" s="8">
        <v>1</v>
      </c>
      <c r="Q339" s="8">
        <v>1</v>
      </c>
      <c r="R339" s="8">
        <v>0</v>
      </c>
      <c r="S339" s="8">
        <v>1</v>
      </c>
      <c r="T339" s="8">
        <v>0</v>
      </c>
      <c r="U339" s="8">
        <v>1</v>
      </c>
      <c r="V339" s="8">
        <v>1</v>
      </c>
      <c r="W339" s="8">
        <v>1</v>
      </c>
      <c r="X339" s="8">
        <v>0</v>
      </c>
      <c r="Y339" s="8">
        <v>0</v>
      </c>
      <c r="Z339" s="8" t="s">
        <v>21</v>
      </c>
      <c r="AA339" s="8" t="s">
        <v>34</v>
      </c>
      <c r="AB339" s="8" t="s">
        <v>54</v>
      </c>
      <c r="AC339" s="8" t="s">
        <v>25</v>
      </c>
    </row>
    <row r="340" spans="1:29" x14ac:dyDescent="0.3">
      <c r="A340" s="5">
        <v>339</v>
      </c>
      <c r="B340" s="5">
        <v>0</v>
      </c>
      <c r="C340" s="5">
        <v>0</v>
      </c>
      <c r="D340" s="5">
        <v>0</v>
      </c>
      <c r="E340" s="5">
        <v>0</v>
      </c>
      <c r="F340" s="5">
        <v>0</v>
      </c>
      <c r="G340" s="5">
        <v>1</v>
      </c>
      <c r="H340" s="6" t="s">
        <v>49</v>
      </c>
      <c r="I340" s="6" t="s">
        <v>354</v>
      </c>
      <c r="J340" s="6" t="s">
        <v>50</v>
      </c>
      <c r="K340" s="6" t="s">
        <v>49</v>
      </c>
      <c r="L340" s="6" t="s">
        <v>51</v>
      </c>
      <c r="M340" s="6">
        <v>5</v>
      </c>
      <c r="N340" s="6" t="s">
        <v>45</v>
      </c>
      <c r="O340" s="6" t="s">
        <v>52</v>
      </c>
      <c r="P340" s="6">
        <v>1</v>
      </c>
      <c r="Q340" s="6">
        <v>1</v>
      </c>
      <c r="R340" s="6">
        <v>1</v>
      </c>
      <c r="S340" s="6">
        <v>1</v>
      </c>
      <c r="T340" s="6">
        <v>1</v>
      </c>
      <c r="U340" s="6">
        <v>1</v>
      </c>
      <c r="V340" s="6">
        <v>1</v>
      </c>
      <c r="W340" s="6">
        <v>1</v>
      </c>
      <c r="X340" s="6">
        <v>1</v>
      </c>
      <c r="Y340" s="6">
        <v>1</v>
      </c>
      <c r="Z340" s="6" t="s">
        <v>25</v>
      </c>
      <c r="AA340" s="6" t="s">
        <v>23</v>
      </c>
      <c r="AB340" s="6" t="s">
        <v>88</v>
      </c>
      <c r="AC340" s="6" t="s">
        <v>25</v>
      </c>
    </row>
    <row r="341" spans="1:29" x14ac:dyDescent="0.3">
      <c r="A341" s="7">
        <v>340</v>
      </c>
      <c r="B341" s="7">
        <v>0</v>
      </c>
      <c r="C341" s="7">
        <v>1</v>
      </c>
      <c r="D341" s="7">
        <v>0</v>
      </c>
      <c r="E341" s="7">
        <v>0</v>
      </c>
      <c r="F341" s="7">
        <v>0</v>
      </c>
      <c r="G341" s="7">
        <v>0</v>
      </c>
      <c r="H341" s="8" t="s">
        <v>15</v>
      </c>
      <c r="I341" s="8" t="s">
        <v>83</v>
      </c>
      <c r="J341" s="8" t="s">
        <v>29</v>
      </c>
      <c r="K341" s="8" t="s">
        <v>30</v>
      </c>
      <c r="L341" s="8" t="s">
        <v>51</v>
      </c>
      <c r="M341" s="8">
        <v>5</v>
      </c>
      <c r="N341" s="8" t="s">
        <v>45</v>
      </c>
      <c r="O341" s="8" t="s">
        <v>52</v>
      </c>
      <c r="P341" s="8">
        <v>0</v>
      </c>
      <c r="Q341" s="8">
        <v>0</v>
      </c>
      <c r="R341" s="8">
        <v>1</v>
      </c>
      <c r="S341" s="8">
        <v>0</v>
      </c>
      <c r="T341" s="8">
        <v>1</v>
      </c>
      <c r="U341" s="8">
        <v>1</v>
      </c>
      <c r="V341" s="8">
        <v>0</v>
      </c>
      <c r="W341" s="8">
        <v>0</v>
      </c>
      <c r="X341" s="8">
        <v>0</v>
      </c>
      <c r="Y341" s="8">
        <v>1</v>
      </c>
      <c r="Z341" s="8" t="s">
        <v>25</v>
      </c>
      <c r="AA341" s="8" t="s">
        <v>34</v>
      </c>
      <c r="AB341" s="8" t="s">
        <v>88</v>
      </c>
      <c r="AC341" s="8" t="s">
        <v>48</v>
      </c>
    </row>
    <row r="342" spans="1:29" x14ac:dyDescent="0.3">
      <c r="A342" s="5">
        <v>341</v>
      </c>
      <c r="B342" s="5">
        <v>1</v>
      </c>
      <c r="C342" s="5">
        <v>0</v>
      </c>
      <c r="D342" s="5">
        <v>0</v>
      </c>
      <c r="E342" s="5">
        <v>0</v>
      </c>
      <c r="F342" s="5">
        <v>0</v>
      </c>
      <c r="G342" s="5">
        <v>0</v>
      </c>
      <c r="H342" s="6" t="s">
        <v>27</v>
      </c>
      <c r="I342" s="6" t="s">
        <v>16</v>
      </c>
      <c r="J342" s="6" t="s">
        <v>29</v>
      </c>
      <c r="K342" s="6" t="s">
        <v>15</v>
      </c>
      <c r="L342" s="6" t="s">
        <v>51</v>
      </c>
      <c r="M342" s="6">
        <v>3</v>
      </c>
      <c r="N342" s="6" t="s">
        <v>45</v>
      </c>
      <c r="O342" s="6" t="s">
        <v>52</v>
      </c>
      <c r="P342" s="6">
        <v>1</v>
      </c>
      <c r="Q342" s="6">
        <v>1</v>
      </c>
      <c r="R342" s="6">
        <v>0</v>
      </c>
      <c r="S342" s="6">
        <v>0</v>
      </c>
      <c r="T342" s="6">
        <v>1</v>
      </c>
      <c r="U342" s="6">
        <v>1</v>
      </c>
      <c r="V342" s="6">
        <v>0</v>
      </c>
      <c r="W342" s="6">
        <v>0</v>
      </c>
      <c r="X342" s="6">
        <v>0</v>
      </c>
      <c r="Y342" s="6">
        <v>0</v>
      </c>
      <c r="Z342" s="6" t="s">
        <v>25</v>
      </c>
      <c r="AA342" s="6" t="s">
        <v>34</v>
      </c>
      <c r="AB342" s="6" t="s">
        <v>88</v>
      </c>
      <c r="AC342" s="6" t="s">
        <v>48</v>
      </c>
    </row>
    <row r="343" spans="1:29" x14ac:dyDescent="0.3">
      <c r="A343" s="7">
        <v>342</v>
      </c>
      <c r="B343" s="7">
        <v>0</v>
      </c>
      <c r="C343" s="7">
        <v>0</v>
      </c>
      <c r="D343" s="7">
        <v>1</v>
      </c>
      <c r="E343" s="7">
        <v>0</v>
      </c>
      <c r="F343" s="7">
        <v>1</v>
      </c>
      <c r="G343" s="7">
        <v>0</v>
      </c>
      <c r="H343" s="8" t="s">
        <v>49</v>
      </c>
      <c r="I343" s="8" t="s">
        <v>352</v>
      </c>
      <c r="J343" s="8" t="s">
        <v>37</v>
      </c>
      <c r="K343" s="8" t="s">
        <v>49</v>
      </c>
      <c r="L343" s="8" t="s">
        <v>44</v>
      </c>
      <c r="M343" s="8">
        <v>5</v>
      </c>
      <c r="N343" s="8" t="s">
        <v>45</v>
      </c>
      <c r="O343" s="8" t="s">
        <v>52</v>
      </c>
      <c r="P343" s="8">
        <v>1</v>
      </c>
      <c r="Q343" s="8">
        <v>0</v>
      </c>
      <c r="R343" s="8">
        <v>0</v>
      </c>
      <c r="S343" s="8">
        <v>1</v>
      </c>
      <c r="T343" s="8">
        <v>1</v>
      </c>
      <c r="U343" s="8">
        <v>0</v>
      </c>
      <c r="V343" s="8">
        <v>0</v>
      </c>
      <c r="W343" s="8">
        <v>0</v>
      </c>
      <c r="X343" s="8">
        <v>0</v>
      </c>
      <c r="Y343" s="8">
        <v>0</v>
      </c>
      <c r="Z343" s="8" t="s">
        <v>21</v>
      </c>
      <c r="AA343" s="8" t="s">
        <v>23</v>
      </c>
      <c r="AB343" s="8" t="s">
        <v>24</v>
      </c>
      <c r="AC343" s="8" t="s">
        <v>21</v>
      </c>
    </row>
    <row r="344" spans="1:29" x14ac:dyDescent="0.3">
      <c r="A344" s="5">
        <v>343</v>
      </c>
      <c r="B344" s="5">
        <v>1</v>
      </c>
      <c r="C344" s="5">
        <v>1</v>
      </c>
      <c r="D344" s="5">
        <v>0</v>
      </c>
      <c r="E344" s="5">
        <v>0</v>
      </c>
      <c r="F344" s="5">
        <v>1</v>
      </c>
      <c r="G344" s="5">
        <v>1</v>
      </c>
      <c r="H344" s="6" t="s">
        <v>15</v>
      </c>
      <c r="I344" s="6" t="s">
        <v>43</v>
      </c>
      <c r="J344" s="6" t="s">
        <v>356</v>
      </c>
      <c r="K344" s="6" t="s">
        <v>102</v>
      </c>
      <c r="L344" s="6" t="s">
        <v>58</v>
      </c>
      <c r="M344" s="6">
        <v>4</v>
      </c>
      <c r="N344" s="6" t="s">
        <v>45</v>
      </c>
      <c r="O344" s="6" t="s">
        <v>52</v>
      </c>
      <c r="P344" s="6">
        <v>1</v>
      </c>
      <c r="Q344" s="6">
        <v>0</v>
      </c>
      <c r="R344" s="6">
        <v>0</v>
      </c>
      <c r="S344" s="6">
        <v>0</v>
      </c>
      <c r="T344" s="6">
        <v>1</v>
      </c>
      <c r="U344" s="6">
        <v>0</v>
      </c>
      <c r="V344" s="6">
        <v>0</v>
      </c>
      <c r="W344" s="6">
        <v>0</v>
      </c>
      <c r="X344" s="6">
        <v>0</v>
      </c>
      <c r="Y344" s="6">
        <v>0</v>
      </c>
      <c r="Z344" s="6" t="s">
        <v>25</v>
      </c>
      <c r="AA344" s="6" t="s">
        <v>23</v>
      </c>
      <c r="AB344" s="6" t="s">
        <v>24</v>
      </c>
      <c r="AC344" s="6" t="s">
        <v>48</v>
      </c>
    </row>
    <row r="345" spans="1:29" x14ac:dyDescent="0.3">
      <c r="A345" s="7">
        <v>344</v>
      </c>
      <c r="B345" s="7">
        <v>0</v>
      </c>
      <c r="C345" s="7">
        <v>1</v>
      </c>
      <c r="D345" s="7">
        <v>0</v>
      </c>
      <c r="E345" s="7">
        <v>0</v>
      </c>
      <c r="F345" s="7">
        <v>1</v>
      </c>
      <c r="G345" s="7">
        <v>1</v>
      </c>
      <c r="H345" s="8" t="s">
        <v>15</v>
      </c>
      <c r="I345" s="8" t="s">
        <v>43</v>
      </c>
      <c r="J345" s="8" t="s">
        <v>29</v>
      </c>
      <c r="K345" s="8" t="s">
        <v>15</v>
      </c>
      <c r="L345" s="8" t="s">
        <v>58</v>
      </c>
      <c r="M345" s="8">
        <v>4</v>
      </c>
      <c r="N345" s="8" t="s">
        <v>45</v>
      </c>
      <c r="O345" s="8" t="s">
        <v>63</v>
      </c>
      <c r="P345" s="8">
        <v>0</v>
      </c>
      <c r="Q345" s="8">
        <v>1</v>
      </c>
      <c r="R345" s="8">
        <v>0</v>
      </c>
      <c r="S345" s="8">
        <v>0</v>
      </c>
      <c r="T345" s="8">
        <v>0</v>
      </c>
      <c r="U345" s="8">
        <v>0</v>
      </c>
      <c r="V345" s="8">
        <v>0</v>
      </c>
      <c r="W345" s="8">
        <v>0</v>
      </c>
      <c r="X345" s="8">
        <v>0</v>
      </c>
      <c r="Y345" s="8">
        <v>0</v>
      </c>
      <c r="Z345" s="8" t="s">
        <v>21</v>
      </c>
      <c r="AA345" s="8" t="s">
        <v>34</v>
      </c>
      <c r="AB345" s="8" t="s">
        <v>24</v>
      </c>
      <c r="AC345" s="8" t="s">
        <v>38</v>
      </c>
    </row>
    <row r="346" spans="1:29" x14ac:dyDescent="0.3">
      <c r="A346" s="5">
        <v>345</v>
      </c>
      <c r="B346" s="5">
        <v>0</v>
      </c>
      <c r="C346" s="5">
        <v>0</v>
      </c>
      <c r="D346" s="5">
        <v>0</v>
      </c>
      <c r="E346" s="5">
        <v>0</v>
      </c>
      <c r="F346" s="5">
        <v>0</v>
      </c>
      <c r="G346" s="5">
        <v>1</v>
      </c>
      <c r="H346" s="6" t="s">
        <v>27</v>
      </c>
      <c r="I346" s="6" t="s">
        <v>43</v>
      </c>
      <c r="J346" s="6" t="s">
        <v>17</v>
      </c>
      <c r="K346" s="6" t="s">
        <v>49</v>
      </c>
      <c r="L346" s="6" t="s">
        <v>44</v>
      </c>
      <c r="M346" s="6">
        <v>5</v>
      </c>
      <c r="N346" s="6" t="s">
        <v>45</v>
      </c>
      <c r="O346" s="6" t="s">
        <v>46</v>
      </c>
      <c r="P346" s="6">
        <v>1</v>
      </c>
      <c r="Q346" s="6">
        <v>0</v>
      </c>
      <c r="R346" s="6">
        <v>0</v>
      </c>
      <c r="S346" s="6">
        <v>0</v>
      </c>
      <c r="T346" s="6">
        <v>0</v>
      </c>
      <c r="U346" s="6">
        <v>0</v>
      </c>
      <c r="V346" s="6">
        <v>0</v>
      </c>
      <c r="W346" s="6">
        <v>0</v>
      </c>
      <c r="X346" s="6">
        <v>0</v>
      </c>
      <c r="Y346" s="6">
        <v>0</v>
      </c>
      <c r="Z346" s="6" t="s">
        <v>25</v>
      </c>
      <c r="AA346" s="6" t="s">
        <v>34</v>
      </c>
      <c r="AB346" s="6" t="s">
        <v>54</v>
      </c>
      <c r="AC346" s="6" t="s">
        <v>48</v>
      </c>
    </row>
    <row r="347" spans="1:29" x14ac:dyDescent="0.3">
      <c r="A347" s="7">
        <v>346</v>
      </c>
      <c r="B347" s="7">
        <v>0</v>
      </c>
      <c r="C347" s="7">
        <v>1</v>
      </c>
      <c r="D347" s="7">
        <v>0</v>
      </c>
      <c r="E347" s="7">
        <v>0</v>
      </c>
      <c r="F347" s="7">
        <v>0</v>
      </c>
      <c r="G347" s="7">
        <v>0</v>
      </c>
      <c r="H347" s="8" t="s">
        <v>27</v>
      </c>
      <c r="I347" s="8" t="s">
        <v>43</v>
      </c>
      <c r="J347" s="8" t="s">
        <v>29</v>
      </c>
      <c r="K347" s="8" t="s">
        <v>15</v>
      </c>
      <c r="L347" s="8" t="s">
        <v>70</v>
      </c>
      <c r="M347" s="8">
        <v>4</v>
      </c>
      <c r="N347" s="8" t="s">
        <v>59</v>
      </c>
      <c r="O347" s="8" t="s">
        <v>63</v>
      </c>
      <c r="P347" s="8">
        <v>1</v>
      </c>
      <c r="Q347" s="8">
        <v>1</v>
      </c>
      <c r="R347" s="8">
        <v>1</v>
      </c>
      <c r="S347" s="8">
        <v>0</v>
      </c>
      <c r="T347" s="8">
        <v>1</v>
      </c>
      <c r="U347" s="8">
        <v>0</v>
      </c>
      <c r="V347" s="8">
        <v>0</v>
      </c>
      <c r="W347" s="8">
        <v>1</v>
      </c>
      <c r="X347" s="8">
        <v>1</v>
      </c>
      <c r="Y347" s="8">
        <v>0</v>
      </c>
      <c r="Z347" s="8" t="s">
        <v>21</v>
      </c>
      <c r="AA347" s="8" t="s">
        <v>34</v>
      </c>
      <c r="AB347" s="8" t="s">
        <v>24</v>
      </c>
      <c r="AC347" s="8" t="s">
        <v>25</v>
      </c>
    </row>
    <row r="348" spans="1:29" x14ac:dyDescent="0.3">
      <c r="A348" s="5">
        <v>347</v>
      </c>
      <c r="B348" s="5">
        <v>1</v>
      </c>
      <c r="C348" s="5">
        <v>0</v>
      </c>
      <c r="D348" s="5">
        <v>0</v>
      </c>
      <c r="E348" s="5">
        <v>0</v>
      </c>
      <c r="F348" s="5">
        <v>0</v>
      </c>
      <c r="G348" s="5">
        <v>0</v>
      </c>
      <c r="H348" s="6" t="s">
        <v>42</v>
      </c>
      <c r="I348" s="6" t="s">
        <v>36</v>
      </c>
      <c r="J348" s="6" t="s">
        <v>29</v>
      </c>
      <c r="K348" s="6" t="s">
        <v>30</v>
      </c>
      <c r="L348" s="6" t="s">
        <v>51</v>
      </c>
      <c r="M348" s="6">
        <v>4</v>
      </c>
      <c r="N348" s="6" t="s">
        <v>72</v>
      </c>
      <c r="O348" s="6" t="s">
        <v>63</v>
      </c>
      <c r="P348" s="6">
        <v>1</v>
      </c>
      <c r="Q348" s="6">
        <v>0</v>
      </c>
      <c r="R348" s="6">
        <v>0</v>
      </c>
      <c r="S348" s="6">
        <v>1</v>
      </c>
      <c r="T348" s="6">
        <v>0</v>
      </c>
      <c r="U348" s="6">
        <v>0</v>
      </c>
      <c r="V348" s="6">
        <v>0</v>
      </c>
      <c r="W348" s="6">
        <v>0</v>
      </c>
      <c r="X348" s="6">
        <v>1</v>
      </c>
      <c r="Y348" s="6">
        <v>0</v>
      </c>
      <c r="Z348" s="6" t="s">
        <v>21</v>
      </c>
      <c r="AA348" s="6" t="s">
        <v>23</v>
      </c>
      <c r="AB348" s="6" t="s">
        <v>24</v>
      </c>
      <c r="AC348" s="6" t="s">
        <v>25</v>
      </c>
    </row>
    <row r="349" spans="1:29" x14ac:dyDescent="0.3">
      <c r="A349" s="7">
        <v>348</v>
      </c>
      <c r="B349" s="7">
        <v>1</v>
      </c>
      <c r="C349" s="7">
        <v>0</v>
      </c>
      <c r="D349" s="7">
        <v>0</v>
      </c>
      <c r="E349" s="7">
        <v>0</v>
      </c>
      <c r="F349" s="7">
        <v>0</v>
      </c>
      <c r="G349" s="7">
        <v>0</v>
      </c>
      <c r="H349" s="8" t="s">
        <v>27</v>
      </c>
      <c r="I349" s="8" t="s">
        <v>16</v>
      </c>
      <c r="J349" s="8" t="s">
        <v>37</v>
      </c>
      <c r="K349" s="8" t="s">
        <v>30</v>
      </c>
      <c r="L349" s="8" t="s">
        <v>44</v>
      </c>
      <c r="M349" s="8">
        <v>5</v>
      </c>
      <c r="N349" s="8" t="s">
        <v>45</v>
      </c>
      <c r="O349" s="8" t="s">
        <v>46</v>
      </c>
      <c r="P349" s="8">
        <v>1</v>
      </c>
      <c r="Q349" s="8">
        <v>0</v>
      </c>
      <c r="R349" s="8">
        <v>1</v>
      </c>
      <c r="S349" s="8">
        <v>0</v>
      </c>
      <c r="T349" s="8">
        <v>0</v>
      </c>
      <c r="U349" s="8">
        <v>0</v>
      </c>
      <c r="V349" s="8">
        <v>0</v>
      </c>
      <c r="W349" s="8">
        <v>0</v>
      </c>
      <c r="X349" s="8">
        <v>0</v>
      </c>
      <c r="Y349" s="8">
        <v>0</v>
      </c>
      <c r="Z349" s="8" t="s">
        <v>21</v>
      </c>
      <c r="AA349" s="8" t="s">
        <v>23</v>
      </c>
      <c r="AB349" s="8" t="s">
        <v>24</v>
      </c>
      <c r="AC349" s="8" t="s">
        <v>25</v>
      </c>
    </row>
    <row r="350" spans="1:29" x14ac:dyDescent="0.3">
      <c r="A350" s="5">
        <v>349</v>
      </c>
      <c r="B350" s="5">
        <v>0</v>
      </c>
      <c r="C350" s="5">
        <v>1</v>
      </c>
      <c r="D350" s="5">
        <v>1</v>
      </c>
      <c r="E350" s="5">
        <v>0</v>
      </c>
      <c r="F350" s="5">
        <v>0</v>
      </c>
      <c r="G350" s="5">
        <v>1</v>
      </c>
      <c r="H350" s="6" t="s">
        <v>15</v>
      </c>
      <c r="I350" s="6" t="s">
        <v>16</v>
      </c>
      <c r="J350" s="6" t="s">
        <v>356</v>
      </c>
      <c r="K350" s="6" t="s">
        <v>30</v>
      </c>
      <c r="L350" s="6" t="s">
        <v>44</v>
      </c>
      <c r="M350" s="6">
        <v>3</v>
      </c>
      <c r="N350" s="6" t="s">
        <v>59</v>
      </c>
      <c r="O350" s="6" t="s">
        <v>63</v>
      </c>
      <c r="P350" s="6">
        <v>1</v>
      </c>
      <c r="Q350" s="6">
        <v>0</v>
      </c>
      <c r="R350" s="6">
        <v>0</v>
      </c>
      <c r="S350" s="6">
        <v>1</v>
      </c>
      <c r="T350" s="6">
        <v>0</v>
      </c>
      <c r="U350" s="6">
        <v>0</v>
      </c>
      <c r="V350" s="6">
        <v>1</v>
      </c>
      <c r="W350" s="6">
        <v>0</v>
      </c>
      <c r="X350" s="6">
        <v>0</v>
      </c>
      <c r="Y350" s="6">
        <v>1</v>
      </c>
      <c r="Z350" s="6" t="s">
        <v>21</v>
      </c>
      <c r="AA350" s="6" t="s">
        <v>23</v>
      </c>
      <c r="AB350" s="6" t="s">
        <v>24</v>
      </c>
      <c r="AC350" s="6" t="s">
        <v>48</v>
      </c>
    </row>
    <row r="351" spans="1:29" x14ac:dyDescent="0.3">
      <c r="A351" s="7">
        <v>350</v>
      </c>
      <c r="B351" s="7">
        <v>0</v>
      </c>
      <c r="C351" s="7">
        <v>0</v>
      </c>
      <c r="D351" s="7">
        <v>1</v>
      </c>
      <c r="E351" s="7">
        <v>0</v>
      </c>
      <c r="F351" s="7">
        <v>0</v>
      </c>
      <c r="G351" s="7">
        <v>0</v>
      </c>
      <c r="H351" s="8" t="s">
        <v>15</v>
      </c>
      <c r="I351" s="8" t="s">
        <v>43</v>
      </c>
      <c r="J351" s="8" t="s">
        <v>356</v>
      </c>
      <c r="K351" s="8" t="s">
        <v>102</v>
      </c>
      <c r="L351" s="8" t="s">
        <v>58</v>
      </c>
      <c r="M351" s="8">
        <v>2</v>
      </c>
      <c r="N351" s="8" t="s">
        <v>45</v>
      </c>
      <c r="O351" s="8" t="s">
        <v>63</v>
      </c>
      <c r="P351" s="8">
        <v>0</v>
      </c>
      <c r="Q351" s="8">
        <v>1</v>
      </c>
      <c r="R351" s="8">
        <v>0</v>
      </c>
      <c r="S351" s="8">
        <v>1</v>
      </c>
      <c r="T351" s="8">
        <v>0</v>
      </c>
      <c r="U351" s="8">
        <v>1</v>
      </c>
      <c r="V351" s="8">
        <v>0</v>
      </c>
      <c r="W351" s="8">
        <v>0</v>
      </c>
      <c r="X351" s="8">
        <v>1</v>
      </c>
      <c r="Y351" s="8">
        <v>0</v>
      </c>
      <c r="Z351" s="8" t="s">
        <v>25</v>
      </c>
      <c r="AA351" s="8" t="s">
        <v>23</v>
      </c>
      <c r="AB351" s="8" t="s">
        <v>24</v>
      </c>
      <c r="AC351" s="8" t="s">
        <v>21</v>
      </c>
    </row>
    <row r="352" spans="1:29" x14ac:dyDescent="0.3">
      <c r="A352" s="5">
        <v>351</v>
      </c>
      <c r="B352" s="5">
        <v>1</v>
      </c>
      <c r="C352" s="5">
        <v>0</v>
      </c>
      <c r="D352" s="5">
        <v>0</v>
      </c>
      <c r="E352" s="5">
        <v>0</v>
      </c>
      <c r="F352" s="5">
        <v>0</v>
      </c>
      <c r="G352" s="5">
        <v>0</v>
      </c>
      <c r="H352" s="6" t="s">
        <v>49</v>
      </c>
      <c r="I352" s="6" t="s">
        <v>43</v>
      </c>
      <c r="J352" s="6" t="s">
        <v>356</v>
      </c>
      <c r="K352" s="6" t="s">
        <v>18</v>
      </c>
      <c r="L352" s="6" t="s">
        <v>51</v>
      </c>
      <c r="M352" s="6">
        <v>5</v>
      </c>
      <c r="N352" s="6" t="s">
        <v>59</v>
      </c>
      <c r="O352" s="6" t="s">
        <v>52</v>
      </c>
      <c r="P352" s="6">
        <v>0</v>
      </c>
      <c r="Q352" s="6">
        <v>1</v>
      </c>
      <c r="R352" s="6">
        <v>0</v>
      </c>
      <c r="S352" s="6">
        <v>0</v>
      </c>
      <c r="T352" s="6">
        <v>0</v>
      </c>
      <c r="U352" s="6">
        <v>0</v>
      </c>
      <c r="V352" s="6">
        <v>0</v>
      </c>
      <c r="W352" s="6">
        <v>0</v>
      </c>
      <c r="X352" s="6">
        <v>0</v>
      </c>
      <c r="Y352" s="6">
        <v>0</v>
      </c>
      <c r="Z352" s="6" t="s">
        <v>25</v>
      </c>
      <c r="AA352" s="6" t="s">
        <v>34</v>
      </c>
      <c r="AB352" s="6" t="s">
        <v>88</v>
      </c>
      <c r="AC352" s="6" t="s">
        <v>82</v>
      </c>
    </row>
    <row r="353" spans="1:29" x14ac:dyDescent="0.3">
      <c r="A353" s="7">
        <v>352</v>
      </c>
      <c r="B353" s="7">
        <v>0</v>
      </c>
      <c r="C353" s="7">
        <v>1</v>
      </c>
      <c r="D353" s="7">
        <v>0</v>
      </c>
      <c r="E353" s="7">
        <v>0</v>
      </c>
      <c r="F353" s="7">
        <v>0</v>
      </c>
      <c r="G353" s="7">
        <v>1</v>
      </c>
      <c r="H353" s="8" t="s">
        <v>15</v>
      </c>
      <c r="I353" s="8" t="s">
        <v>83</v>
      </c>
      <c r="J353" s="8" t="s">
        <v>29</v>
      </c>
      <c r="K353" s="8" t="s">
        <v>15</v>
      </c>
      <c r="L353" s="8" t="s">
        <v>44</v>
      </c>
      <c r="M353" s="8">
        <v>4</v>
      </c>
      <c r="N353" s="8" t="s">
        <v>59</v>
      </c>
      <c r="O353" s="8" t="s">
        <v>63</v>
      </c>
      <c r="P353" s="8">
        <v>1</v>
      </c>
      <c r="Q353" s="8">
        <v>0</v>
      </c>
      <c r="R353" s="8">
        <v>1</v>
      </c>
      <c r="S353" s="8">
        <v>0</v>
      </c>
      <c r="T353" s="8">
        <v>0</v>
      </c>
      <c r="U353" s="8">
        <v>0</v>
      </c>
      <c r="V353" s="8">
        <v>0</v>
      </c>
      <c r="W353" s="8">
        <v>0</v>
      </c>
      <c r="X353" s="8">
        <v>0</v>
      </c>
      <c r="Y353" s="8">
        <v>0</v>
      </c>
      <c r="Z353" s="8" t="s">
        <v>21</v>
      </c>
      <c r="AA353" s="8" t="s">
        <v>34</v>
      </c>
      <c r="AB353" s="8" t="s">
        <v>24</v>
      </c>
      <c r="AC353" s="8" t="s">
        <v>25</v>
      </c>
    </row>
    <row r="354" spans="1:29" x14ac:dyDescent="0.3">
      <c r="A354" s="5">
        <v>353</v>
      </c>
      <c r="B354" s="5">
        <v>0</v>
      </c>
      <c r="C354" s="5">
        <v>0</v>
      </c>
      <c r="D354" s="5">
        <v>0</v>
      </c>
      <c r="E354" s="5">
        <v>0</v>
      </c>
      <c r="F354" s="5">
        <v>0</v>
      </c>
      <c r="G354" s="5">
        <v>1</v>
      </c>
      <c r="H354" s="6" t="s">
        <v>27</v>
      </c>
      <c r="I354" s="6" t="s">
        <v>43</v>
      </c>
      <c r="J354" s="6" t="s">
        <v>17</v>
      </c>
      <c r="K354" s="6" t="s">
        <v>30</v>
      </c>
      <c r="L354" s="6" t="s">
        <v>51</v>
      </c>
      <c r="M354" s="6">
        <v>3</v>
      </c>
      <c r="N354" s="6" t="s">
        <v>45</v>
      </c>
      <c r="O354" s="6" t="s">
        <v>46</v>
      </c>
      <c r="P354" s="6">
        <v>1</v>
      </c>
      <c r="Q354" s="6">
        <v>1</v>
      </c>
      <c r="R354" s="6">
        <v>1</v>
      </c>
      <c r="S354" s="6">
        <v>0</v>
      </c>
      <c r="T354" s="6">
        <v>1</v>
      </c>
      <c r="U354" s="6">
        <v>1</v>
      </c>
      <c r="V354" s="6">
        <v>1</v>
      </c>
      <c r="W354" s="6">
        <v>1</v>
      </c>
      <c r="X354" s="6">
        <v>0</v>
      </c>
      <c r="Y354" s="6">
        <v>0</v>
      </c>
      <c r="Z354" s="6" t="s">
        <v>21</v>
      </c>
      <c r="AA354" s="6" t="s">
        <v>34</v>
      </c>
      <c r="AB354" s="6" t="s">
        <v>24</v>
      </c>
      <c r="AC354" s="6" t="s">
        <v>21</v>
      </c>
    </row>
    <row r="355" spans="1:29" x14ac:dyDescent="0.3">
      <c r="A355" s="7">
        <v>354</v>
      </c>
      <c r="B355" s="7">
        <v>0</v>
      </c>
      <c r="C355" s="7">
        <v>0</v>
      </c>
      <c r="D355" s="7">
        <v>0</v>
      </c>
      <c r="E355" s="7">
        <v>0</v>
      </c>
      <c r="F355" s="7">
        <v>0</v>
      </c>
      <c r="G355" s="7">
        <v>1</v>
      </c>
      <c r="H355" s="8" t="s">
        <v>15</v>
      </c>
      <c r="I355" s="8" t="s">
        <v>43</v>
      </c>
      <c r="J355" s="8" t="s">
        <v>29</v>
      </c>
      <c r="K355" s="8" t="s">
        <v>30</v>
      </c>
      <c r="L355" s="8" t="s">
        <v>58</v>
      </c>
      <c r="M355" s="8">
        <v>5</v>
      </c>
      <c r="N355" s="8" t="s">
        <v>45</v>
      </c>
      <c r="O355" s="8" t="s">
        <v>46</v>
      </c>
      <c r="P355" s="8">
        <v>0</v>
      </c>
      <c r="Q355" s="8">
        <v>1</v>
      </c>
      <c r="R355" s="8">
        <v>0</v>
      </c>
      <c r="S355" s="8">
        <v>1</v>
      </c>
      <c r="T355" s="8">
        <v>0</v>
      </c>
      <c r="U355" s="8">
        <v>1</v>
      </c>
      <c r="V355" s="8">
        <v>0</v>
      </c>
      <c r="W355" s="8">
        <v>0</v>
      </c>
      <c r="X355" s="8">
        <v>1</v>
      </c>
      <c r="Y355" s="8">
        <v>0</v>
      </c>
      <c r="Z355" s="8" t="s">
        <v>21</v>
      </c>
      <c r="AA355" s="8" t="s">
        <v>23</v>
      </c>
      <c r="AB355" s="8" t="s">
        <v>24</v>
      </c>
      <c r="AC355" s="8" t="s">
        <v>21</v>
      </c>
    </row>
    <row r="356" spans="1:29" x14ac:dyDescent="0.3">
      <c r="A356" s="5">
        <v>355</v>
      </c>
      <c r="B356" s="5">
        <v>1</v>
      </c>
      <c r="C356" s="5">
        <v>1</v>
      </c>
      <c r="D356" s="5">
        <v>0</v>
      </c>
      <c r="E356" s="5">
        <v>0</v>
      </c>
      <c r="F356" s="5">
        <v>0</v>
      </c>
      <c r="G356" s="5">
        <v>0</v>
      </c>
      <c r="H356" s="6" t="s">
        <v>49</v>
      </c>
      <c r="I356" s="6" t="s">
        <v>354</v>
      </c>
      <c r="J356" s="6" t="s">
        <v>50</v>
      </c>
      <c r="K356" s="6" t="s">
        <v>30</v>
      </c>
      <c r="L356" s="6" t="s">
        <v>51</v>
      </c>
      <c r="M356" s="6">
        <v>5</v>
      </c>
      <c r="N356" s="6" t="s">
        <v>59</v>
      </c>
      <c r="O356" s="6" t="s">
        <v>52</v>
      </c>
      <c r="P356" s="6">
        <v>0</v>
      </c>
      <c r="Q356" s="6">
        <v>1</v>
      </c>
      <c r="R356" s="6">
        <v>0</v>
      </c>
      <c r="S356" s="6">
        <v>0</v>
      </c>
      <c r="T356" s="6">
        <v>0</v>
      </c>
      <c r="U356" s="6">
        <v>0</v>
      </c>
      <c r="V356" s="6">
        <v>0</v>
      </c>
      <c r="W356" s="6">
        <v>0</v>
      </c>
      <c r="X356" s="6">
        <v>0</v>
      </c>
      <c r="Y356" s="6">
        <v>0</v>
      </c>
      <c r="Z356" s="6" t="s">
        <v>25</v>
      </c>
      <c r="AA356" s="6" t="s">
        <v>34</v>
      </c>
      <c r="AB356" s="6" t="s">
        <v>88</v>
      </c>
      <c r="AC356" s="6" t="s">
        <v>25</v>
      </c>
    </row>
    <row r="357" spans="1:29" x14ac:dyDescent="0.3">
      <c r="A357" s="7">
        <v>356</v>
      </c>
      <c r="B357" s="7">
        <v>0</v>
      </c>
      <c r="C357" s="7">
        <v>0</v>
      </c>
      <c r="D357" s="7">
        <v>0</v>
      </c>
      <c r="E357" s="7">
        <v>0</v>
      </c>
      <c r="F357" s="7">
        <v>0</v>
      </c>
      <c r="G357" s="7">
        <v>1</v>
      </c>
      <c r="H357" s="8" t="s">
        <v>49</v>
      </c>
      <c r="I357" s="8" t="s">
        <v>36</v>
      </c>
      <c r="J357" s="8" t="s">
        <v>37</v>
      </c>
      <c r="K357" s="8" t="s">
        <v>15</v>
      </c>
      <c r="L357" s="8" t="s">
        <v>44</v>
      </c>
      <c r="M357" s="8">
        <v>2</v>
      </c>
      <c r="N357" s="8" t="s">
        <v>84</v>
      </c>
      <c r="O357" s="8" t="s">
        <v>63</v>
      </c>
      <c r="P357" s="8">
        <v>0</v>
      </c>
      <c r="Q357" s="8">
        <v>1</v>
      </c>
      <c r="R357" s="8">
        <v>0</v>
      </c>
      <c r="S357" s="8">
        <v>0</v>
      </c>
      <c r="T357" s="8">
        <v>0</v>
      </c>
      <c r="U357" s="8">
        <v>0</v>
      </c>
      <c r="V357" s="8">
        <v>0</v>
      </c>
      <c r="W357" s="8">
        <v>0</v>
      </c>
      <c r="X357" s="8">
        <v>0</v>
      </c>
      <c r="Y357" s="8">
        <v>0</v>
      </c>
      <c r="Z357" s="8" t="s">
        <v>21</v>
      </c>
      <c r="AA357" s="8" t="s">
        <v>23</v>
      </c>
      <c r="AB357" s="8" t="s">
        <v>24</v>
      </c>
      <c r="AC357" s="8" t="s">
        <v>25</v>
      </c>
    </row>
    <row r="358" spans="1:29" x14ac:dyDescent="0.3">
      <c r="A358" s="5">
        <v>357</v>
      </c>
      <c r="B358" s="5">
        <v>0</v>
      </c>
      <c r="C358" s="5">
        <v>0</v>
      </c>
      <c r="D358" s="5">
        <v>0</v>
      </c>
      <c r="E358" s="5">
        <v>0</v>
      </c>
      <c r="F358" s="5">
        <v>0</v>
      </c>
      <c r="G358" s="5">
        <v>1</v>
      </c>
      <c r="H358" s="6" t="s">
        <v>49</v>
      </c>
      <c r="I358" s="6" t="s">
        <v>117</v>
      </c>
      <c r="J358" s="6" t="s">
        <v>50</v>
      </c>
      <c r="K358" s="6" t="s">
        <v>49</v>
      </c>
      <c r="L358" s="6" t="s">
        <v>58</v>
      </c>
      <c r="M358" s="6">
        <v>5</v>
      </c>
      <c r="N358" s="6" t="s">
        <v>45</v>
      </c>
      <c r="O358" s="6" t="s">
        <v>52</v>
      </c>
      <c r="P358" s="6">
        <v>0</v>
      </c>
      <c r="Q358" s="6">
        <v>1</v>
      </c>
      <c r="R358" s="6">
        <v>0</v>
      </c>
      <c r="S358" s="6">
        <v>0</v>
      </c>
      <c r="T358" s="6">
        <v>0</v>
      </c>
      <c r="U358" s="6">
        <v>0</v>
      </c>
      <c r="V358" s="6">
        <v>0</v>
      </c>
      <c r="W358" s="6">
        <v>0</v>
      </c>
      <c r="X358" s="6">
        <v>0</v>
      </c>
      <c r="Y358" s="6">
        <v>0</v>
      </c>
      <c r="Z358" s="6" t="s">
        <v>21</v>
      </c>
      <c r="AA358" s="6" t="s">
        <v>34</v>
      </c>
      <c r="AB358" s="6" t="s">
        <v>88</v>
      </c>
      <c r="AC358" s="6" t="s">
        <v>25</v>
      </c>
    </row>
    <row r="359" spans="1:29" x14ac:dyDescent="0.3">
      <c r="A359" s="7">
        <v>358</v>
      </c>
      <c r="B359" s="7">
        <v>0</v>
      </c>
      <c r="C359" s="7">
        <v>0</v>
      </c>
      <c r="D359" s="7">
        <v>0</v>
      </c>
      <c r="E359" s="7">
        <v>0</v>
      </c>
      <c r="F359" s="7">
        <v>0</v>
      </c>
      <c r="G359" s="7">
        <v>1</v>
      </c>
      <c r="H359" s="8" t="s">
        <v>27</v>
      </c>
      <c r="I359" s="8" t="s">
        <v>83</v>
      </c>
      <c r="J359" s="8" t="s">
        <v>37</v>
      </c>
      <c r="K359" s="8" t="s">
        <v>15</v>
      </c>
      <c r="L359" s="8" t="s">
        <v>44</v>
      </c>
      <c r="M359" s="8">
        <v>5</v>
      </c>
      <c r="N359" s="8" t="s">
        <v>45</v>
      </c>
      <c r="O359" s="8" t="s">
        <v>63</v>
      </c>
      <c r="P359" s="8">
        <v>0</v>
      </c>
      <c r="Q359" s="8">
        <v>1</v>
      </c>
      <c r="R359" s="8">
        <v>1</v>
      </c>
      <c r="S359" s="8">
        <v>0</v>
      </c>
      <c r="T359" s="8">
        <v>1</v>
      </c>
      <c r="U359" s="8">
        <v>0</v>
      </c>
      <c r="V359" s="8">
        <v>0</v>
      </c>
      <c r="W359" s="8">
        <v>0</v>
      </c>
      <c r="X359" s="8">
        <v>0</v>
      </c>
      <c r="Y359" s="8">
        <v>0</v>
      </c>
      <c r="Z359" s="8" t="s">
        <v>21</v>
      </c>
      <c r="AA359" s="8" t="s">
        <v>34</v>
      </c>
      <c r="AB359" s="8" t="s">
        <v>113</v>
      </c>
      <c r="AC359" s="8" t="s">
        <v>48</v>
      </c>
    </row>
    <row r="360" spans="1:29" x14ac:dyDescent="0.3">
      <c r="A360" s="5">
        <v>359</v>
      </c>
      <c r="B360" s="5">
        <v>0</v>
      </c>
      <c r="C360" s="5">
        <v>0</v>
      </c>
      <c r="D360" s="5">
        <v>0</v>
      </c>
      <c r="E360" s="5">
        <v>0</v>
      </c>
      <c r="F360" s="5">
        <v>0</v>
      </c>
      <c r="G360" s="5">
        <v>1</v>
      </c>
      <c r="H360" s="6" t="s">
        <v>27</v>
      </c>
      <c r="I360" s="6" t="s">
        <v>83</v>
      </c>
      <c r="J360" s="6" t="s">
        <v>17</v>
      </c>
      <c r="K360" s="6" t="s">
        <v>18</v>
      </c>
      <c r="L360" s="6" t="s">
        <v>51</v>
      </c>
      <c r="M360" s="6">
        <v>3</v>
      </c>
      <c r="N360" s="6" t="s">
        <v>45</v>
      </c>
      <c r="O360" s="6" t="s">
        <v>46</v>
      </c>
      <c r="P360" s="6">
        <v>1</v>
      </c>
      <c r="Q360" s="6">
        <v>0</v>
      </c>
      <c r="R360" s="6">
        <v>0</v>
      </c>
      <c r="S360" s="6">
        <v>0</v>
      </c>
      <c r="T360" s="6">
        <v>0</v>
      </c>
      <c r="U360" s="6">
        <v>0</v>
      </c>
      <c r="V360" s="6">
        <v>0</v>
      </c>
      <c r="W360" s="6">
        <v>0</v>
      </c>
      <c r="X360" s="6">
        <v>0</v>
      </c>
      <c r="Y360" s="6">
        <v>0</v>
      </c>
      <c r="Z360" s="6" t="s">
        <v>25</v>
      </c>
      <c r="AA360" s="6" t="s">
        <v>34</v>
      </c>
      <c r="AB360" s="6" t="s">
        <v>88</v>
      </c>
      <c r="AC360" s="6" t="s">
        <v>25</v>
      </c>
    </row>
    <row r="361" spans="1:29" x14ac:dyDescent="0.3">
      <c r="A361" s="7">
        <v>360</v>
      </c>
      <c r="B361" s="7">
        <v>0</v>
      </c>
      <c r="C361" s="7">
        <v>0</v>
      </c>
      <c r="D361" s="7">
        <v>1</v>
      </c>
      <c r="E361" s="7">
        <v>0</v>
      </c>
      <c r="F361" s="7">
        <v>0</v>
      </c>
      <c r="G361" s="7">
        <v>0</v>
      </c>
      <c r="H361" s="8" t="s">
        <v>15</v>
      </c>
      <c r="I361" s="8" t="s">
        <v>43</v>
      </c>
      <c r="J361" s="8" t="s">
        <v>50</v>
      </c>
      <c r="K361" s="8" t="s">
        <v>30</v>
      </c>
      <c r="L361" s="8" t="s">
        <v>70</v>
      </c>
      <c r="M361" s="8">
        <v>5</v>
      </c>
      <c r="N361" s="8" t="s">
        <v>45</v>
      </c>
      <c r="O361" s="8" t="s">
        <v>63</v>
      </c>
      <c r="P361" s="8">
        <v>1</v>
      </c>
      <c r="Q361" s="8">
        <v>1</v>
      </c>
      <c r="R361" s="8">
        <v>0</v>
      </c>
      <c r="S361" s="8">
        <v>0</v>
      </c>
      <c r="T361" s="8">
        <v>0</v>
      </c>
      <c r="U361" s="8">
        <v>1</v>
      </c>
      <c r="V361" s="8">
        <v>1</v>
      </c>
      <c r="W361" s="8">
        <v>1</v>
      </c>
      <c r="X361" s="8">
        <v>1</v>
      </c>
      <c r="Y361" s="8">
        <v>1</v>
      </c>
      <c r="Z361" s="8" t="s">
        <v>21</v>
      </c>
      <c r="AA361" s="8" t="s">
        <v>23</v>
      </c>
      <c r="AB361" s="8" t="s">
        <v>24</v>
      </c>
      <c r="AC361" s="8" t="s">
        <v>21</v>
      </c>
    </row>
    <row r="362" spans="1:29" x14ac:dyDescent="0.3">
      <c r="A362" s="5">
        <v>361</v>
      </c>
      <c r="B362" s="5">
        <v>0</v>
      </c>
      <c r="C362" s="5">
        <v>1</v>
      </c>
      <c r="D362" s="5">
        <v>0</v>
      </c>
      <c r="E362" s="5">
        <v>0</v>
      </c>
      <c r="F362" s="5">
        <v>0</v>
      </c>
      <c r="G362" s="5">
        <v>1</v>
      </c>
      <c r="H362" s="6" t="s">
        <v>27</v>
      </c>
      <c r="I362" s="6" t="s">
        <v>16</v>
      </c>
      <c r="J362" s="6" t="s">
        <v>50</v>
      </c>
      <c r="K362" s="6" t="s">
        <v>102</v>
      </c>
      <c r="L362" s="6" t="s">
        <v>58</v>
      </c>
      <c r="M362" s="6">
        <v>5</v>
      </c>
      <c r="N362" s="6" t="s">
        <v>45</v>
      </c>
      <c r="O362" s="6" t="s">
        <v>46</v>
      </c>
      <c r="P362" s="6">
        <v>1</v>
      </c>
      <c r="Q362" s="6">
        <v>1</v>
      </c>
      <c r="R362" s="6">
        <v>1</v>
      </c>
      <c r="S362" s="6">
        <v>1</v>
      </c>
      <c r="T362" s="6">
        <v>1</v>
      </c>
      <c r="U362" s="6">
        <v>1</v>
      </c>
      <c r="V362" s="6">
        <v>1</v>
      </c>
      <c r="W362" s="6">
        <v>1</v>
      </c>
      <c r="X362" s="6">
        <v>1</v>
      </c>
      <c r="Y362" s="6">
        <v>1</v>
      </c>
      <c r="Z362" s="6" t="s">
        <v>21</v>
      </c>
      <c r="AA362" s="6" t="s">
        <v>23</v>
      </c>
      <c r="AB362" s="6" t="s">
        <v>24</v>
      </c>
      <c r="AC362" s="6" t="s">
        <v>21</v>
      </c>
    </row>
    <row r="363" spans="1:29" x14ac:dyDescent="0.3">
      <c r="A363" s="7">
        <v>362</v>
      </c>
      <c r="B363" s="7">
        <v>0</v>
      </c>
      <c r="C363" s="7">
        <v>1</v>
      </c>
      <c r="D363" s="7">
        <v>0</v>
      </c>
      <c r="E363" s="7">
        <v>0</v>
      </c>
      <c r="F363" s="7">
        <v>0</v>
      </c>
      <c r="G363" s="7">
        <v>1</v>
      </c>
      <c r="H363" s="8" t="s">
        <v>42</v>
      </c>
      <c r="I363" s="8" t="s">
        <v>43</v>
      </c>
      <c r="J363" s="8" t="s">
        <v>50</v>
      </c>
      <c r="K363" s="8" t="s">
        <v>30</v>
      </c>
      <c r="L363" s="8" t="s">
        <v>70</v>
      </c>
      <c r="M363" s="8">
        <v>3</v>
      </c>
      <c r="N363" s="8" t="s">
        <v>45</v>
      </c>
      <c r="O363" s="8" t="s">
        <v>46</v>
      </c>
      <c r="P363" s="8">
        <v>0</v>
      </c>
      <c r="Q363" s="8">
        <v>0</v>
      </c>
      <c r="R363" s="8">
        <v>1</v>
      </c>
      <c r="S363" s="8">
        <v>1</v>
      </c>
      <c r="T363" s="8">
        <v>0</v>
      </c>
      <c r="U363" s="8">
        <v>0</v>
      </c>
      <c r="V363" s="8">
        <v>0</v>
      </c>
      <c r="W363" s="8">
        <v>0</v>
      </c>
      <c r="X363" s="8">
        <v>0</v>
      </c>
      <c r="Y363" s="8">
        <v>0</v>
      </c>
      <c r="Z363" s="8" t="s">
        <v>21</v>
      </c>
      <c r="AA363" s="8" t="s">
        <v>34</v>
      </c>
      <c r="AB363" s="8" t="s">
        <v>24</v>
      </c>
      <c r="AC363" s="8" t="s">
        <v>21</v>
      </c>
    </row>
    <row r="364" spans="1:29" x14ac:dyDescent="0.3">
      <c r="A364" s="5">
        <v>363</v>
      </c>
      <c r="B364" s="5">
        <v>1</v>
      </c>
      <c r="C364" s="5">
        <v>0</v>
      </c>
      <c r="D364" s="5">
        <v>0</v>
      </c>
      <c r="E364" s="5">
        <v>0</v>
      </c>
      <c r="F364" s="5">
        <v>0</v>
      </c>
      <c r="G364" s="5">
        <v>0</v>
      </c>
      <c r="H364" s="6" t="s">
        <v>42</v>
      </c>
      <c r="I364" s="6" t="s">
        <v>83</v>
      </c>
      <c r="J364" s="6" t="s">
        <v>17</v>
      </c>
      <c r="K364" s="6" t="s">
        <v>18</v>
      </c>
      <c r="L364" s="6" t="s">
        <v>51</v>
      </c>
      <c r="M364" s="6">
        <v>1</v>
      </c>
      <c r="N364" s="6" t="s">
        <v>59</v>
      </c>
      <c r="O364" s="6" t="s">
        <v>63</v>
      </c>
      <c r="P364" s="6">
        <v>1</v>
      </c>
      <c r="Q364" s="6">
        <v>0</v>
      </c>
      <c r="R364" s="6">
        <v>0</v>
      </c>
      <c r="S364" s="6">
        <v>0</v>
      </c>
      <c r="T364" s="6">
        <v>0</v>
      </c>
      <c r="U364" s="6">
        <v>0</v>
      </c>
      <c r="V364" s="6">
        <v>0</v>
      </c>
      <c r="W364" s="6">
        <v>0</v>
      </c>
      <c r="X364" s="6">
        <v>0</v>
      </c>
      <c r="Y364" s="6">
        <v>0</v>
      </c>
      <c r="Z364" s="6" t="s">
        <v>21</v>
      </c>
      <c r="AA364" s="6" t="s">
        <v>40</v>
      </c>
      <c r="AB364" s="6" t="s">
        <v>24</v>
      </c>
      <c r="AC364" s="6" t="s">
        <v>21</v>
      </c>
    </row>
    <row r="365" spans="1:29" x14ac:dyDescent="0.3">
      <c r="A365" s="7">
        <v>364</v>
      </c>
      <c r="B365" s="7">
        <v>1</v>
      </c>
      <c r="C365" s="7">
        <v>1</v>
      </c>
      <c r="D365" s="7">
        <v>0</v>
      </c>
      <c r="E365" s="7">
        <v>0</v>
      </c>
      <c r="F365" s="7">
        <v>0</v>
      </c>
      <c r="G365" s="7">
        <v>1</v>
      </c>
      <c r="H365" s="8" t="s">
        <v>42</v>
      </c>
      <c r="I365" s="8" t="s">
        <v>83</v>
      </c>
      <c r="J365" s="8" t="s">
        <v>17</v>
      </c>
      <c r="K365" s="8" t="s">
        <v>15</v>
      </c>
      <c r="L365" s="8" t="s">
        <v>51</v>
      </c>
      <c r="M365" s="8">
        <v>5</v>
      </c>
      <c r="N365" s="8" t="s">
        <v>45</v>
      </c>
      <c r="O365" s="8" t="s">
        <v>46</v>
      </c>
      <c r="P365" s="8">
        <v>1</v>
      </c>
      <c r="Q365" s="8">
        <v>1</v>
      </c>
      <c r="R365" s="8">
        <v>1</v>
      </c>
      <c r="S365" s="8">
        <v>1</v>
      </c>
      <c r="T365" s="8">
        <v>1</v>
      </c>
      <c r="U365" s="8">
        <v>1</v>
      </c>
      <c r="V365" s="8">
        <v>1</v>
      </c>
      <c r="W365" s="8">
        <v>1</v>
      </c>
      <c r="X365" s="8">
        <v>1</v>
      </c>
      <c r="Y365" s="8">
        <v>1</v>
      </c>
      <c r="Z365" s="8" t="s">
        <v>25</v>
      </c>
      <c r="AA365" s="8" t="s">
        <v>34</v>
      </c>
      <c r="AB365" s="8" t="s">
        <v>24</v>
      </c>
      <c r="AC365" s="8" t="s">
        <v>48</v>
      </c>
    </row>
    <row r="366" spans="1:29" x14ac:dyDescent="0.3">
      <c r="A366" s="5">
        <v>365</v>
      </c>
      <c r="B366" s="5">
        <v>0</v>
      </c>
      <c r="C366" s="5">
        <v>0</v>
      </c>
      <c r="D366" s="5">
        <v>0</v>
      </c>
      <c r="E366" s="5">
        <v>0</v>
      </c>
      <c r="F366" s="5">
        <v>1</v>
      </c>
      <c r="G366" s="5">
        <v>0</v>
      </c>
      <c r="H366" s="6" t="s">
        <v>27</v>
      </c>
      <c r="I366" s="6" t="s">
        <v>43</v>
      </c>
      <c r="J366" s="6" t="s">
        <v>50</v>
      </c>
      <c r="K366" s="6" t="s">
        <v>49</v>
      </c>
      <c r="L366" s="6" t="s">
        <v>51</v>
      </c>
      <c r="M366" s="6">
        <v>1</v>
      </c>
      <c r="N366" s="6" t="s">
        <v>45</v>
      </c>
      <c r="O366" s="6" t="s">
        <v>46</v>
      </c>
      <c r="P366" s="6">
        <v>1</v>
      </c>
      <c r="Q366" s="6">
        <v>0</v>
      </c>
      <c r="R366" s="6">
        <v>0</v>
      </c>
      <c r="S366" s="6">
        <v>0</v>
      </c>
      <c r="T366" s="6">
        <v>0</v>
      </c>
      <c r="U366" s="6">
        <v>0</v>
      </c>
      <c r="V366" s="6">
        <v>0</v>
      </c>
      <c r="W366" s="6">
        <v>0</v>
      </c>
      <c r="X366" s="6">
        <v>0</v>
      </c>
      <c r="Y366" s="6">
        <v>0</v>
      </c>
      <c r="Z366" s="6" t="s">
        <v>21</v>
      </c>
      <c r="AA366" s="6" t="s">
        <v>23</v>
      </c>
      <c r="AB366" s="6" t="s">
        <v>88</v>
      </c>
      <c r="AC366" s="6" t="s">
        <v>21</v>
      </c>
    </row>
    <row r="367" spans="1:29" x14ac:dyDescent="0.3">
      <c r="A367" s="7">
        <v>366</v>
      </c>
      <c r="B367" s="7">
        <v>0</v>
      </c>
      <c r="C367" s="7">
        <v>1</v>
      </c>
      <c r="D367" s="7">
        <v>0</v>
      </c>
      <c r="E367" s="7">
        <v>0</v>
      </c>
      <c r="F367" s="7">
        <v>0</v>
      </c>
      <c r="G367" s="7">
        <v>0</v>
      </c>
      <c r="H367" s="8" t="s">
        <v>49</v>
      </c>
      <c r="I367" s="8" t="s">
        <v>43</v>
      </c>
      <c r="J367" s="8" t="s">
        <v>50</v>
      </c>
      <c r="K367" s="8" t="s">
        <v>49</v>
      </c>
      <c r="L367" s="8" t="s">
        <v>70</v>
      </c>
      <c r="M367" s="8">
        <v>5</v>
      </c>
      <c r="N367" s="8" t="s">
        <v>45</v>
      </c>
      <c r="O367" s="8" t="s">
        <v>52</v>
      </c>
      <c r="P367" s="8">
        <v>1</v>
      </c>
      <c r="Q367" s="8">
        <v>1</v>
      </c>
      <c r="R367" s="8">
        <v>0</v>
      </c>
      <c r="S367" s="8">
        <v>0</v>
      </c>
      <c r="T367" s="8">
        <v>0</v>
      </c>
      <c r="U367" s="8">
        <v>0</v>
      </c>
      <c r="V367" s="8">
        <v>0</v>
      </c>
      <c r="W367" s="8">
        <v>0</v>
      </c>
      <c r="X367" s="8">
        <v>0</v>
      </c>
      <c r="Y367" s="8">
        <v>0</v>
      </c>
      <c r="Z367" s="8" t="s">
        <v>21</v>
      </c>
      <c r="AA367" s="8" t="s">
        <v>34</v>
      </c>
      <c r="AB367" s="8" t="s">
        <v>24</v>
      </c>
      <c r="AC367" s="8" t="s">
        <v>48</v>
      </c>
    </row>
    <row r="368" spans="1:29" x14ac:dyDescent="0.3">
      <c r="A368" s="5">
        <v>367</v>
      </c>
      <c r="B368" s="5">
        <v>1</v>
      </c>
      <c r="C368" s="5">
        <v>1</v>
      </c>
      <c r="D368" s="5">
        <v>0</v>
      </c>
      <c r="E368" s="5">
        <v>0</v>
      </c>
      <c r="F368" s="5">
        <v>0</v>
      </c>
      <c r="G368" s="5">
        <v>1</v>
      </c>
      <c r="H368" s="6" t="s">
        <v>49</v>
      </c>
      <c r="I368" s="6" t="s">
        <v>43</v>
      </c>
      <c r="J368" s="6" t="s">
        <v>50</v>
      </c>
      <c r="K368" s="6" t="s">
        <v>49</v>
      </c>
      <c r="L368" s="6" t="s">
        <v>70</v>
      </c>
      <c r="M368" s="6">
        <v>4</v>
      </c>
      <c r="N368" s="6" t="s">
        <v>45</v>
      </c>
      <c r="O368" s="6" t="s">
        <v>46</v>
      </c>
      <c r="P368" s="6">
        <v>1</v>
      </c>
      <c r="Q368" s="6">
        <v>1</v>
      </c>
      <c r="R368" s="6">
        <v>0</v>
      </c>
      <c r="S368" s="6">
        <v>1</v>
      </c>
      <c r="T368" s="6">
        <v>1</v>
      </c>
      <c r="U368" s="6">
        <v>1</v>
      </c>
      <c r="V368" s="6">
        <v>0</v>
      </c>
      <c r="W368" s="6">
        <v>0</v>
      </c>
      <c r="X368" s="6">
        <v>1</v>
      </c>
      <c r="Y368" s="6">
        <v>0</v>
      </c>
      <c r="Z368" s="6" t="s">
        <v>21</v>
      </c>
      <c r="AA368" s="6" t="s">
        <v>23</v>
      </c>
      <c r="AB368" s="6" t="s">
        <v>24</v>
      </c>
      <c r="AC368" s="6" t="s">
        <v>25</v>
      </c>
    </row>
    <row r="369" spans="1:29" x14ac:dyDescent="0.3">
      <c r="A369" s="7">
        <v>368</v>
      </c>
      <c r="B369" s="7">
        <v>0</v>
      </c>
      <c r="C369" s="7">
        <v>0</v>
      </c>
      <c r="D369" s="7">
        <v>1</v>
      </c>
      <c r="E369" s="7">
        <v>0</v>
      </c>
      <c r="F369" s="7">
        <v>0</v>
      </c>
      <c r="G369" s="7">
        <v>0</v>
      </c>
      <c r="H369" s="8" t="s">
        <v>27</v>
      </c>
      <c r="I369" s="8" t="s">
        <v>43</v>
      </c>
      <c r="J369" s="8" t="s">
        <v>50</v>
      </c>
      <c r="K369" s="8" t="s">
        <v>30</v>
      </c>
      <c r="L369" s="8" t="s">
        <v>44</v>
      </c>
      <c r="M369" s="8">
        <v>3</v>
      </c>
      <c r="N369" s="8" t="s">
        <v>59</v>
      </c>
      <c r="O369" s="8" t="s">
        <v>63</v>
      </c>
      <c r="P369" s="8">
        <v>1</v>
      </c>
      <c r="Q369" s="8">
        <v>1</v>
      </c>
      <c r="R369" s="8">
        <v>0</v>
      </c>
      <c r="S369" s="8">
        <v>0</v>
      </c>
      <c r="T369" s="8">
        <v>0</v>
      </c>
      <c r="U369" s="8">
        <v>1</v>
      </c>
      <c r="V369" s="8">
        <v>0</v>
      </c>
      <c r="W369" s="8">
        <v>1</v>
      </c>
      <c r="X369" s="8">
        <v>0</v>
      </c>
      <c r="Y369" s="8">
        <v>0</v>
      </c>
      <c r="Z369" s="8" t="s">
        <v>21</v>
      </c>
      <c r="AA369" s="8" t="s">
        <v>34</v>
      </c>
      <c r="AB369" s="8" t="s">
        <v>24</v>
      </c>
      <c r="AC369" s="8" t="s">
        <v>48</v>
      </c>
    </row>
    <row r="370" spans="1:29" x14ac:dyDescent="0.3">
      <c r="A370" s="5">
        <v>369</v>
      </c>
      <c r="B370" s="5">
        <v>0</v>
      </c>
      <c r="C370" s="5">
        <v>0</v>
      </c>
      <c r="D370" s="5">
        <v>0</v>
      </c>
      <c r="E370" s="5">
        <v>0</v>
      </c>
      <c r="F370" s="5">
        <v>0</v>
      </c>
      <c r="G370" s="5">
        <v>1</v>
      </c>
      <c r="H370" s="6" t="s">
        <v>27</v>
      </c>
      <c r="I370" s="6" t="s">
        <v>43</v>
      </c>
      <c r="J370" s="6" t="s">
        <v>50</v>
      </c>
      <c r="K370" s="6" t="s">
        <v>49</v>
      </c>
      <c r="L370" s="6" t="s">
        <v>51</v>
      </c>
      <c r="M370" s="6">
        <v>3</v>
      </c>
      <c r="N370" s="6" t="s">
        <v>45</v>
      </c>
      <c r="O370" s="6" t="s">
        <v>63</v>
      </c>
      <c r="P370" s="6">
        <v>1</v>
      </c>
      <c r="Q370" s="6">
        <v>1</v>
      </c>
      <c r="R370" s="6">
        <v>0</v>
      </c>
      <c r="S370" s="6">
        <v>1</v>
      </c>
      <c r="T370" s="6">
        <v>0</v>
      </c>
      <c r="U370" s="6">
        <v>0</v>
      </c>
      <c r="V370" s="6">
        <v>0</v>
      </c>
      <c r="W370" s="6">
        <v>0</v>
      </c>
      <c r="X370" s="6">
        <v>1</v>
      </c>
      <c r="Y370" s="6">
        <v>1</v>
      </c>
      <c r="Z370" s="6" t="s">
        <v>25</v>
      </c>
      <c r="AA370" s="6" t="s">
        <v>34</v>
      </c>
      <c r="AB370" s="6" t="s">
        <v>24</v>
      </c>
      <c r="AC370" s="6" t="s">
        <v>48</v>
      </c>
    </row>
    <row r="371" spans="1:29" x14ac:dyDescent="0.3">
      <c r="A371" s="7">
        <v>370</v>
      </c>
      <c r="B371" s="7">
        <v>0</v>
      </c>
      <c r="C371" s="7">
        <v>0</v>
      </c>
      <c r="D371" s="7">
        <v>1</v>
      </c>
      <c r="E371" s="7">
        <v>0</v>
      </c>
      <c r="F371" s="7">
        <v>0</v>
      </c>
      <c r="G371" s="7">
        <v>0</v>
      </c>
      <c r="H371" s="8" t="s">
        <v>27</v>
      </c>
      <c r="I371" s="8" t="s">
        <v>36</v>
      </c>
      <c r="J371" s="8" t="s">
        <v>356</v>
      </c>
      <c r="K371" s="8" t="s">
        <v>102</v>
      </c>
      <c r="L371" s="8" t="s">
        <v>44</v>
      </c>
      <c r="M371" s="8">
        <v>2</v>
      </c>
      <c r="N371" s="8" t="s">
        <v>45</v>
      </c>
      <c r="O371" s="8" t="s">
        <v>63</v>
      </c>
      <c r="P371" s="8">
        <v>0</v>
      </c>
      <c r="Q371" s="8">
        <v>0</v>
      </c>
      <c r="R371" s="8">
        <v>0</v>
      </c>
      <c r="S371" s="8">
        <v>0</v>
      </c>
      <c r="T371" s="8">
        <v>0</v>
      </c>
      <c r="U371" s="8">
        <v>0</v>
      </c>
      <c r="V371" s="8">
        <v>0</v>
      </c>
      <c r="W371" s="8">
        <v>1</v>
      </c>
      <c r="X371" s="8">
        <v>0</v>
      </c>
      <c r="Y371" s="8">
        <v>0</v>
      </c>
      <c r="Z371" s="8" t="s">
        <v>25</v>
      </c>
      <c r="AA371" s="8" t="s">
        <v>34</v>
      </c>
      <c r="AB371" s="8" t="s">
        <v>24</v>
      </c>
      <c r="AC371" s="8" t="s">
        <v>82</v>
      </c>
    </row>
    <row r="372" spans="1:29" x14ac:dyDescent="0.3">
      <c r="A372" s="5">
        <v>371</v>
      </c>
      <c r="B372" s="5">
        <v>0</v>
      </c>
      <c r="C372" s="5">
        <v>0</v>
      </c>
      <c r="D372" s="5">
        <v>1</v>
      </c>
      <c r="E372" s="5">
        <v>0</v>
      </c>
      <c r="F372" s="5">
        <v>1</v>
      </c>
      <c r="G372" s="5">
        <v>0</v>
      </c>
      <c r="H372" s="6" t="s">
        <v>27</v>
      </c>
      <c r="I372" s="6" t="s">
        <v>352</v>
      </c>
      <c r="J372" s="6" t="s">
        <v>50</v>
      </c>
      <c r="K372" s="6" t="s">
        <v>49</v>
      </c>
      <c r="L372" s="6" t="s">
        <v>51</v>
      </c>
      <c r="M372" s="6">
        <v>2</v>
      </c>
      <c r="N372" s="6" t="s">
        <v>45</v>
      </c>
      <c r="O372" s="6" t="s">
        <v>52</v>
      </c>
      <c r="P372" s="6">
        <v>0</v>
      </c>
      <c r="Q372" s="6">
        <v>0</v>
      </c>
      <c r="R372" s="6">
        <v>0</v>
      </c>
      <c r="S372" s="6">
        <v>0</v>
      </c>
      <c r="T372" s="6">
        <v>0</v>
      </c>
      <c r="U372" s="6">
        <v>0</v>
      </c>
      <c r="V372" s="6">
        <v>0</v>
      </c>
      <c r="W372" s="6">
        <v>0</v>
      </c>
      <c r="X372" s="6">
        <v>0</v>
      </c>
      <c r="Y372" s="6">
        <v>0</v>
      </c>
      <c r="Z372" s="6" t="s">
        <v>25</v>
      </c>
      <c r="AA372" s="6" t="s">
        <v>23</v>
      </c>
      <c r="AB372" s="6" t="s">
        <v>24</v>
      </c>
      <c r="AC372" s="6" t="s">
        <v>48</v>
      </c>
    </row>
    <row r="373" spans="1:29" x14ac:dyDescent="0.3">
      <c r="A373" s="7">
        <v>372</v>
      </c>
      <c r="B373" s="7">
        <v>1</v>
      </c>
      <c r="C373" s="7">
        <v>1</v>
      </c>
      <c r="D373" s="7">
        <v>0</v>
      </c>
      <c r="E373" s="7">
        <v>0</v>
      </c>
      <c r="F373" s="7">
        <v>0</v>
      </c>
      <c r="G373" s="7">
        <v>1</v>
      </c>
      <c r="H373" s="8" t="s">
        <v>15</v>
      </c>
      <c r="I373" s="8" t="s">
        <v>16</v>
      </c>
      <c r="J373" s="8" t="s">
        <v>50</v>
      </c>
      <c r="K373" s="8" t="s">
        <v>49</v>
      </c>
      <c r="L373" s="8" t="s">
        <v>44</v>
      </c>
      <c r="M373" s="8">
        <v>5</v>
      </c>
      <c r="N373" s="8" t="s">
        <v>59</v>
      </c>
      <c r="O373" s="8" t="s">
        <v>63</v>
      </c>
      <c r="P373" s="8">
        <v>0</v>
      </c>
      <c r="Q373" s="8">
        <v>1</v>
      </c>
      <c r="R373" s="8">
        <v>0</v>
      </c>
      <c r="S373" s="8">
        <v>0</v>
      </c>
      <c r="T373" s="8">
        <v>0</v>
      </c>
      <c r="U373" s="8">
        <v>1</v>
      </c>
      <c r="V373" s="8">
        <v>0</v>
      </c>
      <c r="W373" s="8">
        <v>0</v>
      </c>
      <c r="X373" s="8">
        <v>1</v>
      </c>
      <c r="Y373" s="8">
        <v>0</v>
      </c>
      <c r="Z373" s="8" t="s">
        <v>21</v>
      </c>
      <c r="AA373" s="8" t="s">
        <v>23</v>
      </c>
      <c r="AB373" s="8" t="s">
        <v>187</v>
      </c>
      <c r="AC373" s="8" t="s">
        <v>82</v>
      </c>
    </row>
    <row r="374" spans="1:29" x14ac:dyDescent="0.3">
      <c r="A374" s="5">
        <v>373</v>
      </c>
      <c r="B374" s="5">
        <v>0</v>
      </c>
      <c r="C374" s="5">
        <v>0</v>
      </c>
      <c r="D374" s="5">
        <v>0</v>
      </c>
      <c r="E374" s="5">
        <v>0</v>
      </c>
      <c r="F374" s="5">
        <v>0</v>
      </c>
      <c r="G374" s="5">
        <v>1</v>
      </c>
      <c r="H374" s="6" t="s">
        <v>27</v>
      </c>
      <c r="I374" s="6" t="s">
        <v>43</v>
      </c>
      <c r="J374" s="6" t="s">
        <v>50</v>
      </c>
      <c r="K374" s="6" t="s">
        <v>49</v>
      </c>
      <c r="L374" s="6" t="s">
        <v>51</v>
      </c>
      <c r="M374" s="6">
        <v>5</v>
      </c>
      <c r="N374" s="6" t="s">
        <v>59</v>
      </c>
      <c r="O374" s="6" t="s">
        <v>46</v>
      </c>
      <c r="P374" s="6">
        <v>0</v>
      </c>
      <c r="Q374" s="6">
        <v>1</v>
      </c>
      <c r="R374" s="6">
        <v>0</v>
      </c>
      <c r="S374" s="6">
        <v>0</v>
      </c>
      <c r="T374" s="6">
        <v>0</v>
      </c>
      <c r="U374" s="6">
        <v>1</v>
      </c>
      <c r="V374" s="6">
        <v>0</v>
      </c>
      <c r="W374" s="6">
        <v>1</v>
      </c>
      <c r="X374" s="6">
        <v>0</v>
      </c>
      <c r="Y374" s="6">
        <v>0</v>
      </c>
      <c r="Z374" s="6" t="s">
        <v>21</v>
      </c>
      <c r="AA374" s="6" t="s">
        <v>40</v>
      </c>
      <c r="AB374" s="6" t="s">
        <v>113</v>
      </c>
      <c r="AC374" s="6" t="s">
        <v>25</v>
      </c>
    </row>
    <row r="375" spans="1:29" x14ac:dyDescent="0.3">
      <c r="A375" s="7">
        <v>374</v>
      </c>
      <c r="B375" s="7">
        <v>1</v>
      </c>
      <c r="C375" s="7">
        <v>1</v>
      </c>
      <c r="D375" s="7">
        <v>0</v>
      </c>
      <c r="E375" s="7">
        <v>0</v>
      </c>
      <c r="F375" s="7">
        <v>1</v>
      </c>
      <c r="G375" s="7">
        <v>1</v>
      </c>
      <c r="H375" s="8" t="s">
        <v>27</v>
      </c>
      <c r="I375" s="8" t="s">
        <v>43</v>
      </c>
      <c r="J375" s="8" t="s">
        <v>50</v>
      </c>
      <c r="K375" s="8" t="s">
        <v>49</v>
      </c>
      <c r="L375" s="8" t="s">
        <v>51</v>
      </c>
      <c r="M375" s="8">
        <v>5</v>
      </c>
      <c r="N375" s="8" t="s">
        <v>45</v>
      </c>
      <c r="O375" s="8" t="s">
        <v>52</v>
      </c>
      <c r="P375" s="8">
        <v>1</v>
      </c>
      <c r="Q375" s="8">
        <v>1</v>
      </c>
      <c r="R375" s="8">
        <v>0</v>
      </c>
      <c r="S375" s="8">
        <v>1</v>
      </c>
      <c r="T375" s="8">
        <v>1</v>
      </c>
      <c r="U375" s="8">
        <v>0</v>
      </c>
      <c r="V375" s="8">
        <v>1</v>
      </c>
      <c r="W375" s="8">
        <v>1</v>
      </c>
      <c r="X375" s="8">
        <v>1</v>
      </c>
      <c r="Y375" s="8">
        <v>1</v>
      </c>
      <c r="Z375" s="8" t="s">
        <v>21</v>
      </c>
      <c r="AA375" s="8" t="s">
        <v>23</v>
      </c>
      <c r="AB375" s="8" t="s">
        <v>24</v>
      </c>
      <c r="AC375" s="8" t="s">
        <v>21</v>
      </c>
    </row>
    <row r="376" spans="1:29" x14ac:dyDescent="0.3">
      <c r="A376" s="5">
        <v>375</v>
      </c>
      <c r="B376" s="5">
        <v>0</v>
      </c>
      <c r="C376" s="5">
        <v>0</v>
      </c>
      <c r="D376" s="5">
        <v>0</v>
      </c>
      <c r="E376" s="5">
        <v>0</v>
      </c>
      <c r="F376" s="5">
        <v>1</v>
      </c>
      <c r="G376" s="5">
        <v>0</v>
      </c>
      <c r="H376" s="6" t="s">
        <v>27</v>
      </c>
      <c r="I376" s="6" t="s">
        <v>43</v>
      </c>
      <c r="J376" s="6" t="s">
        <v>50</v>
      </c>
      <c r="K376" s="6" t="s">
        <v>30</v>
      </c>
      <c r="L376" s="6" t="s">
        <v>51</v>
      </c>
      <c r="M376" s="6">
        <v>4</v>
      </c>
      <c r="N376" s="6" t="s">
        <v>45</v>
      </c>
      <c r="O376" s="6" t="s">
        <v>63</v>
      </c>
      <c r="P376" s="6">
        <v>0</v>
      </c>
      <c r="Q376" s="6">
        <v>0</v>
      </c>
      <c r="R376" s="6">
        <v>0</v>
      </c>
      <c r="S376" s="6">
        <v>1</v>
      </c>
      <c r="T376" s="6">
        <v>0</v>
      </c>
      <c r="U376" s="6">
        <v>1</v>
      </c>
      <c r="V376" s="6">
        <v>0</v>
      </c>
      <c r="W376" s="6">
        <v>1</v>
      </c>
      <c r="X376" s="6">
        <v>0</v>
      </c>
      <c r="Y376" s="6">
        <v>0</v>
      </c>
      <c r="Z376" s="6" t="s">
        <v>21</v>
      </c>
      <c r="AA376" s="6" t="s">
        <v>23</v>
      </c>
      <c r="AB376" s="6" t="s">
        <v>88</v>
      </c>
      <c r="AC376" s="6" t="s">
        <v>21</v>
      </c>
    </row>
    <row r="377" spans="1:29" x14ac:dyDescent="0.3">
      <c r="A377" s="7">
        <v>376</v>
      </c>
      <c r="B377" s="7">
        <v>1</v>
      </c>
      <c r="C377" s="7">
        <v>0</v>
      </c>
      <c r="D377" s="7">
        <v>0</v>
      </c>
      <c r="E377" s="7">
        <v>0</v>
      </c>
      <c r="F377" s="7">
        <v>0</v>
      </c>
      <c r="G377" s="7">
        <v>0</v>
      </c>
      <c r="H377" s="8" t="s">
        <v>15</v>
      </c>
      <c r="I377" s="8" t="s">
        <v>43</v>
      </c>
      <c r="J377" s="8" t="s">
        <v>50</v>
      </c>
      <c r="K377" s="8" t="s">
        <v>49</v>
      </c>
      <c r="L377" s="8" t="s">
        <v>58</v>
      </c>
      <c r="M377" s="8">
        <v>5</v>
      </c>
      <c r="N377" s="8" t="s">
        <v>84</v>
      </c>
      <c r="O377" s="8" t="s">
        <v>63</v>
      </c>
      <c r="P377" s="8">
        <v>0</v>
      </c>
      <c r="Q377" s="8">
        <v>0</v>
      </c>
      <c r="R377" s="8">
        <v>1</v>
      </c>
      <c r="S377" s="8">
        <v>0</v>
      </c>
      <c r="T377" s="8">
        <v>1</v>
      </c>
      <c r="U377" s="8">
        <v>0</v>
      </c>
      <c r="V377" s="8">
        <v>0</v>
      </c>
      <c r="W377" s="8">
        <v>0</v>
      </c>
      <c r="X377" s="8">
        <v>0</v>
      </c>
      <c r="Y377" s="8">
        <v>1</v>
      </c>
      <c r="Z377" s="8" t="s">
        <v>21</v>
      </c>
      <c r="AA377" s="8" t="s">
        <v>23</v>
      </c>
      <c r="AB377" s="8" t="s">
        <v>24</v>
      </c>
      <c r="AC377" s="8" t="s">
        <v>21</v>
      </c>
    </row>
    <row r="378" spans="1:29" x14ac:dyDescent="0.3">
      <c r="A378" s="5">
        <v>377</v>
      </c>
      <c r="B378" s="5">
        <v>0</v>
      </c>
      <c r="C378" s="5">
        <v>1</v>
      </c>
      <c r="D378" s="5">
        <v>0</v>
      </c>
      <c r="E378" s="5">
        <v>0</v>
      </c>
      <c r="F378" s="5">
        <v>0</v>
      </c>
      <c r="G378" s="5">
        <v>1</v>
      </c>
      <c r="H378" s="6" t="s">
        <v>49</v>
      </c>
      <c r="I378" s="6" t="s">
        <v>43</v>
      </c>
      <c r="J378" s="6" t="s">
        <v>356</v>
      </c>
      <c r="K378" s="6" t="s">
        <v>30</v>
      </c>
      <c r="L378" s="6" t="s">
        <v>51</v>
      </c>
      <c r="M378" s="6">
        <v>3</v>
      </c>
      <c r="N378" s="6" t="s">
        <v>45</v>
      </c>
      <c r="O378" s="6" t="s">
        <v>63</v>
      </c>
      <c r="P378" s="6">
        <v>1</v>
      </c>
      <c r="Q378" s="6">
        <v>1</v>
      </c>
      <c r="R378" s="6">
        <v>1</v>
      </c>
      <c r="S378" s="6">
        <v>0</v>
      </c>
      <c r="T378" s="6">
        <v>0</v>
      </c>
      <c r="U378" s="6">
        <v>0</v>
      </c>
      <c r="V378" s="6">
        <v>0</v>
      </c>
      <c r="W378" s="6">
        <v>1</v>
      </c>
      <c r="X378" s="6">
        <v>1</v>
      </c>
      <c r="Y378" s="6">
        <v>0</v>
      </c>
      <c r="Z378" s="6" t="s">
        <v>21</v>
      </c>
      <c r="AA378" s="6" t="s">
        <v>23</v>
      </c>
      <c r="AB378" s="6" t="s">
        <v>24</v>
      </c>
      <c r="AC378" s="6" t="s">
        <v>82</v>
      </c>
    </row>
    <row r="379" spans="1:29" x14ac:dyDescent="0.3">
      <c r="A379" s="7">
        <v>378</v>
      </c>
      <c r="B379" s="7">
        <v>0</v>
      </c>
      <c r="C379" s="7">
        <v>1</v>
      </c>
      <c r="D379" s="7">
        <v>0</v>
      </c>
      <c r="E379" s="7">
        <v>0</v>
      </c>
      <c r="F379" s="7">
        <v>0</v>
      </c>
      <c r="G379" s="7">
        <v>0</v>
      </c>
      <c r="H379" s="8" t="s">
        <v>15</v>
      </c>
      <c r="I379" s="8" t="s">
        <v>16</v>
      </c>
      <c r="J379" s="8" t="s">
        <v>37</v>
      </c>
      <c r="K379" s="8" t="s">
        <v>15</v>
      </c>
      <c r="L379" s="8" t="s">
        <v>51</v>
      </c>
      <c r="M379" s="8">
        <v>5</v>
      </c>
      <c r="N379" s="8" t="s">
        <v>59</v>
      </c>
      <c r="O379" s="8" t="s">
        <v>63</v>
      </c>
      <c r="P379" s="8">
        <v>0</v>
      </c>
      <c r="Q379" s="8">
        <v>0</v>
      </c>
      <c r="R379" s="8">
        <v>0</v>
      </c>
      <c r="S379" s="8">
        <v>0</v>
      </c>
      <c r="T379" s="8">
        <v>0</v>
      </c>
      <c r="U379" s="8">
        <v>0</v>
      </c>
      <c r="V379" s="8">
        <v>0</v>
      </c>
      <c r="W379" s="8">
        <v>1</v>
      </c>
      <c r="X379" s="8">
        <v>0</v>
      </c>
      <c r="Y379" s="8">
        <v>0</v>
      </c>
      <c r="Z379" s="8" t="s">
        <v>25</v>
      </c>
      <c r="AA379" s="8" t="s">
        <v>34</v>
      </c>
      <c r="AB379" s="8" t="s">
        <v>88</v>
      </c>
      <c r="AC379" s="8" t="s">
        <v>21</v>
      </c>
    </row>
    <row r="380" spans="1:29" x14ac:dyDescent="0.3">
      <c r="A380" s="5">
        <v>379</v>
      </c>
      <c r="B380" s="5">
        <v>0</v>
      </c>
      <c r="C380" s="5">
        <v>1</v>
      </c>
      <c r="D380" s="5">
        <v>0</v>
      </c>
      <c r="E380" s="5">
        <v>0</v>
      </c>
      <c r="F380" s="5">
        <v>0</v>
      </c>
      <c r="G380" s="5">
        <v>0</v>
      </c>
      <c r="H380" s="6" t="s">
        <v>49</v>
      </c>
      <c r="I380" s="6" t="s">
        <v>43</v>
      </c>
      <c r="J380" s="6" t="s">
        <v>50</v>
      </c>
      <c r="K380" s="6" t="s">
        <v>30</v>
      </c>
      <c r="L380" s="6" t="s">
        <v>51</v>
      </c>
      <c r="M380" s="6">
        <v>5</v>
      </c>
      <c r="N380" s="6" t="s">
        <v>72</v>
      </c>
      <c r="O380" s="6" t="s">
        <v>52</v>
      </c>
      <c r="P380" s="6">
        <v>0</v>
      </c>
      <c r="Q380" s="6">
        <v>0</v>
      </c>
      <c r="R380" s="6">
        <v>0</v>
      </c>
      <c r="S380" s="6">
        <v>0</v>
      </c>
      <c r="T380" s="6">
        <v>0</v>
      </c>
      <c r="U380" s="6">
        <v>0</v>
      </c>
      <c r="V380" s="6">
        <v>0</v>
      </c>
      <c r="W380" s="6">
        <v>0</v>
      </c>
      <c r="X380" s="6">
        <v>0</v>
      </c>
      <c r="Y380" s="6">
        <v>1</v>
      </c>
      <c r="Z380" s="6" t="s">
        <v>21</v>
      </c>
      <c r="AA380" s="6" t="s">
        <v>23</v>
      </c>
      <c r="AB380" s="6" t="s">
        <v>88</v>
      </c>
      <c r="AC380" s="6" t="s">
        <v>82</v>
      </c>
    </row>
    <row r="381" spans="1:29" x14ac:dyDescent="0.3">
      <c r="A381" s="7">
        <v>380</v>
      </c>
      <c r="B381" s="7">
        <v>0</v>
      </c>
      <c r="C381" s="7">
        <v>0</v>
      </c>
      <c r="D381" s="7">
        <v>1</v>
      </c>
      <c r="E381" s="7">
        <v>0</v>
      </c>
      <c r="F381" s="7">
        <v>0</v>
      </c>
      <c r="G381" s="7">
        <v>0</v>
      </c>
      <c r="H381" s="8" t="s">
        <v>49</v>
      </c>
      <c r="I381" s="8" t="s">
        <v>43</v>
      </c>
      <c r="J381" s="8" t="s">
        <v>50</v>
      </c>
      <c r="K381" s="8" t="s">
        <v>49</v>
      </c>
      <c r="L381" s="8" t="s">
        <v>51</v>
      </c>
      <c r="M381" s="8">
        <v>5</v>
      </c>
      <c r="N381" s="8" t="s">
        <v>45</v>
      </c>
      <c r="O381" s="8" t="s">
        <v>63</v>
      </c>
      <c r="P381" s="8">
        <v>1</v>
      </c>
      <c r="Q381" s="8">
        <v>0</v>
      </c>
      <c r="R381" s="8">
        <v>0</v>
      </c>
      <c r="S381" s="8">
        <v>0</v>
      </c>
      <c r="T381" s="8">
        <v>0</v>
      </c>
      <c r="U381" s="8">
        <v>0</v>
      </c>
      <c r="V381" s="8">
        <v>0</v>
      </c>
      <c r="W381" s="8">
        <v>0</v>
      </c>
      <c r="X381" s="8">
        <v>0</v>
      </c>
      <c r="Y381" s="8">
        <v>0</v>
      </c>
      <c r="Z381" s="8" t="s">
        <v>21</v>
      </c>
      <c r="AA381" s="8" t="s">
        <v>23</v>
      </c>
      <c r="AB381" s="8" t="s">
        <v>88</v>
      </c>
      <c r="AC381" s="8" t="s">
        <v>25</v>
      </c>
    </row>
    <row r="382" spans="1:29" x14ac:dyDescent="0.3">
      <c r="A382" s="5">
        <v>381</v>
      </c>
      <c r="B382" s="5">
        <v>0</v>
      </c>
      <c r="C382" s="5">
        <v>1</v>
      </c>
      <c r="D382" s="5">
        <v>0</v>
      </c>
      <c r="E382" s="5">
        <v>0</v>
      </c>
      <c r="F382" s="5">
        <v>0</v>
      </c>
      <c r="G382" s="5">
        <v>0</v>
      </c>
      <c r="H382" s="6" t="s">
        <v>15</v>
      </c>
      <c r="I382" s="6" t="s">
        <v>43</v>
      </c>
      <c r="J382" s="6" t="s">
        <v>356</v>
      </c>
      <c r="K382" s="6" t="s">
        <v>15</v>
      </c>
      <c r="L382" s="6" t="s">
        <v>51</v>
      </c>
      <c r="M382" s="6">
        <v>5</v>
      </c>
      <c r="N382" s="6" t="s">
        <v>45</v>
      </c>
      <c r="O382" s="6" t="s">
        <v>46</v>
      </c>
      <c r="P382" s="6">
        <v>1</v>
      </c>
      <c r="Q382" s="6">
        <v>0</v>
      </c>
      <c r="R382" s="6">
        <v>1</v>
      </c>
      <c r="S382" s="6">
        <v>0</v>
      </c>
      <c r="T382" s="6">
        <v>0</v>
      </c>
      <c r="U382" s="6">
        <v>0</v>
      </c>
      <c r="V382" s="6">
        <v>1</v>
      </c>
      <c r="W382" s="6">
        <v>1</v>
      </c>
      <c r="X382" s="6">
        <v>0</v>
      </c>
      <c r="Y382" s="6">
        <v>0</v>
      </c>
      <c r="Z382" s="6" t="s">
        <v>21</v>
      </c>
      <c r="AA382" s="6" t="s">
        <v>23</v>
      </c>
      <c r="AB382" s="6" t="s">
        <v>113</v>
      </c>
      <c r="AC382" s="6" t="s">
        <v>48</v>
      </c>
    </row>
    <row r="383" spans="1:29" x14ac:dyDescent="0.3">
      <c r="A383" s="7">
        <v>382</v>
      </c>
      <c r="B383" s="7">
        <v>0</v>
      </c>
      <c r="C383" s="7">
        <v>0</v>
      </c>
      <c r="D383" s="7">
        <v>1</v>
      </c>
      <c r="E383" s="7">
        <v>0</v>
      </c>
      <c r="F383" s="7">
        <v>0</v>
      </c>
      <c r="G383" s="7">
        <v>0</v>
      </c>
      <c r="H383" s="8" t="s">
        <v>49</v>
      </c>
      <c r="I383" s="8" t="s">
        <v>352</v>
      </c>
      <c r="J383" s="8" t="s">
        <v>50</v>
      </c>
      <c r="K383" s="8" t="s">
        <v>30</v>
      </c>
      <c r="L383" s="8" t="s">
        <v>51</v>
      </c>
      <c r="M383" s="8">
        <v>3</v>
      </c>
      <c r="N383" s="8" t="s">
        <v>45</v>
      </c>
      <c r="O383" s="8" t="s">
        <v>63</v>
      </c>
      <c r="P383" s="8">
        <v>1</v>
      </c>
      <c r="Q383" s="8">
        <v>1</v>
      </c>
      <c r="R383" s="8">
        <v>0</v>
      </c>
      <c r="S383" s="8">
        <v>0</v>
      </c>
      <c r="T383" s="8">
        <v>0</v>
      </c>
      <c r="U383" s="8">
        <v>0</v>
      </c>
      <c r="V383" s="8">
        <v>1</v>
      </c>
      <c r="W383" s="8">
        <v>0</v>
      </c>
      <c r="X383" s="8">
        <v>0</v>
      </c>
      <c r="Y383" s="8">
        <v>0</v>
      </c>
      <c r="Z383" s="8" t="s">
        <v>21</v>
      </c>
      <c r="AA383" s="8" t="s">
        <v>34</v>
      </c>
      <c r="AB383" s="8" t="s">
        <v>88</v>
      </c>
      <c r="AC383" s="8" t="s">
        <v>25</v>
      </c>
    </row>
    <row r="384" spans="1:29" x14ac:dyDescent="0.3">
      <c r="A384" s="5">
        <v>383</v>
      </c>
      <c r="B384" s="5">
        <v>0</v>
      </c>
      <c r="C384" s="5">
        <v>0</v>
      </c>
      <c r="D384" s="5">
        <v>1</v>
      </c>
      <c r="E384" s="5">
        <v>0</v>
      </c>
      <c r="F384" s="5">
        <v>0</v>
      </c>
      <c r="G384" s="5">
        <v>0</v>
      </c>
      <c r="H384" s="6" t="s">
        <v>27</v>
      </c>
      <c r="I384" s="6" t="s">
        <v>43</v>
      </c>
      <c r="J384" s="6" t="s">
        <v>29</v>
      </c>
      <c r="K384" s="6" t="s">
        <v>30</v>
      </c>
      <c r="L384" s="6" t="s">
        <v>44</v>
      </c>
      <c r="M384" s="6">
        <v>3</v>
      </c>
      <c r="N384" s="6" t="s">
        <v>45</v>
      </c>
      <c r="O384" s="6" t="s">
        <v>63</v>
      </c>
      <c r="P384" s="6">
        <v>1</v>
      </c>
      <c r="Q384" s="6">
        <v>1</v>
      </c>
      <c r="R384" s="6">
        <v>0</v>
      </c>
      <c r="S384" s="6">
        <v>1</v>
      </c>
      <c r="T384" s="6">
        <v>0</v>
      </c>
      <c r="U384" s="6">
        <v>1</v>
      </c>
      <c r="V384" s="6">
        <v>1</v>
      </c>
      <c r="W384" s="6">
        <v>0</v>
      </c>
      <c r="X384" s="6">
        <v>0</v>
      </c>
      <c r="Y384" s="6">
        <v>0</v>
      </c>
      <c r="Z384" s="6" t="s">
        <v>21</v>
      </c>
      <c r="AA384" s="6" t="s">
        <v>23</v>
      </c>
      <c r="AB384" s="6" t="s">
        <v>24</v>
      </c>
      <c r="AC384" s="6" t="s">
        <v>48</v>
      </c>
    </row>
    <row r="385" spans="1:29" x14ac:dyDescent="0.3">
      <c r="A385" s="7">
        <v>384</v>
      </c>
      <c r="B385" s="7">
        <v>0</v>
      </c>
      <c r="C385" s="7">
        <v>0</v>
      </c>
      <c r="D385" s="7">
        <v>0</v>
      </c>
      <c r="E385" s="7">
        <v>0</v>
      </c>
      <c r="F385" s="7">
        <v>1</v>
      </c>
      <c r="G385" s="7">
        <v>0</v>
      </c>
      <c r="H385" s="8" t="s">
        <v>42</v>
      </c>
      <c r="I385" s="8" t="s">
        <v>354</v>
      </c>
      <c r="J385" s="8" t="s">
        <v>37</v>
      </c>
      <c r="K385" s="8" t="s">
        <v>18</v>
      </c>
      <c r="L385" s="8" t="s">
        <v>44</v>
      </c>
      <c r="M385" s="8">
        <v>5</v>
      </c>
      <c r="N385" s="8" t="s">
        <v>59</v>
      </c>
      <c r="O385" s="8" t="s">
        <v>52</v>
      </c>
      <c r="P385" s="8">
        <v>1</v>
      </c>
      <c r="Q385" s="8">
        <v>0</v>
      </c>
      <c r="R385" s="8">
        <v>0</v>
      </c>
      <c r="S385" s="8">
        <v>0</v>
      </c>
      <c r="T385" s="8">
        <v>1</v>
      </c>
      <c r="U385" s="8">
        <v>1</v>
      </c>
      <c r="V385" s="8">
        <v>0</v>
      </c>
      <c r="W385" s="8">
        <v>0</v>
      </c>
      <c r="X385" s="8">
        <v>0</v>
      </c>
      <c r="Y385" s="8">
        <v>0</v>
      </c>
      <c r="Z385" s="8" t="s">
        <v>21</v>
      </c>
      <c r="AA385" s="8" t="s">
        <v>34</v>
      </c>
      <c r="AB385" s="8" t="s">
        <v>88</v>
      </c>
      <c r="AC385" s="8" t="s">
        <v>21</v>
      </c>
    </row>
    <row r="386" spans="1:29" x14ac:dyDescent="0.3">
      <c r="A386" s="5">
        <v>385</v>
      </c>
      <c r="B386" s="5">
        <v>0</v>
      </c>
      <c r="C386" s="5">
        <v>0</v>
      </c>
      <c r="D386" s="5">
        <v>0</v>
      </c>
      <c r="E386" s="5">
        <v>0</v>
      </c>
      <c r="F386" s="5">
        <v>0</v>
      </c>
      <c r="G386" s="5">
        <v>1</v>
      </c>
      <c r="H386" s="6" t="s">
        <v>15</v>
      </c>
      <c r="I386" s="6" t="s">
        <v>43</v>
      </c>
      <c r="J386" s="6" t="s">
        <v>37</v>
      </c>
      <c r="K386" s="6" t="s">
        <v>30</v>
      </c>
      <c r="L386" s="6" t="s">
        <v>44</v>
      </c>
      <c r="M386" s="6">
        <v>5</v>
      </c>
      <c r="N386" s="6" t="s">
        <v>45</v>
      </c>
      <c r="O386" s="6" t="s">
        <v>63</v>
      </c>
      <c r="P386" s="6">
        <v>1</v>
      </c>
      <c r="Q386" s="6">
        <v>0</v>
      </c>
      <c r="R386" s="6">
        <v>0</v>
      </c>
      <c r="S386" s="6">
        <v>0</v>
      </c>
      <c r="T386" s="6">
        <v>1</v>
      </c>
      <c r="U386" s="6">
        <v>1</v>
      </c>
      <c r="V386" s="6">
        <v>0</v>
      </c>
      <c r="W386" s="6">
        <v>0</v>
      </c>
      <c r="X386" s="6">
        <v>0</v>
      </c>
      <c r="Y386" s="6">
        <v>0</v>
      </c>
      <c r="Z386" s="6" t="s">
        <v>25</v>
      </c>
      <c r="AA386" s="6" t="s">
        <v>34</v>
      </c>
      <c r="AB386" s="6" t="s">
        <v>24</v>
      </c>
      <c r="AC386" s="6" t="s">
        <v>48</v>
      </c>
    </row>
    <row r="387" spans="1:29" x14ac:dyDescent="0.3">
      <c r="A387" s="7">
        <v>386</v>
      </c>
      <c r="B387" s="7">
        <v>0</v>
      </c>
      <c r="C387" s="7">
        <v>0</v>
      </c>
      <c r="D387" s="7">
        <v>1</v>
      </c>
      <c r="E387" s="7">
        <v>0</v>
      </c>
      <c r="F387" s="7">
        <v>0</v>
      </c>
      <c r="G387" s="7">
        <v>0</v>
      </c>
      <c r="H387" s="8" t="s">
        <v>49</v>
      </c>
      <c r="I387" s="8" t="s">
        <v>43</v>
      </c>
      <c r="J387" s="8" t="s">
        <v>50</v>
      </c>
      <c r="K387" s="8" t="s">
        <v>49</v>
      </c>
      <c r="L387" s="8" t="s">
        <v>51</v>
      </c>
      <c r="M387" s="8">
        <v>5</v>
      </c>
      <c r="N387" s="8" t="s">
        <v>59</v>
      </c>
      <c r="O387" s="8" t="s">
        <v>63</v>
      </c>
      <c r="P387" s="8">
        <v>0</v>
      </c>
      <c r="Q387" s="8">
        <v>1</v>
      </c>
      <c r="R387" s="8">
        <v>0</v>
      </c>
      <c r="S387" s="8">
        <v>0</v>
      </c>
      <c r="T387" s="8">
        <v>0</v>
      </c>
      <c r="U387" s="8">
        <v>0</v>
      </c>
      <c r="V387" s="8">
        <v>0</v>
      </c>
      <c r="W387" s="8">
        <v>0</v>
      </c>
      <c r="X387" s="8">
        <v>0</v>
      </c>
      <c r="Y387" s="8">
        <v>0</v>
      </c>
      <c r="Z387" s="8" t="s">
        <v>25</v>
      </c>
      <c r="AA387" s="8" t="s">
        <v>34</v>
      </c>
      <c r="AB387" s="8" t="s">
        <v>113</v>
      </c>
      <c r="AC387" s="8" t="s">
        <v>25</v>
      </c>
    </row>
    <row r="388" spans="1:29" x14ac:dyDescent="0.3">
      <c r="A388" s="5">
        <v>387</v>
      </c>
      <c r="B388" s="5">
        <v>0</v>
      </c>
      <c r="C388" s="5">
        <v>0</v>
      </c>
      <c r="D388" s="5">
        <v>0</v>
      </c>
      <c r="E388" s="5">
        <v>0</v>
      </c>
      <c r="F388" s="5">
        <v>0</v>
      </c>
      <c r="G388" s="5">
        <v>1</v>
      </c>
      <c r="H388" s="6" t="s">
        <v>15</v>
      </c>
      <c r="I388" s="6" t="s">
        <v>43</v>
      </c>
      <c r="J388" s="6" t="s">
        <v>50</v>
      </c>
      <c r="K388" s="6" t="s">
        <v>15</v>
      </c>
      <c r="L388" s="6" t="s">
        <v>58</v>
      </c>
      <c r="M388" s="6">
        <v>4</v>
      </c>
      <c r="N388" s="6" t="s">
        <v>45</v>
      </c>
      <c r="O388" s="6" t="s">
        <v>46</v>
      </c>
      <c r="P388" s="6">
        <v>1</v>
      </c>
      <c r="Q388" s="6">
        <v>1</v>
      </c>
      <c r="R388" s="6">
        <v>1</v>
      </c>
      <c r="S388" s="6">
        <v>1</v>
      </c>
      <c r="T388" s="6">
        <v>1</v>
      </c>
      <c r="U388" s="6">
        <v>1</v>
      </c>
      <c r="V388" s="6">
        <v>1</v>
      </c>
      <c r="W388" s="6">
        <v>1</v>
      </c>
      <c r="X388" s="6">
        <v>1</v>
      </c>
      <c r="Y388" s="6">
        <v>1</v>
      </c>
      <c r="Z388" s="6" t="s">
        <v>21</v>
      </c>
      <c r="AA388" s="6" t="s">
        <v>23</v>
      </c>
      <c r="AB388" s="6" t="s">
        <v>24</v>
      </c>
      <c r="AC388" s="6" t="s">
        <v>21</v>
      </c>
    </row>
  </sheetData>
  <conditionalFormatting sqref="B1">
    <cfRule type="duplicateValues" dxfId="28" priority="2"/>
  </conditionalFormatting>
  <conditionalFormatting sqref="B1:G1">
    <cfRule type="duplicateValues" dxfId="27" priority="4"/>
  </conditionalFormatting>
  <conditionalFormatting sqref="C1">
    <cfRule type="duplicateValues" dxfId="26" priority="3"/>
  </conditionalFormatting>
  <conditionalFormatting sqref="G1 D1">
    <cfRule type="duplicateValues" dxfId="25"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95E3-779D-4740-BDAD-286A30FB8B3A}">
  <sheetPr>
    <tabColor rgb="FF92D050"/>
  </sheetPr>
  <dimension ref="A1:AF388"/>
  <sheetViews>
    <sheetView zoomScale="80" zoomScaleNormal="80" zoomScaleSheetLayoutView="70" workbookViewId="0">
      <selection activeCell="C25" sqref="C25"/>
    </sheetView>
  </sheetViews>
  <sheetFormatPr defaultRowHeight="14.4" x14ac:dyDescent="0.3"/>
  <cols>
    <col min="1" max="1" width="5.44140625" customWidth="1"/>
    <col min="2" max="2" width="29.21875" customWidth="1"/>
    <col min="3" max="8" width="8.5546875" customWidth="1"/>
    <col min="9" max="9" width="16.109375" customWidth="1"/>
    <col min="10" max="10" width="23" customWidth="1"/>
    <col min="11" max="11" width="30" customWidth="1"/>
    <col min="12" max="12" width="26" customWidth="1"/>
    <col min="13" max="13" width="25.5546875" customWidth="1"/>
    <col min="14" max="14" width="22.5546875" customWidth="1"/>
    <col min="15" max="15" width="9.44140625" customWidth="1"/>
    <col min="16" max="16" width="26.44140625" customWidth="1"/>
    <col min="17" max="17" width="24.88671875" customWidth="1"/>
    <col min="18" max="18" width="25.6640625" customWidth="1"/>
    <col min="19" max="28" width="8.6640625" customWidth="1"/>
    <col min="29" max="29" width="10.5546875" customWidth="1"/>
    <col min="30" max="30" width="23.44140625" customWidth="1"/>
    <col min="31" max="31" width="12.33203125" customWidth="1"/>
    <col min="32" max="32" width="25.6640625" customWidth="1"/>
    <col min="33" max="34" width="16.5546875" customWidth="1"/>
  </cols>
  <sheetData>
    <row r="1" spans="1:32" x14ac:dyDescent="0.3">
      <c r="A1" s="9" t="s">
        <v>357</v>
      </c>
      <c r="B1" s="10" t="s">
        <v>0</v>
      </c>
      <c r="C1" s="9" t="s">
        <v>100</v>
      </c>
      <c r="D1" s="9" t="s">
        <v>68</v>
      </c>
      <c r="E1" s="9" t="s">
        <v>340</v>
      </c>
      <c r="F1" s="9" t="s">
        <v>230</v>
      </c>
      <c r="G1" s="9" t="s">
        <v>41</v>
      </c>
      <c r="H1" s="9" t="s">
        <v>55</v>
      </c>
      <c r="I1" s="2" t="s">
        <v>1</v>
      </c>
      <c r="J1" s="2" t="s">
        <v>2</v>
      </c>
      <c r="K1" s="1" t="s">
        <v>355</v>
      </c>
      <c r="L1" s="2" t="s">
        <v>3</v>
      </c>
      <c r="M1" s="3" t="s">
        <v>4</v>
      </c>
      <c r="N1" s="3" t="s">
        <v>5</v>
      </c>
      <c r="O1" s="3" t="s">
        <v>6</v>
      </c>
      <c r="P1" s="3" t="s">
        <v>7</v>
      </c>
      <c r="Q1" s="3" t="s">
        <v>8</v>
      </c>
      <c r="R1" s="2" t="s">
        <v>9</v>
      </c>
      <c r="S1" s="9" t="s">
        <v>56</v>
      </c>
      <c r="T1" s="9" t="s">
        <v>139</v>
      </c>
      <c r="U1" s="9" t="s">
        <v>47</v>
      </c>
      <c r="V1" s="9" t="s">
        <v>96</v>
      </c>
      <c r="W1" s="9" t="s">
        <v>39</v>
      </c>
      <c r="X1" s="9" t="s">
        <v>131</v>
      </c>
      <c r="Y1" s="9" t="s">
        <v>111</v>
      </c>
      <c r="Z1" s="9" t="s">
        <v>157</v>
      </c>
      <c r="AA1" s="9" t="s">
        <v>90</v>
      </c>
      <c r="AB1" s="9" t="s">
        <v>161</v>
      </c>
      <c r="AC1" s="3" t="s">
        <v>10</v>
      </c>
      <c r="AD1" s="4" t="s">
        <v>11</v>
      </c>
      <c r="AE1" s="3" t="s">
        <v>12</v>
      </c>
      <c r="AF1" s="3" t="s">
        <v>13</v>
      </c>
    </row>
    <row r="2" spans="1:32" x14ac:dyDescent="0.3">
      <c r="A2" s="5">
        <v>1</v>
      </c>
      <c r="B2" s="5" t="s">
        <v>14</v>
      </c>
      <c r="C2" s="5">
        <f>IFERROR(IF(SEARCH(C$1,$B2)&gt;0,1,0),0)</f>
        <v>0</v>
      </c>
      <c r="D2" s="5">
        <f t="shared" ref="D2:H17" si="0">IFERROR(IF(SEARCH(D$1,$B2)&gt;0,1,0),0)</f>
        <v>1</v>
      </c>
      <c r="E2" s="5">
        <f t="shared" si="0"/>
        <v>0</v>
      </c>
      <c r="F2" s="5">
        <f t="shared" si="0"/>
        <v>0</v>
      </c>
      <c r="G2" s="5">
        <f t="shared" si="0"/>
        <v>1</v>
      </c>
      <c r="H2" s="5">
        <f t="shared" si="0"/>
        <v>1</v>
      </c>
      <c r="I2" s="6" t="s">
        <v>15</v>
      </c>
      <c r="J2" s="6" t="s">
        <v>16</v>
      </c>
      <c r="K2" s="6" t="str">
        <f>_xlfn.XLOOKUP(J2,Worksheet!$F$1:$F$48,Worksheet!$G$1:$G$48,0)</f>
        <v>Cost</v>
      </c>
      <c r="L2" s="6" t="s">
        <v>17</v>
      </c>
      <c r="M2" s="6" t="s">
        <v>18</v>
      </c>
      <c r="N2" s="6" t="s">
        <v>117</v>
      </c>
      <c r="O2" s="6">
        <v>5</v>
      </c>
      <c r="P2" s="6" t="s">
        <v>32</v>
      </c>
      <c r="Q2" s="6" t="s">
        <v>46</v>
      </c>
      <c r="R2" s="6" t="s">
        <v>22</v>
      </c>
      <c r="S2" s="5">
        <f>IFERROR(IF(SEARCH(S$1,$R2)&gt;0,1,0),0)</f>
        <v>0</v>
      </c>
      <c r="T2" s="5">
        <f t="shared" ref="T2:AB15" si="1">IFERROR(IF(SEARCH(T$1,$R2)&gt;0,1,0),0)</f>
        <v>0</v>
      </c>
      <c r="U2" s="5">
        <f t="shared" si="1"/>
        <v>0</v>
      </c>
      <c r="V2" s="5">
        <f t="shared" si="1"/>
        <v>0</v>
      </c>
      <c r="W2" s="5">
        <f t="shared" si="1"/>
        <v>1</v>
      </c>
      <c r="X2" s="5">
        <f t="shared" si="1"/>
        <v>0</v>
      </c>
      <c r="Y2" s="5">
        <f t="shared" si="1"/>
        <v>0</v>
      </c>
      <c r="Z2" s="5">
        <f t="shared" si="1"/>
        <v>0</v>
      </c>
      <c r="AA2" s="5">
        <f t="shared" si="1"/>
        <v>0</v>
      </c>
      <c r="AB2" s="5">
        <f>IFERROR(IF(SEARCH(AB$1,$R2)&gt;0,1,0),0)</f>
        <v>1</v>
      </c>
      <c r="AC2" s="6" t="s">
        <v>21</v>
      </c>
      <c r="AD2" s="5" t="s">
        <v>23</v>
      </c>
      <c r="AE2" s="6" t="s">
        <v>24</v>
      </c>
      <c r="AF2" s="6" t="s">
        <v>25</v>
      </c>
    </row>
    <row r="3" spans="1:32" x14ac:dyDescent="0.3">
      <c r="A3" s="7">
        <v>2</v>
      </c>
      <c r="B3" s="7" t="s">
        <v>26</v>
      </c>
      <c r="C3" s="7">
        <f t="shared" ref="C3:H57" si="2">IFERROR(IF(SEARCH(C$1,$B3)&gt;0,1,0),0)</f>
        <v>0</v>
      </c>
      <c r="D3" s="7">
        <f t="shared" si="0"/>
        <v>1</v>
      </c>
      <c r="E3" s="7">
        <f t="shared" si="0"/>
        <v>0</v>
      </c>
      <c r="F3" s="7">
        <f t="shared" si="0"/>
        <v>0</v>
      </c>
      <c r="G3" s="7">
        <f t="shared" si="0"/>
        <v>1</v>
      </c>
      <c r="H3" s="7">
        <f t="shared" si="0"/>
        <v>0</v>
      </c>
      <c r="I3" s="8" t="s">
        <v>27</v>
      </c>
      <c r="J3" s="8" t="s">
        <v>28</v>
      </c>
      <c r="K3" s="8" t="str">
        <f>_xlfn.XLOOKUP(J3,Worksheet!$F$1:$F$48,Worksheet!$G$1:$G$48,0)</f>
        <v>No need</v>
      </c>
      <c r="L3" s="8" t="s">
        <v>29</v>
      </c>
      <c r="M3" s="8" t="s">
        <v>30</v>
      </c>
      <c r="N3" s="8" t="s">
        <v>117</v>
      </c>
      <c r="O3" s="8">
        <v>5</v>
      </c>
      <c r="P3" s="8" t="s">
        <v>32</v>
      </c>
      <c r="Q3" s="8" t="s">
        <v>46</v>
      </c>
      <c r="R3" s="8" t="s">
        <v>33</v>
      </c>
      <c r="S3" s="8">
        <f t="shared" ref="S3:S66" si="3">IFERROR(IF(SEARCH(S$1,$R3)&gt;0,1,0),0)</f>
        <v>0</v>
      </c>
      <c r="T3" s="8">
        <f t="shared" si="1"/>
        <v>0</v>
      </c>
      <c r="U3" s="8">
        <f t="shared" si="1"/>
        <v>0</v>
      </c>
      <c r="V3" s="8">
        <f t="shared" si="1"/>
        <v>0</v>
      </c>
      <c r="W3" s="8">
        <f t="shared" si="1"/>
        <v>0</v>
      </c>
      <c r="X3" s="8">
        <f t="shared" si="1"/>
        <v>0</v>
      </c>
      <c r="Y3" s="8">
        <f t="shared" si="1"/>
        <v>0</v>
      </c>
      <c r="Z3" s="8">
        <f t="shared" si="1"/>
        <v>0</v>
      </c>
      <c r="AA3" s="8">
        <f t="shared" si="1"/>
        <v>0</v>
      </c>
      <c r="AB3" s="8">
        <f t="shared" si="1"/>
        <v>0</v>
      </c>
      <c r="AC3" s="8" t="s">
        <v>21</v>
      </c>
      <c r="AD3" s="7" t="s">
        <v>34</v>
      </c>
      <c r="AE3" s="8" t="s">
        <v>24</v>
      </c>
      <c r="AF3" s="8" t="s">
        <v>21</v>
      </c>
    </row>
    <row r="4" spans="1:32" x14ac:dyDescent="0.3">
      <c r="A4" s="5">
        <v>3</v>
      </c>
      <c r="B4" s="5" t="s">
        <v>338</v>
      </c>
      <c r="C4" s="5">
        <f t="shared" si="2"/>
        <v>0</v>
      </c>
      <c r="D4" s="5">
        <f t="shared" si="0"/>
        <v>0</v>
      </c>
      <c r="E4" s="5">
        <f t="shared" si="0"/>
        <v>1</v>
      </c>
      <c r="F4" s="5">
        <f t="shared" si="0"/>
        <v>0</v>
      </c>
      <c r="G4" s="5">
        <f t="shared" si="0"/>
        <v>1</v>
      </c>
      <c r="H4" s="5">
        <f t="shared" si="0"/>
        <v>0</v>
      </c>
      <c r="I4" s="6" t="s">
        <v>27</v>
      </c>
      <c r="J4" s="6" t="s">
        <v>36</v>
      </c>
      <c r="K4" s="6" t="str">
        <f>_xlfn.XLOOKUP(J4,Worksheet!$F$1:$F$48,Worksheet!$G$1:$G$48,0)</f>
        <v>Shame</v>
      </c>
      <c r="L4" s="6" t="s">
        <v>37</v>
      </c>
      <c r="M4" s="6" t="s">
        <v>15</v>
      </c>
      <c r="N4" s="6" t="s">
        <v>117</v>
      </c>
      <c r="O4" s="6">
        <v>5</v>
      </c>
      <c r="P4" s="6" t="s">
        <v>32</v>
      </c>
      <c r="Q4" s="6" t="s">
        <v>63</v>
      </c>
      <c r="R4" s="6" t="s">
        <v>39</v>
      </c>
      <c r="S4" s="6">
        <f t="shared" si="3"/>
        <v>0</v>
      </c>
      <c r="T4" s="6">
        <f t="shared" si="1"/>
        <v>0</v>
      </c>
      <c r="U4" s="6">
        <f t="shared" si="1"/>
        <v>0</v>
      </c>
      <c r="V4" s="6">
        <f t="shared" si="1"/>
        <v>0</v>
      </c>
      <c r="W4" s="6">
        <f t="shared" si="1"/>
        <v>1</v>
      </c>
      <c r="X4" s="6">
        <f t="shared" si="1"/>
        <v>0</v>
      </c>
      <c r="Y4" s="6">
        <f t="shared" si="1"/>
        <v>0</v>
      </c>
      <c r="Z4" s="6">
        <f t="shared" si="1"/>
        <v>0</v>
      </c>
      <c r="AA4" s="6">
        <f t="shared" si="1"/>
        <v>0</v>
      </c>
      <c r="AB4" s="6">
        <f t="shared" si="1"/>
        <v>0</v>
      </c>
      <c r="AC4" s="6" t="s">
        <v>25</v>
      </c>
      <c r="AD4" s="6" t="s">
        <v>40</v>
      </c>
      <c r="AE4" s="6" t="s">
        <v>24</v>
      </c>
      <c r="AF4" s="6" t="s">
        <v>38</v>
      </c>
    </row>
    <row r="5" spans="1:32" x14ac:dyDescent="0.3">
      <c r="A5" s="7">
        <v>4</v>
      </c>
      <c r="B5" s="7" t="s">
        <v>41</v>
      </c>
      <c r="C5" s="7">
        <f t="shared" si="2"/>
        <v>0</v>
      </c>
      <c r="D5" s="7">
        <f t="shared" si="0"/>
        <v>0</v>
      </c>
      <c r="E5" s="7">
        <f t="shared" si="0"/>
        <v>0</v>
      </c>
      <c r="F5" s="7">
        <f t="shared" si="0"/>
        <v>0</v>
      </c>
      <c r="G5" s="7">
        <f t="shared" si="0"/>
        <v>1</v>
      </c>
      <c r="H5" s="7">
        <f t="shared" si="0"/>
        <v>0</v>
      </c>
      <c r="I5" s="8" t="s">
        <v>42</v>
      </c>
      <c r="J5" s="8" t="s">
        <v>43</v>
      </c>
      <c r="K5" s="8" t="str">
        <f>_xlfn.XLOOKUP(J5,Worksheet!$F$1:$F$48,Worksheet!$G$1:$G$48,0)</f>
        <v>Lack of awareness</v>
      </c>
      <c r="L5" s="8" t="s">
        <v>37</v>
      </c>
      <c r="M5" s="8" t="s">
        <v>15</v>
      </c>
      <c r="N5" s="8" t="s">
        <v>44</v>
      </c>
      <c r="O5" s="8">
        <v>4</v>
      </c>
      <c r="P5" s="8" t="s">
        <v>45</v>
      </c>
      <c r="Q5" s="8" t="s">
        <v>46</v>
      </c>
      <c r="R5" s="8" t="s">
        <v>47</v>
      </c>
      <c r="S5" s="8">
        <f t="shared" si="3"/>
        <v>0</v>
      </c>
      <c r="T5" s="8">
        <f t="shared" si="1"/>
        <v>0</v>
      </c>
      <c r="U5" s="8">
        <f t="shared" si="1"/>
        <v>1</v>
      </c>
      <c r="V5" s="8">
        <f t="shared" si="1"/>
        <v>0</v>
      </c>
      <c r="W5" s="8">
        <f t="shared" si="1"/>
        <v>0</v>
      </c>
      <c r="X5" s="8">
        <f t="shared" si="1"/>
        <v>0</v>
      </c>
      <c r="Y5" s="8">
        <f t="shared" si="1"/>
        <v>0</v>
      </c>
      <c r="Z5" s="8">
        <f t="shared" si="1"/>
        <v>0</v>
      </c>
      <c r="AA5" s="8">
        <f t="shared" si="1"/>
        <v>0</v>
      </c>
      <c r="AB5" s="8">
        <f t="shared" si="1"/>
        <v>0</v>
      </c>
      <c r="AC5" s="8" t="s">
        <v>21</v>
      </c>
      <c r="AD5" s="8" t="s">
        <v>40</v>
      </c>
      <c r="AE5" s="8" t="s">
        <v>24</v>
      </c>
      <c r="AF5" s="8" t="s">
        <v>48</v>
      </c>
    </row>
    <row r="6" spans="1:32" x14ac:dyDescent="0.3">
      <c r="A6" s="5">
        <v>5</v>
      </c>
      <c r="B6" s="5" t="s">
        <v>41</v>
      </c>
      <c r="C6" s="5">
        <f t="shared" si="2"/>
        <v>0</v>
      </c>
      <c r="D6" s="5">
        <f t="shared" si="0"/>
        <v>0</v>
      </c>
      <c r="E6" s="5">
        <f t="shared" si="0"/>
        <v>0</v>
      </c>
      <c r="F6" s="5">
        <f t="shared" si="0"/>
        <v>0</v>
      </c>
      <c r="G6" s="5">
        <f t="shared" si="0"/>
        <v>1</v>
      </c>
      <c r="H6" s="5">
        <f t="shared" si="0"/>
        <v>0</v>
      </c>
      <c r="I6" s="6" t="s">
        <v>49</v>
      </c>
      <c r="J6" s="6" t="s">
        <v>43</v>
      </c>
      <c r="K6" s="6" t="str">
        <f>_xlfn.XLOOKUP(J6,Worksheet!$F$1:$F$48,Worksheet!$G$1:$G$48,0)</f>
        <v>Lack of awareness</v>
      </c>
      <c r="L6" s="6" t="s">
        <v>50</v>
      </c>
      <c r="M6" s="6" t="s">
        <v>30</v>
      </c>
      <c r="N6" s="6" t="s">
        <v>51</v>
      </c>
      <c r="O6" s="6">
        <v>5</v>
      </c>
      <c r="P6" s="6" t="s">
        <v>45</v>
      </c>
      <c r="Q6" s="6" t="s">
        <v>52</v>
      </c>
      <c r="R6" s="6" t="s">
        <v>53</v>
      </c>
      <c r="S6" s="6">
        <f t="shared" si="3"/>
        <v>1</v>
      </c>
      <c r="T6" s="6">
        <f t="shared" si="1"/>
        <v>0</v>
      </c>
      <c r="U6" s="6">
        <f t="shared" si="1"/>
        <v>1</v>
      </c>
      <c r="V6" s="6">
        <f t="shared" si="1"/>
        <v>0</v>
      </c>
      <c r="W6" s="6">
        <f t="shared" si="1"/>
        <v>0</v>
      </c>
      <c r="X6" s="6">
        <f t="shared" si="1"/>
        <v>0</v>
      </c>
      <c r="Y6" s="6">
        <f t="shared" si="1"/>
        <v>1</v>
      </c>
      <c r="Z6" s="6">
        <f t="shared" si="1"/>
        <v>0</v>
      </c>
      <c r="AA6" s="6">
        <f t="shared" si="1"/>
        <v>0</v>
      </c>
      <c r="AB6" s="6">
        <f t="shared" si="1"/>
        <v>0</v>
      </c>
      <c r="AC6" s="6" t="s">
        <v>25</v>
      </c>
      <c r="AD6" s="6" t="s">
        <v>34</v>
      </c>
      <c r="AE6" s="6" t="s">
        <v>54</v>
      </c>
      <c r="AF6" s="6" t="s">
        <v>25</v>
      </c>
    </row>
    <row r="7" spans="1:32" x14ac:dyDescent="0.3">
      <c r="A7" s="7">
        <v>6</v>
      </c>
      <c r="B7" s="7" t="s">
        <v>55</v>
      </c>
      <c r="C7" s="7">
        <f t="shared" si="2"/>
        <v>0</v>
      </c>
      <c r="D7" s="7">
        <f t="shared" si="0"/>
        <v>0</v>
      </c>
      <c r="E7" s="7">
        <f t="shared" si="0"/>
        <v>0</v>
      </c>
      <c r="F7" s="7">
        <f t="shared" si="0"/>
        <v>0</v>
      </c>
      <c r="G7" s="7">
        <f t="shared" si="0"/>
        <v>0</v>
      </c>
      <c r="H7" s="7">
        <f t="shared" si="0"/>
        <v>1</v>
      </c>
      <c r="I7" s="8" t="s">
        <v>27</v>
      </c>
      <c r="J7" s="8" t="s">
        <v>43</v>
      </c>
      <c r="K7" s="8" t="str">
        <f>_xlfn.XLOOKUP(J7,Worksheet!$F$1:$F$48,Worksheet!$G$1:$G$48,0)</f>
        <v>Lack of awareness</v>
      </c>
      <c r="L7" s="8" t="s">
        <v>17</v>
      </c>
      <c r="M7" s="8" t="s">
        <v>49</v>
      </c>
      <c r="N7" s="8" t="s">
        <v>51</v>
      </c>
      <c r="O7" s="8">
        <v>5</v>
      </c>
      <c r="P7" s="8" t="s">
        <v>45</v>
      </c>
      <c r="Q7" s="8" t="s">
        <v>52</v>
      </c>
      <c r="R7" s="8" t="s">
        <v>56</v>
      </c>
      <c r="S7" s="8">
        <f t="shared" si="3"/>
        <v>1</v>
      </c>
      <c r="T7" s="8">
        <f t="shared" si="1"/>
        <v>0</v>
      </c>
      <c r="U7" s="8">
        <f t="shared" si="1"/>
        <v>0</v>
      </c>
      <c r="V7" s="8">
        <f t="shared" si="1"/>
        <v>0</v>
      </c>
      <c r="W7" s="8">
        <f t="shared" si="1"/>
        <v>0</v>
      </c>
      <c r="X7" s="8">
        <f t="shared" si="1"/>
        <v>0</v>
      </c>
      <c r="Y7" s="8">
        <f t="shared" si="1"/>
        <v>0</v>
      </c>
      <c r="Z7" s="8">
        <f t="shared" si="1"/>
        <v>0</v>
      </c>
      <c r="AA7" s="8">
        <f t="shared" si="1"/>
        <v>0</v>
      </c>
      <c r="AB7" s="8">
        <f t="shared" si="1"/>
        <v>0</v>
      </c>
      <c r="AC7" s="8" t="s">
        <v>21</v>
      </c>
      <c r="AD7" s="8" t="s">
        <v>34</v>
      </c>
      <c r="AE7" s="8" t="s">
        <v>54</v>
      </c>
      <c r="AF7" s="8" t="s">
        <v>25</v>
      </c>
    </row>
    <row r="8" spans="1:32" x14ac:dyDescent="0.3">
      <c r="A8" s="5">
        <v>7</v>
      </c>
      <c r="B8" s="5" t="s">
        <v>57</v>
      </c>
      <c r="C8" s="5">
        <f t="shared" si="2"/>
        <v>1</v>
      </c>
      <c r="D8" s="5">
        <f t="shared" si="0"/>
        <v>0</v>
      </c>
      <c r="E8" s="5">
        <f t="shared" si="0"/>
        <v>0</v>
      </c>
      <c r="F8" s="5">
        <f t="shared" si="0"/>
        <v>0</v>
      </c>
      <c r="G8" s="5">
        <f t="shared" si="0"/>
        <v>1</v>
      </c>
      <c r="H8" s="5">
        <f t="shared" si="0"/>
        <v>0</v>
      </c>
      <c r="I8" s="6" t="s">
        <v>42</v>
      </c>
      <c r="J8" s="6" t="s">
        <v>43</v>
      </c>
      <c r="K8" s="6" t="str">
        <f>_xlfn.XLOOKUP(J8,Worksheet!$F$1:$F$48,Worksheet!$G$1:$G$48,0)</f>
        <v>Lack of awareness</v>
      </c>
      <c r="L8" s="6" t="s">
        <v>17</v>
      </c>
      <c r="M8" s="6" t="s">
        <v>30</v>
      </c>
      <c r="N8" s="6" t="s">
        <v>58</v>
      </c>
      <c r="O8" s="6">
        <v>4</v>
      </c>
      <c r="P8" s="6" t="s">
        <v>59</v>
      </c>
      <c r="Q8" s="6" t="s">
        <v>46</v>
      </c>
      <c r="R8" s="6" t="s">
        <v>60</v>
      </c>
      <c r="S8" s="6">
        <f t="shared" si="3"/>
        <v>1</v>
      </c>
      <c r="T8" s="6">
        <f t="shared" si="1"/>
        <v>0</v>
      </c>
      <c r="U8" s="6">
        <f t="shared" si="1"/>
        <v>1</v>
      </c>
      <c r="V8" s="6">
        <f t="shared" si="1"/>
        <v>0</v>
      </c>
      <c r="W8" s="6">
        <f t="shared" si="1"/>
        <v>0</v>
      </c>
      <c r="X8" s="6">
        <f t="shared" si="1"/>
        <v>0</v>
      </c>
      <c r="Y8" s="6">
        <f t="shared" si="1"/>
        <v>0</v>
      </c>
      <c r="Z8" s="6">
        <f t="shared" si="1"/>
        <v>0</v>
      </c>
      <c r="AA8" s="6">
        <f t="shared" si="1"/>
        <v>0</v>
      </c>
      <c r="AB8" s="6">
        <f t="shared" si="1"/>
        <v>0</v>
      </c>
      <c r="AC8" s="6" t="s">
        <v>21</v>
      </c>
      <c r="AD8" s="6" t="s">
        <v>23</v>
      </c>
      <c r="AE8" s="6" t="s">
        <v>24</v>
      </c>
      <c r="AF8" s="6" t="s">
        <v>21</v>
      </c>
    </row>
    <row r="9" spans="1:32" x14ac:dyDescent="0.3">
      <c r="A9" s="7">
        <v>8</v>
      </c>
      <c r="B9" s="7" t="s">
        <v>61</v>
      </c>
      <c r="C9" s="7">
        <f t="shared" si="2"/>
        <v>1</v>
      </c>
      <c r="D9" s="7">
        <f t="shared" si="0"/>
        <v>1</v>
      </c>
      <c r="E9" s="7">
        <f t="shared" si="0"/>
        <v>0</v>
      </c>
      <c r="F9" s="7">
        <f t="shared" si="0"/>
        <v>0</v>
      </c>
      <c r="G9" s="7">
        <f t="shared" si="0"/>
        <v>1</v>
      </c>
      <c r="H9" s="7">
        <f t="shared" si="0"/>
        <v>1</v>
      </c>
      <c r="I9" s="8" t="s">
        <v>27</v>
      </c>
      <c r="J9" s="8" t="s">
        <v>62</v>
      </c>
      <c r="K9" s="8" t="str">
        <f>_xlfn.XLOOKUP(J9,Worksheet!$F$1:$F$48,Worksheet!$G$1:$G$48,0)</f>
        <v>Cost</v>
      </c>
      <c r="L9" s="8" t="s">
        <v>50</v>
      </c>
      <c r="M9" s="8" t="s">
        <v>49</v>
      </c>
      <c r="N9" s="8" t="s">
        <v>58</v>
      </c>
      <c r="O9" s="8">
        <v>4</v>
      </c>
      <c r="P9" s="8" t="s">
        <v>59</v>
      </c>
      <c r="Q9" s="8" t="s">
        <v>63</v>
      </c>
      <c r="R9" s="8" t="s">
        <v>64</v>
      </c>
      <c r="S9" s="8">
        <f t="shared" si="3"/>
        <v>1</v>
      </c>
      <c r="T9" s="8">
        <f t="shared" si="1"/>
        <v>0</v>
      </c>
      <c r="U9" s="8">
        <f t="shared" si="1"/>
        <v>1</v>
      </c>
      <c r="V9" s="8">
        <f t="shared" si="1"/>
        <v>0</v>
      </c>
      <c r="W9" s="8">
        <f t="shared" si="1"/>
        <v>0</v>
      </c>
      <c r="X9" s="8">
        <f t="shared" si="1"/>
        <v>1</v>
      </c>
      <c r="Y9" s="8">
        <f t="shared" si="1"/>
        <v>0</v>
      </c>
      <c r="Z9" s="8">
        <f t="shared" si="1"/>
        <v>1</v>
      </c>
      <c r="AA9" s="8">
        <f t="shared" si="1"/>
        <v>0</v>
      </c>
      <c r="AB9" s="8">
        <f t="shared" si="1"/>
        <v>0</v>
      </c>
      <c r="AC9" s="8" t="s">
        <v>21</v>
      </c>
      <c r="AD9" s="8" t="s">
        <v>40</v>
      </c>
      <c r="AE9" s="8" t="s">
        <v>24</v>
      </c>
      <c r="AF9" s="8" t="s">
        <v>21</v>
      </c>
    </row>
    <row r="10" spans="1:32" x14ac:dyDescent="0.3">
      <c r="A10" s="5">
        <v>9</v>
      </c>
      <c r="B10" s="5" t="s">
        <v>55</v>
      </c>
      <c r="C10" s="5">
        <f t="shared" si="2"/>
        <v>0</v>
      </c>
      <c r="D10" s="5">
        <f t="shared" si="0"/>
        <v>0</v>
      </c>
      <c r="E10" s="5">
        <f t="shared" si="0"/>
        <v>0</v>
      </c>
      <c r="F10" s="5">
        <f t="shared" si="0"/>
        <v>0</v>
      </c>
      <c r="G10" s="5">
        <f t="shared" si="0"/>
        <v>0</v>
      </c>
      <c r="H10" s="5">
        <f t="shared" si="0"/>
        <v>1</v>
      </c>
      <c r="I10" s="6" t="s">
        <v>15</v>
      </c>
      <c r="J10" s="6" t="s">
        <v>43</v>
      </c>
      <c r="K10" s="6" t="str">
        <f>_xlfn.XLOOKUP(J10,Worksheet!$F$1:$F$48,Worksheet!$G$1:$G$48,0)</f>
        <v>Lack of awareness</v>
      </c>
      <c r="L10" s="6" t="s">
        <v>29</v>
      </c>
      <c r="M10" s="6" t="s">
        <v>30</v>
      </c>
      <c r="N10" s="6" t="s">
        <v>51</v>
      </c>
      <c r="O10" s="6">
        <v>5</v>
      </c>
      <c r="P10" s="6" t="s">
        <v>45</v>
      </c>
      <c r="Q10" s="6" t="s">
        <v>46</v>
      </c>
      <c r="R10" s="6" t="s">
        <v>65</v>
      </c>
      <c r="S10" s="6">
        <f t="shared" si="3"/>
        <v>1</v>
      </c>
      <c r="T10" s="6">
        <f t="shared" si="1"/>
        <v>1</v>
      </c>
      <c r="U10" s="6">
        <f t="shared" si="1"/>
        <v>1</v>
      </c>
      <c r="V10" s="6">
        <f t="shared" si="1"/>
        <v>0</v>
      </c>
      <c r="W10" s="6">
        <f t="shared" si="1"/>
        <v>0</v>
      </c>
      <c r="X10" s="6">
        <f t="shared" si="1"/>
        <v>1</v>
      </c>
      <c r="Y10" s="6">
        <f t="shared" si="1"/>
        <v>0</v>
      </c>
      <c r="Z10" s="6">
        <f t="shared" si="1"/>
        <v>0</v>
      </c>
      <c r="AA10" s="6">
        <f t="shared" si="1"/>
        <v>1</v>
      </c>
      <c r="AB10" s="6">
        <f t="shared" si="1"/>
        <v>0</v>
      </c>
      <c r="AC10" s="6" t="s">
        <v>21</v>
      </c>
      <c r="AD10" s="6" t="s">
        <v>23</v>
      </c>
      <c r="AE10" s="6" t="s">
        <v>24</v>
      </c>
      <c r="AF10" s="6" t="s">
        <v>48</v>
      </c>
    </row>
    <row r="11" spans="1:32" x14ac:dyDescent="0.3">
      <c r="A11" s="7">
        <v>10</v>
      </c>
      <c r="B11" s="7" t="s">
        <v>66</v>
      </c>
      <c r="C11" s="7">
        <f t="shared" si="2"/>
        <v>0</v>
      </c>
      <c r="D11" s="7">
        <f t="shared" si="0"/>
        <v>1</v>
      </c>
      <c r="E11" s="7">
        <f t="shared" si="0"/>
        <v>0</v>
      </c>
      <c r="F11" s="7">
        <f t="shared" si="0"/>
        <v>0</v>
      </c>
      <c r="G11" s="7">
        <f t="shared" si="0"/>
        <v>0</v>
      </c>
      <c r="H11" s="7">
        <f t="shared" si="0"/>
        <v>1</v>
      </c>
      <c r="I11" s="8" t="s">
        <v>49</v>
      </c>
      <c r="J11" s="8" t="s">
        <v>43</v>
      </c>
      <c r="K11" s="8" t="str">
        <f>_xlfn.XLOOKUP(J11,Worksheet!$F$1:$F$48,Worksheet!$G$1:$G$48,0)</f>
        <v>Lack of awareness</v>
      </c>
      <c r="L11" s="8" t="s">
        <v>50</v>
      </c>
      <c r="M11" s="8" t="s">
        <v>30</v>
      </c>
      <c r="N11" s="8" t="s">
        <v>51</v>
      </c>
      <c r="O11" s="8">
        <v>4</v>
      </c>
      <c r="P11" s="8" t="s">
        <v>45</v>
      </c>
      <c r="Q11" s="8" t="s">
        <v>63</v>
      </c>
      <c r="R11" s="8" t="s">
        <v>67</v>
      </c>
      <c r="S11" s="8">
        <f t="shared" si="3"/>
        <v>1</v>
      </c>
      <c r="T11" s="8">
        <f t="shared" si="1"/>
        <v>1</v>
      </c>
      <c r="U11" s="8">
        <f t="shared" si="1"/>
        <v>1</v>
      </c>
      <c r="V11" s="8">
        <f t="shared" si="1"/>
        <v>1</v>
      </c>
      <c r="W11" s="8">
        <f t="shared" si="1"/>
        <v>1</v>
      </c>
      <c r="X11" s="8">
        <f t="shared" si="1"/>
        <v>1</v>
      </c>
      <c r="Y11" s="8">
        <f t="shared" si="1"/>
        <v>1</v>
      </c>
      <c r="Z11" s="8">
        <f t="shared" si="1"/>
        <v>1</v>
      </c>
      <c r="AA11" s="8">
        <f t="shared" si="1"/>
        <v>1</v>
      </c>
      <c r="AB11" s="8">
        <f t="shared" si="1"/>
        <v>1</v>
      </c>
      <c r="AC11" s="8" t="s">
        <v>21</v>
      </c>
      <c r="AD11" s="8" t="s">
        <v>34</v>
      </c>
      <c r="AE11" s="8" t="s">
        <v>24</v>
      </c>
      <c r="AF11" s="8" t="s">
        <v>48</v>
      </c>
    </row>
    <row r="12" spans="1:32" x14ac:dyDescent="0.3">
      <c r="A12" s="5">
        <v>11</v>
      </c>
      <c r="B12" s="5" t="s">
        <v>68</v>
      </c>
      <c r="C12" s="5">
        <f t="shared" si="2"/>
        <v>0</v>
      </c>
      <c r="D12" s="5">
        <f t="shared" si="0"/>
        <v>1</v>
      </c>
      <c r="E12" s="5">
        <f t="shared" si="0"/>
        <v>0</v>
      </c>
      <c r="F12" s="5">
        <f t="shared" si="0"/>
        <v>0</v>
      </c>
      <c r="G12" s="5">
        <f t="shared" si="0"/>
        <v>0</v>
      </c>
      <c r="H12" s="5">
        <f t="shared" si="0"/>
        <v>0</v>
      </c>
      <c r="I12" s="6" t="s">
        <v>27</v>
      </c>
      <c r="J12" s="6" t="s">
        <v>43</v>
      </c>
      <c r="K12" s="6" t="str">
        <f>_xlfn.XLOOKUP(J12,Worksheet!$F$1:$F$48,Worksheet!$G$1:$G$48,0)</f>
        <v>Lack of awareness</v>
      </c>
      <c r="L12" s="6" t="s">
        <v>356</v>
      </c>
      <c r="M12" s="6" t="s">
        <v>30</v>
      </c>
      <c r="N12" s="6" t="s">
        <v>70</v>
      </c>
      <c r="O12" s="6">
        <v>4</v>
      </c>
      <c r="P12" s="6" t="s">
        <v>45</v>
      </c>
      <c r="Q12" s="6" t="s">
        <v>63</v>
      </c>
      <c r="R12" s="6" t="s">
        <v>71</v>
      </c>
      <c r="S12" s="6">
        <f t="shared" si="3"/>
        <v>1</v>
      </c>
      <c r="T12" s="6">
        <f t="shared" si="1"/>
        <v>0</v>
      </c>
      <c r="U12" s="6">
        <f t="shared" si="1"/>
        <v>0</v>
      </c>
      <c r="V12" s="6">
        <f t="shared" si="1"/>
        <v>1</v>
      </c>
      <c r="W12" s="6">
        <f t="shared" si="1"/>
        <v>0</v>
      </c>
      <c r="X12" s="6">
        <f t="shared" si="1"/>
        <v>1</v>
      </c>
      <c r="Y12" s="6">
        <f t="shared" si="1"/>
        <v>0</v>
      </c>
      <c r="Z12" s="6">
        <f t="shared" si="1"/>
        <v>0</v>
      </c>
      <c r="AA12" s="6">
        <f t="shared" si="1"/>
        <v>0</v>
      </c>
      <c r="AB12" s="6">
        <f t="shared" si="1"/>
        <v>0</v>
      </c>
      <c r="AC12" s="6" t="s">
        <v>21</v>
      </c>
      <c r="AD12" s="6" t="s">
        <v>34</v>
      </c>
      <c r="AE12" s="6" t="s">
        <v>24</v>
      </c>
      <c r="AF12" s="6" t="s">
        <v>48</v>
      </c>
    </row>
    <row r="13" spans="1:32" x14ac:dyDescent="0.3">
      <c r="A13" s="7">
        <v>12</v>
      </c>
      <c r="B13" s="7" t="s">
        <v>68</v>
      </c>
      <c r="C13" s="7">
        <f t="shared" si="2"/>
        <v>0</v>
      </c>
      <c r="D13" s="7">
        <f t="shared" si="0"/>
        <v>1</v>
      </c>
      <c r="E13" s="7">
        <f t="shared" si="0"/>
        <v>0</v>
      </c>
      <c r="F13" s="7">
        <f t="shared" si="0"/>
        <v>0</v>
      </c>
      <c r="G13" s="7">
        <f t="shared" si="0"/>
        <v>0</v>
      </c>
      <c r="H13" s="7">
        <f t="shared" si="0"/>
        <v>0</v>
      </c>
      <c r="I13" s="8" t="s">
        <v>42</v>
      </c>
      <c r="J13" s="8" t="s">
        <v>16</v>
      </c>
      <c r="K13" s="8" t="str">
        <f>_xlfn.XLOOKUP(J13,Worksheet!$F$1:$F$48,Worksheet!$G$1:$G$48,0)</f>
        <v>Cost</v>
      </c>
      <c r="L13" s="8" t="s">
        <v>37</v>
      </c>
      <c r="M13" s="8" t="s">
        <v>18</v>
      </c>
      <c r="N13" s="8" t="s">
        <v>44</v>
      </c>
      <c r="O13" s="8">
        <v>5</v>
      </c>
      <c r="P13" s="8" t="s">
        <v>72</v>
      </c>
      <c r="Q13" s="8" t="s">
        <v>46</v>
      </c>
      <c r="R13" s="8" t="s">
        <v>53</v>
      </c>
      <c r="S13" s="8">
        <f t="shared" si="3"/>
        <v>1</v>
      </c>
      <c r="T13" s="8">
        <f t="shared" si="1"/>
        <v>0</v>
      </c>
      <c r="U13" s="8">
        <f t="shared" si="1"/>
        <v>1</v>
      </c>
      <c r="V13" s="8">
        <f t="shared" si="1"/>
        <v>0</v>
      </c>
      <c r="W13" s="8">
        <f t="shared" si="1"/>
        <v>0</v>
      </c>
      <c r="X13" s="8">
        <f t="shared" si="1"/>
        <v>0</v>
      </c>
      <c r="Y13" s="8">
        <f t="shared" si="1"/>
        <v>1</v>
      </c>
      <c r="Z13" s="8">
        <f t="shared" si="1"/>
        <v>0</v>
      </c>
      <c r="AA13" s="8">
        <f t="shared" si="1"/>
        <v>0</v>
      </c>
      <c r="AB13" s="8">
        <f t="shared" si="1"/>
        <v>0</v>
      </c>
      <c r="AC13" s="8" t="s">
        <v>21</v>
      </c>
      <c r="AD13" s="8" t="s">
        <v>40</v>
      </c>
      <c r="AE13" s="8" t="s">
        <v>24</v>
      </c>
      <c r="AF13" s="8" t="s">
        <v>21</v>
      </c>
    </row>
    <row r="14" spans="1:32" x14ac:dyDescent="0.3">
      <c r="A14" s="5">
        <v>13</v>
      </c>
      <c r="B14" s="5" t="s">
        <v>55</v>
      </c>
      <c r="C14" s="5">
        <f t="shared" si="2"/>
        <v>0</v>
      </c>
      <c r="D14" s="5">
        <f t="shared" si="0"/>
        <v>0</v>
      </c>
      <c r="E14" s="5">
        <f t="shared" si="0"/>
        <v>0</v>
      </c>
      <c r="F14" s="5">
        <f t="shared" si="0"/>
        <v>0</v>
      </c>
      <c r="G14" s="5">
        <f t="shared" si="0"/>
        <v>0</v>
      </c>
      <c r="H14" s="5">
        <f t="shared" si="0"/>
        <v>1</v>
      </c>
      <c r="I14" s="6" t="s">
        <v>15</v>
      </c>
      <c r="J14" s="6" t="s">
        <v>16</v>
      </c>
      <c r="K14" s="6" t="str">
        <f>_xlfn.XLOOKUP(J14,Worksheet!$F$1:$F$48,Worksheet!$G$1:$G$48,0)</f>
        <v>Cost</v>
      </c>
      <c r="L14" s="6" t="s">
        <v>37</v>
      </c>
      <c r="M14" s="6" t="s">
        <v>15</v>
      </c>
      <c r="N14" s="6" t="s">
        <v>44</v>
      </c>
      <c r="O14" s="6">
        <v>2</v>
      </c>
      <c r="P14" s="6" t="s">
        <v>72</v>
      </c>
      <c r="Q14" s="6" t="s">
        <v>63</v>
      </c>
      <c r="R14" s="6" t="s">
        <v>73</v>
      </c>
      <c r="S14" s="6">
        <f t="shared" si="3"/>
        <v>0</v>
      </c>
      <c r="T14" s="6">
        <f t="shared" si="1"/>
        <v>1</v>
      </c>
      <c r="U14" s="6">
        <f t="shared" si="1"/>
        <v>0</v>
      </c>
      <c r="V14" s="6">
        <f t="shared" si="1"/>
        <v>1</v>
      </c>
      <c r="W14" s="6">
        <f t="shared" si="1"/>
        <v>0</v>
      </c>
      <c r="X14" s="6">
        <f t="shared" si="1"/>
        <v>1</v>
      </c>
      <c r="Y14" s="6">
        <f t="shared" si="1"/>
        <v>0</v>
      </c>
      <c r="Z14" s="6">
        <f t="shared" si="1"/>
        <v>0</v>
      </c>
      <c r="AA14" s="6">
        <f t="shared" si="1"/>
        <v>0</v>
      </c>
      <c r="AB14" s="6">
        <f t="shared" si="1"/>
        <v>0</v>
      </c>
      <c r="AC14" s="6" t="s">
        <v>21</v>
      </c>
      <c r="AD14" s="6" t="s">
        <v>23</v>
      </c>
      <c r="AE14" s="6" t="s">
        <v>24</v>
      </c>
      <c r="AF14" s="6" t="s">
        <v>25</v>
      </c>
    </row>
    <row r="15" spans="1:32" x14ac:dyDescent="0.3">
      <c r="A15" s="7">
        <v>14</v>
      </c>
      <c r="B15" s="7" t="s">
        <v>55</v>
      </c>
      <c r="C15" s="7">
        <f t="shared" si="2"/>
        <v>0</v>
      </c>
      <c r="D15" s="7">
        <f t="shared" si="0"/>
        <v>0</v>
      </c>
      <c r="E15" s="7">
        <f t="shared" si="0"/>
        <v>0</v>
      </c>
      <c r="F15" s="7">
        <f t="shared" si="0"/>
        <v>0</v>
      </c>
      <c r="G15" s="7">
        <f t="shared" si="0"/>
        <v>0</v>
      </c>
      <c r="H15" s="7">
        <f t="shared" si="0"/>
        <v>1</v>
      </c>
      <c r="I15" s="8" t="s">
        <v>15</v>
      </c>
      <c r="J15" s="8" t="s">
        <v>36</v>
      </c>
      <c r="K15" s="8" t="str">
        <f>_xlfn.XLOOKUP(J15,Worksheet!$F$1:$F$48,Worksheet!$G$1:$G$48,0)</f>
        <v>Shame</v>
      </c>
      <c r="L15" s="8" t="s">
        <v>356</v>
      </c>
      <c r="M15" s="8" t="s">
        <v>30</v>
      </c>
      <c r="N15" s="8" t="s">
        <v>58</v>
      </c>
      <c r="O15" s="8">
        <v>2</v>
      </c>
      <c r="P15" s="8" t="s">
        <v>72</v>
      </c>
      <c r="Q15" s="8" t="s">
        <v>63</v>
      </c>
      <c r="R15" s="8" t="s">
        <v>74</v>
      </c>
      <c r="S15" s="8">
        <f t="shared" si="3"/>
        <v>1</v>
      </c>
      <c r="T15" s="8">
        <f t="shared" si="1"/>
        <v>1</v>
      </c>
      <c r="U15" s="8">
        <f t="shared" si="1"/>
        <v>1</v>
      </c>
      <c r="V15" s="8">
        <f t="shared" si="1"/>
        <v>0</v>
      </c>
      <c r="W15" s="8">
        <f t="shared" ref="T15:AB43" si="4">IFERROR(IF(SEARCH(W$1,$R15)&gt;0,1,0),0)</f>
        <v>0</v>
      </c>
      <c r="X15" s="8">
        <f t="shared" si="4"/>
        <v>0</v>
      </c>
      <c r="Y15" s="8">
        <f t="shared" si="4"/>
        <v>0</v>
      </c>
      <c r="Z15" s="8">
        <f t="shared" si="4"/>
        <v>0</v>
      </c>
      <c r="AA15" s="8">
        <f t="shared" si="4"/>
        <v>0</v>
      </c>
      <c r="AB15" s="8">
        <f t="shared" si="4"/>
        <v>0</v>
      </c>
      <c r="AC15" s="8" t="s">
        <v>21</v>
      </c>
      <c r="AD15" s="8" t="s">
        <v>23</v>
      </c>
      <c r="AE15" s="8" t="s">
        <v>24</v>
      </c>
      <c r="AF15" s="8" t="s">
        <v>21</v>
      </c>
    </row>
    <row r="16" spans="1:32" x14ac:dyDescent="0.3">
      <c r="A16" s="5">
        <v>15</v>
      </c>
      <c r="B16" s="5" t="s">
        <v>75</v>
      </c>
      <c r="C16" s="5">
        <f t="shared" si="2"/>
        <v>1</v>
      </c>
      <c r="D16" s="5">
        <f t="shared" si="0"/>
        <v>1</v>
      </c>
      <c r="E16" s="5">
        <f t="shared" si="0"/>
        <v>0</v>
      </c>
      <c r="F16" s="5">
        <f t="shared" si="0"/>
        <v>0</v>
      </c>
      <c r="G16" s="5">
        <f t="shared" si="0"/>
        <v>0</v>
      </c>
      <c r="H16" s="5">
        <f t="shared" si="0"/>
        <v>1</v>
      </c>
      <c r="I16" s="6" t="s">
        <v>27</v>
      </c>
      <c r="J16" s="6" t="s">
        <v>76</v>
      </c>
      <c r="K16" s="6" t="str">
        <f>_xlfn.XLOOKUP(J16,Worksheet!$F$1:$F$48,Worksheet!$G$1:$G$48,0)</f>
        <v>No need</v>
      </c>
      <c r="L16" s="6" t="s">
        <v>29</v>
      </c>
      <c r="M16" s="6" t="s">
        <v>49</v>
      </c>
      <c r="N16" s="6" t="s">
        <v>58</v>
      </c>
      <c r="O16" s="6">
        <v>5</v>
      </c>
      <c r="P16" s="6" t="s">
        <v>45</v>
      </c>
      <c r="Q16" s="6" t="s">
        <v>63</v>
      </c>
      <c r="R16" s="6" t="s">
        <v>77</v>
      </c>
      <c r="S16" s="6">
        <f t="shared" si="3"/>
        <v>1</v>
      </c>
      <c r="T16" s="6">
        <f t="shared" si="4"/>
        <v>1</v>
      </c>
      <c r="U16" s="6">
        <f t="shared" si="4"/>
        <v>0</v>
      </c>
      <c r="V16" s="6">
        <f t="shared" si="4"/>
        <v>1</v>
      </c>
      <c r="W16" s="6">
        <f t="shared" si="4"/>
        <v>0</v>
      </c>
      <c r="X16" s="6">
        <f t="shared" si="4"/>
        <v>1</v>
      </c>
      <c r="Y16" s="6">
        <f t="shared" si="4"/>
        <v>0</v>
      </c>
      <c r="Z16" s="6">
        <f t="shared" si="4"/>
        <v>0</v>
      </c>
      <c r="AA16" s="6">
        <f t="shared" si="4"/>
        <v>0</v>
      </c>
      <c r="AB16" s="6">
        <f t="shared" si="4"/>
        <v>1</v>
      </c>
      <c r="AC16" s="6" t="s">
        <v>21</v>
      </c>
      <c r="AD16" s="6" t="s">
        <v>23</v>
      </c>
      <c r="AE16" s="6" t="s">
        <v>24</v>
      </c>
      <c r="AF16" s="6" t="s">
        <v>48</v>
      </c>
    </row>
    <row r="17" spans="1:32" x14ac:dyDescent="0.3">
      <c r="A17" s="7">
        <v>16</v>
      </c>
      <c r="B17" s="7" t="s">
        <v>14</v>
      </c>
      <c r="C17" s="7">
        <f t="shared" si="2"/>
        <v>0</v>
      </c>
      <c r="D17" s="7">
        <f t="shared" si="0"/>
        <v>1</v>
      </c>
      <c r="E17" s="7">
        <f t="shared" si="0"/>
        <v>0</v>
      </c>
      <c r="F17" s="7">
        <f t="shared" si="0"/>
        <v>0</v>
      </c>
      <c r="G17" s="7">
        <f t="shared" si="0"/>
        <v>1</v>
      </c>
      <c r="H17" s="7">
        <f t="shared" si="0"/>
        <v>1</v>
      </c>
      <c r="I17" s="8" t="s">
        <v>27</v>
      </c>
      <c r="J17" s="8" t="s">
        <v>43</v>
      </c>
      <c r="K17" s="8" t="str">
        <f>_xlfn.XLOOKUP(J17,Worksheet!$F$1:$F$48,Worksheet!$G$1:$G$48,0)</f>
        <v>Lack of awareness</v>
      </c>
      <c r="L17" s="8" t="s">
        <v>29</v>
      </c>
      <c r="M17" s="8" t="s">
        <v>15</v>
      </c>
      <c r="N17" s="8" t="s">
        <v>51</v>
      </c>
      <c r="O17" s="8">
        <v>5</v>
      </c>
      <c r="P17" s="8" t="s">
        <v>45</v>
      </c>
      <c r="Q17" s="8" t="s">
        <v>46</v>
      </c>
      <c r="R17" s="8" t="s">
        <v>78</v>
      </c>
      <c r="S17" s="8">
        <f t="shared" si="3"/>
        <v>1</v>
      </c>
      <c r="T17" s="8">
        <f t="shared" si="4"/>
        <v>1</v>
      </c>
      <c r="U17" s="8">
        <f t="shared" si="4"/>
        <v>0</v>
      </c>
      <c r="V17" s="8">
        <f t="shared" si="4"/>
        <v>1</v>
      </c>
      <c r="W17" s="8">
        <f t="shared" si="4"/>
        <v>1</v>
      </c>
      <c r="X17" s="8">
        <f t="shared" si="4"/>
        <v>1</v>
      </c>
      <c r="Y17" s="8">
        <f t="shared" si="4"/>
        <v>1</v>
      </c>
      <c r="Z17" s="8">
        <f t="shared" si="4"/>
        <v>1</v>
      </c>
      <c r="AA17" s="8">
        <f t="shared" si="4"/>
        <v>0</v>
      </c>
      <c r="AB17" s="8">
        <f t="shared" si="4"/>
        <v>1</v>
      </c>
      <c r="AC17" s="8" t="s">
        <v>21</v>
      </c>
      <c r="AD17" s="8" t="s">
        <v>23</v>
      </c>
      <c r="AE17" s="8" t="s">
        <v>24</v>
      </c>
      <c r="AF17" s="8" t="s">
        <v>25</v>
      </c>
    </row>
    <row r="18" spans="1:32" x14ac:dyDescent="0.3">
      <c r="A18" s="5">
        <v>17</v>
      </c>
      <c r="B18" s="5" t="s">
        <v>41</v>
      </c>
      <c r="C18" s="5">
        <f t="shared" si="2"/>
        <v>0</v>
      </c>
      <c r="D18" s="5">
        <f t="shared" si="2"/>
        <v>0</v>
      </c>
      <c r="E18" s="5">
        <f t="shared" si="2"/>
        <v>0</v>
      </c>
      <c r="F18" s="5">
        <f t="shared" si="2"/>
        <v>0</v>
      </c>
      <c r="G18" s="5">
        <f t="shared" si="2"/>
        <v>1</v>
      </c>
      <c r="H18" s="5">
        <f t="shared" si="2"/>
        <v>0</v>
      </c>
      <c r="I18" s="6" t="s">
        <v>15</v>
      </c>
      <c r="J18" s="6" t="s">
        <v>79</v>
      </c>
      <c r="K18" s="6" t="str">
        <f>_xlfn.XLOOKUP(J18,Worksheet!$F$1:$F$48,Worksheet!$G$1:$G$48,0)</f>
        <v>Never done</v>
      </c>
      <c r="L18" s="6" t="s">
        <v>17</v>
      </c>
      <c r="M18" s="6" t="s">
        <v>30</v>
      </c>
      <c r="N18" s="6" t="s">
        <v>58</v>
      </c>
      <c r="O18" s="6">
        <v>4</v>
      </c>
      <c r="P18" s="6" t="s">
        <v>45</v>
      </c>
      <c r="Q18" s="6" t="s">
        <v>63</v>
      </c>
      <c r="R18" s="6" t="s">
        <v>80</v>
      </c>
      <c r="S18" s="6">
        <f t="shared" si="3"/>
        <v>1</v>
      </c>
      <c r="T18" s="6">
        <f t="shared" si="4"/>
        <v>0</v>
      </c>
      <c r="U18" s="6">
        <f t="shared" si="4"/>
        <v>0</v>
      </c>
      <c r="V18" s="6">
        <f t="shared" si="4"/>
        <v>1</v>
      </c>
      <c r="W18" s="6">
        <f t="shared" si="4"/>
        <v>1</v>
      </c>
      <c r="X18" s="6">
        <f t="shared" si="4"/>
        <v>0</v>
      </c>
      <c r="Y18" s="6">
        <f t="shared" si="4"/>
        <v>1</v>
      </c>
      <c r="Z18" s="6">
        <f t="shared" si="4"/>
        <v>1</v>
      </c>
      <c r="AA18" s="6">
        <f t="shared" si="4"/>
        <v>0</v>
      </c>
      <c r="AB18" s="6">
        <f t="shared" si="4"/>
        <v>0</v>
      </c>
      <c r="AC18" s="6" t="s">
        <v>25</v>
      </c>
      <c r="AD18" s="6" t="s">
        <v>23</v>
      </c>
      <c r="AE18" s="6" t="s">
        <v>24</v>
      </c>
      <c r="AF18" s="6" t="s">
        <v>48</v>
      </c>
    </row>
    <row r="19" spans="1:32" x14ac:dyDescent="0.3">
      <c r="A19" s="7">
        <v>18</v>
      </c>
      <c r="B19" s="7" t="s">
        <v>55</v>
      </c>
      <c r="C19" s="7">
        <f t="shared" si="2"/>
        <v>0</v>
      </c>
      <c r="D19" s="7">
        <f t="shared" si="2"/>
        <v>0</v>
      </c>
      <c r="E19" s="7">
        <f t="shared" si="2"/>
        <v>0</v>
      </c>
      <c r="F19" s="7">
        <f t="shared" si="2"/>
        <v>0</v>
      </c>
      <c r="G19" s="7">
        <f t="shared" si="2"/>
        <v>0</v>
      </c>
      <c r="H19" s="7">
        <f t="shared" si="2"/>
        <v>1</v>
      </c>
      <c r="I19" s="8" t="s">
        <v>15</v>
      </c>
      <c r="J19" s="8" t="s">
        <v>43</v>
      </c>
      <c r="K19" s="8" t="str">
        <f>_xlfn.XLOOKUP(J19,Worksheet!$F$1:$F$48,Worksheet!$G$1:$G$48,0)</f>
        <v>Lack of awareness</v>
      </c>
      <c r="L19" s="8" t="s">
        <v>37</v>
      </c>
      <c r="M19" s="8" t="s">
        <v>30</v>
      </c>
      <c r="N19" s="8" t="s">
        <v>51</v>
      </c>
      <c r="O19" s="8">
        <v>3</v>
      </c>
      <c r="P19" s="8" t="s">
        <v>45</v>
      </c>
      <c r="Q19" s="8" t="s">
        <v>52</v>
      </c>
      <c r="R19" s="8" t="s">
        <v>47</v>
      </c>
      <c r="S19" s="8">
        <f t="shared" si="3"/>
        <v>0</v>
      </c>
      <c r="T19" s="8">
        <f t="shared" si="4"/>
        <v>0</v>
      </c>
      <c r="U19" s="8">
        <f t="shared" si="4"/>
        <v>1</v>
      </c>
      <c r="V19" s="8">
        <f t="shared" si="4"/>
        <v>0</v>
      </c>
      <c r="W19" s="8">
        <f t="shared" si="4"/>
        <v>0</v>
      </c>
      <c r="X19" s="8">
        <f t="shared" si="4"/>
        <v>0</v>
      </c>
      <c r="Y19" s="8">
        <f t="shared" si="4"/>
        <v>0</v>
      </c>
      <c r="Z19" s="8">
        <f t="shared" si="4"/>
        <v>0</v>
      </c>
      <c r="AA19" s="8">
        <f t="shared" si="4"/>
        <v>0</v>
      </c>
      <c r="AB19" s="8">
        <f t="shared" si="4"/>
        <v>0</v>
      </c>
      <c r="AC19" s="8" t="s">
        <v>21</v>
      </c>
      <c r="AD19" s="8" t="s">
        <v>40</v>
      </c>
      <c r="AE19" s="8" t="s">
        <v>24</v>
      </c>
      <c r="AF19" s="8" t="s">
        <v>25</v>
      </c>
    </row>
    <row r="20" spans="1:32" x14ac:dyDescent="0.3">
      <c r="A20" s="5">
        <v>19</v>
      </c>
      <c r="B20" s="5" t="s">
        <v>68</v>
      </c>
      <c r="C20" s="5">
        <f t="shared" si="2"/>
        <v>0</v>
      </c>
      <c r="D20" s="5">
        <f t="shared" si="2"/>
        <v>1</v>
      </c>
      <c r="E20" s="5">
        <f t="shared" si="2"/>
        <v>0</v>
      </c>
      <c r="F20" s="5">
        <f t="shared" si="2"/>
        <v>0</v>
      </c>
      <c r="G20" s="5">
        <f t="shared" si="2"/>
        <v>0</v>
      </c>
      <c r="H20" s="5">
        <f t="shared" si="2"/>
        <v>0</v>
      </c>
      <c r="I20" s="6" t="s">
        <v>15</v>
      </c>
      <c r="J20" s="6" t="s">
        <v>43</v>
      </c>
      <c r="K20" s="6" t="str">
        <f>_xlfn.XLOOKUP(J20,Worksheet!$F$1:$F$48,Worksheet!$G$1:$G$48,0)</f>
        <v>Lack of awareness</v>
      </c>
      <c r="L20" s="6" t="s">
        <v>29</v>
      </c>
      <c r="M20" s="6" t="s">
        <v>15</v>
      </c>
      <c r="N20" s="6" t="s">
        <v>44</v>
      </c>
      <c r="O20" s="6">
        <v>2</v>
      </c>
      <c r="P20" s="6" t="s">
        <v>45</v>
      </c>
      <c r="Q20" s="6" t="s">
        <v>63</v>
      </c>
      <c r="R20" s="6" t="s">
        <v>81</v>
      </c>
      <c r="S20" s="6">
        <f t="shared" si="3"/>
        <v>1</v>
      </c>
      <c r="T20" s="6">
        <f t="shared" si="4"/>
        <v>0</v>
      </c>
      <c r="U20" s="6">
        <f t="shared" si="4"/>
        <v>0</v>
      </c>
      <c r="V20" s="6">
        <f t="shared" si="4"/>
        <v>1</v>
      </c>
      <c r="W20" s="6">
        <f t="shared" si="4"/>
        <v>0</v>
      </c>
      <c r="X20" s="6">
        <f t="shared" si="4"/>
        <v>1</v>
      </c>
      <c r="Y20" s="6">
        <f t="shared" si="4"/>
        <v>0</v>
      </c>
      <c r="Z20" s="6">
        <f t="shared" si="4"/>
        <v>0</v>
      </c>
      <c r="AA20" s="6">
        <f t="shared" si="4"/>
        <v>1</v>
      </c>
      <c r="AB20" s="6">
        <f t="shared" si="4"/>
        <v>0</v>
      </c>
      <c r="AC20" s="6" t="s">
        <v>21</v>
      </c>
      <c r="AD20" s="6" t="s">
        <v>23</v>
      </c>
      <c r="AE20" s="6" t="s">
        <v>24</v>
      </c>
      <c r="AF20" s="6" t="s">
        <v>82</v>
      </c>
    </row>
    <row r="21" spans="1:32" x14ac:dyDescent="0.3">
      <c r="A21" s="7">
        <v>20</v>
      </c>
      <c r="B21" s="7" t="s">
        <v>14</v>
      </c>
      <c r="C21" s="7">
        <f t="shared" si="2"/>
        <v>0</v>
      </c>
      <c r="D21" s="7">
        <f t="shared" si="2"/>
        <v>1</v>
      </c>
      <c r="E21" s="7">
        <f t="shared" si="2"/>
        <v>0</v>
      </c>
      <c r="F21" s="7">
        <f t="shared" si="2"/>
        <v>0</v>
      </c>
      <c r="G21" s="7">
        <f t="shared" si="2"/>
        <v>1</v>
      </c>
      <c r="H21" s="7">
        <f t="shared" si="2"/>
        <v>1</v>
      </c>
      <c r="I21" s="8" t="s">
        <v>15</v>
      </c>
      <c r="J21" s="8" t="s">
        <v>83</v>
      </c>
      <c r="K21" s="8" t="str">
        <f>_xlfn.XLOOKUP(J21,Worksheet!$F$1:$F$48,Worksheet!$G$1:$G$48,0)</f>
        <v>Fear</v>
      </c>
      <c r="L21" s="8" t="s">
        <v>17</v>
      </c>
      <c r="M21" s="8" t="s">
        <v>18</v>
      </c>
      <c r="N21" s="8" t="s">
        <v>51</v>
      </c>
      <c r="O21" s="8">
        <v>5</v>
      </c>
      <c r="P21" s="8" t="s">
        <v>84</v>
      </c>
      <c r="Q21" s="8" t="s">
        <v>63</v>
      </c>
      <c r="R21" s="8" t="s">
        <v>85</v>
      </c>
      <c r="S21" s="8">
        <f t="shared" si="3"/>
        <v>1</v>
      </c>
      <c r="T21" s="8">
        <f t="shared" si="4"/>
        <v>1</v>
      </c>
      <c r="U21" s="8">
        <f t="shared" si="4"/>
        <v>1</v>
      </c>
      <c r="V21" s="8">
        <f t="shared" si="4"/>
        <v>1</v>
      </c>
      <c r="W21" s="8">
        <f t="shared" si="4"/>
        <v>1</v>
      </c>
      <c r="X21" s="8">
        <f t="shared" si="4"/>
        <v>0</v>
      </c>
      <c r="Y21" s="8">
        <f t="shared" si="4"/>
        <v>0</v>
      </c>
      <c r="Z21" s="8">
        <f t="shared" si="4"/>
        <v>0</v>
      </c>
      <c r="AA21" s="8">
        <f t="shared" si="4"/>
        <v>0</v>
      </c>
      <c r="AB21" s="8">
        <f t="shared" si="4"/>
        <v>0</v>
      </c>
      <c r="AC21" s="8" t="s">
        <v>21</v>
      </c>
      <c r="AD21" s="8" t="s">
        <v>34</v>
      </c>
      <c r="AE21" s="8" t="s">
        <v>24</v>
      </c>
      <c r="AF21" s="8" t="s">
        <v>21</v>
      </c>
    </row>
    <row r="22" spans="1:32" x14ac:dyDescent="0.3">
      <c r="A22" s="5">
        <v>21</v>
      </c>
      <c r="B22" s="5" t="s">
        <v>66</v>
      </c>
      <c r="C22" s="5">
        <f t="shared" si="2"/>
        <v>0</v>
      </c>
      <c r="D22" s="5">
        <f t="shared" si="2"/>
        <v>1</v>
      </c>
      <c r="E22" s="5">
        <f t="shared" si="2"/>
        <v>0</v>
      </c>
      <c r="F22" s="5">
        <f t="shared" si="2"/>
        <v>0</v>
      </c>
      <c r="G22" s="5">
        <f t="shared" si="2"/>
        <v>0</v>
      </c>
      <c r="H22" s="5">
        <f t="shared" si="2"/>
        <v>1</v>
      </c>
      <c r="I22" s="6" t="s">
        <v>49</v>
      </c>
      <c r="J22" s="6" t="s">
        <v>43</v>
      </c>
      <c r="K22" s="6" t="str">
        <f>_xlfn.XLOOKUP(J22,Worksheet!$F$1:$F$48,Worksheet!$G$1:$G$48,0)</f>
        <v>Lack of awareness</v>
      </c>
      <c r="L22" s="6" t="s">
        <v>50</v>
      </c>
      <c r="M22" s="6" t="s">
        <v>30</v>
      </c>
      <c r="N22" s="6" t="s">
        <v>51</v>
      </c>
      <c r="O22" s="6">
        <v>5</v>
      </c>
      <c r="P22" s="6" t="s">
        <v>45</v>
      </c>
      <c r="Q22" s="6" t="s">
        <v>46</v>
      </c>
      <c r="R22" s="6" t="s">
        <v>67</v>
      </c>
      <c r="S22" s="6">
        <f t="shared" si="3"/>
        <v>1</v>
      </c>
      <c r="T22" s="6">
        <f t="shared" si="4"/>
        <v>1</v>
      </c>
      <c r="U22" s="6">
        <f t="shared" si="4"/>
        <v>1</v>
      </c>
      <c r="V22" s="6">
        <f t="shared" si="4"/>
        <v>1</v>
      </c>
      <c r="W22" s="6">
        <f t="shared" si="4"/>
        <v>1</v>
      </c>
      <c r="X22" s="6">
        <f t="shared" si="4"/>
        <v>1</v>
      </c>
      <c r="Y22" s="6">
        <f t="shared" si="4"/>
        <v>1</v>
      </c>
      <c r="Z22" s="6">
        <f t="shared" si="4"/>
        <v>1</v>
      </c>
      <c r="AA22" s="6">
        <f t="shared" si="4"/>
        <v>1</v>
      </c>
      <c r="AB22" s="6">
        <f t="shared" si="4"/>
        <v>1</v>
      </c>
      <c r="AC22" s="6" t="s">
        <v>21</v>
      </c>
      <c r="AD22" s="6" t="s">
        <v>23</v>
      </c>
      <c r="AE22" s="6" t="s">
        <v>24</v>
      </c>
      <c r="AF22" s="6" t="s">
        <v>48</v>
      </c>
    </row>
    <row r="23" spans="1:32" x14ac:dyDescent="0.3">
      <c r="A23" s="7">
        <v>22</v>
      </c>
      <c r="B23" s="7" t="s">
        <v>61</v>
      </c>
      <c r="C23" s="7">
        <f t="shared" si="2"/>
        <v>1</v>
      </c>
      <c r="D23" s="7">
        <f t="shared" si="2"/>
        <v>1</v>
      </c>
      <c r="E23" s="7">
        <f t="shared" si="2"/>
        <v>0</v>
      </c>
      <c r="F23" s="7">
        <f t="shared" si="2"/>
        <v>0</v>
      </c>
      <c r="G23" s="7">
        <f t="shared" si="2"/>
        <v>1</v>
      </c>
      <c r="H23" s="7">
        <f t="shared" si="2"/>
        <v>1</v>
      </c>
      <c r="I23" s="8" t="s">
        <v>27</v>
      </c>
      <c r="J23" s="8" t="s">
        <v>16</v>
      </c>
      <c r="K23" s="8" t="str">
        <f>_xlfn.XLOOKUP(J23,Worksheet!$F$1:$F$48,Worksheet!$G$1:$G$48,0)</f>
        <v>Cost</v>
      </c>
      <c r="L23" s="8" t="s">
        <v>50</v>
      </c>
      <c r="M23" s="8" t="s">
        <v>49</v>
      </c>
      <c r="N23" s="8" t="s">
        <v>44</v>
      </c>
      <c r="O23" s="8">
        <v>5</v>
      </c>
      <c r="P23" s="8" t="s">
        <v>45</v>
      </c>
      <c r="Q23" s="8" t="s">
        <v>46</v>
      </c>
      <c r="R23" s="8" t="s">
        <v>86</v>
      </c>
      <c r="S23" s="8">
        <f t="shared" si="3"/>
        <v>1</v>
      </c>
      <c r="T23" s="8">
        <f t="shared" si="4"/>
        <v>1</v>
      </c>
      <c r="U23" s="8">
        <f t="shared" si="4"/>
        <v>1</v>
      </c>
      <c r="V23" s="8">
        <f t="shared" si="4"/>
        <v>1</v>
      </c>
      <c r="W23" s="8">
        <f t="shared" si="4"/>
        <v>1</v>
      </c>
      <c r="X23" s="8">
        <f t="shared" si="4"/>
        <v>1</v>
      </c>
      <c r="Y23" s="8">
        <f t="shared" si="4"/>
        <v>1</v>
      </c>
      <c r="Z23" s="8">
        <f t="shared" si="4"/>
        <v>1</v>
      </c>
      <c r="AA23" s="8">
        <f t="shared" si="4"/>
        <v>1</v>
      </c>
      <c r="AB23" s="8">
        <f t="shared" si="4"/>
        <v>0</v>
      </c>
      <c r="AC23" s="8" t="s">
        <v>21</v>
      </c>
      <c r="AD23" s="8" t="s">
        <v>23</v>
      </c>
      <c r="AE23" s="8" t="s">
        <v>24</v>
      </c>
      <c r="AF23" s="8" t="s">
        <v>25</v>
      </c>
    </row>
    <row r="24" spans="1:32" x14ac:dyDescent="0.3">
      <c r="A24" s="5">
        <v>23</v>
      </c>
      <c r="B24" s="5" t="s">
        <v>61</v>
      </c>
      <c r="C24" s="5">
        <f t="shared" si="2"/>
        <v>1</v>
      </c>
      <c r="D24" s="5">
        <f t="shared" si="2"/>
        <v>1</v>
      </c>
      <c r="E24" s="5">
        <f t="shared" si="2"/>
        <v>0</v>
      </c>
      <c r="F24" s="5">
        <f t="shared" si="2"/>
        <v>0</v>
      </c>
      <c r="G24" s="5">
        <f t="shared" si="2"/>
        <v>1</v>
      </c>
      <c r="H24" s="5">
        <f t="shared" si="2"/>
        <v>1</v>
      </c>
      <c r="I24" s="6" t="s">
        <v>15</v>
      </c>
      <c r="J24" s="6" t="s">
        <v>16</v>
      </c>
      <c r="K24" s="6" t="str">
        <f>_xlfn.XLOOKUP(J24,Worksheet!$F$1:$F$48,Worksheet!$G$1:$G$48,0)</f>
        <v>Cost</v>
      </c>
      <c r="L24" s="6" t="s">
        <v>29</v>
      </c>
      <c r="M24" s="6" t="s">
        <v>30</v>
      </c>
      <c r="N24" s="6" t="s">
        <v>70</v>
      </c>
      <c r="O24" s="6">
        <v>5</v>
      </c>
      <c r="P24" s="6" t="s">
        <v>72</v>
      </c>
      <c r="Q24" s="6" t="s">
        <v>63</v>
      </c>
      <c r="R24" s="6" t="s">
        <v>87</v>
      </c>
      <c r="S24" s="6">
        <f t="shared" si="3"/>
        <v>0</v>
      </c>
      <c r="T24" s="6">
        <f t="shared" si="4"/>
        <v>0</v>
      </c>
      <c r="U24" s="6">
        <f t="shared" si="4"/>
        <v>0</v>
      </c>
      <c r="V24" s="6">
        <f t="shared" si="4"/>
        <v>0</v>
      </c>
      <c r="W24" s="6">
        <f t="shared" si="4"/>
        <v>0</v>
      </c>
      <c r="X24" s="6">
        <f t="shared" si="4"/>
        <v>1</v>
      </c>
      <c r="Y24" s="6">
        <f t="shared" si="4"/>
        <v>1</v>
      </c>
      <c r="Z24" s="6">
        <f t="shared" si="4"/>
        <v>1</v>
      </c>
      <c r="AA24" s="6">
        <f t="shared" si="4"/>
        <v>1</v>
      </c>
      <c r="AB24" s="6">
        <f t="shared" si="4"/>
        <v>0</v>
      </c>
      <c r="AC24" s="6" t="s">
        <v>21</v>
      </c>
      <c r="AD24" s="6" t="s">
        <v>34</v>
      </c>
      <c r="AE24" s="6" t="s">
        <v>54</v>
      </c>
      <c r="AF24" s="6" t="s">
        <v>48</v>
      </c>
    </row>
    <row r="25" spans="1:32" x14ac:dyDescent="0.3">
      <c r="A25" s="7">
        <v>24</v>
      </c>
      <c r="B25" s="7" t="s">
        <v>68</v>
      </c>
      <c r="C25" s="7">
        <f t="shared" si="2"/>
        <v>0</v>
      </c>
      <c r="D25" s="7">
        <f t="shared" si="2"/>
        <v>1</v>
      </c>
      <c r="E25" s="7">
        <f t="shared" si="2"/>
        <v>0</v>
      </c>
      <c r="F25" s="7">
        <f t="shared" si="2"/>
        <v>0</v>
      </c>
      <c r="G25" s="7">
        <f t="shared" si="2"/>
        <v>0</v>
      </c>
      <c r="H25" s="7">
        <f t="shared" si="2"/>
        <v>0</v>
      </c>
      <c r="I25" s="8" t="s">
        <v>49</v>
      </c>
      <c r="J25" s="8" t="s">
        <v>43</v>
      </c>
      <c r="K25" s="8" t="str">
        <f>_xlfn.XLOOKUP(J25,Worksheet!$F$1:$F$48,Worksheet!$G$1:$G$48,0)</f>
        <v>Lack of awareness</v>
      </c>
      <c r="L25" s="8" t="s">
        <v>29</v>
      </c>
      <c r="M25" s="8" t="s">
        <v>30</v>
      </c>
      <c r="N25" s="8" t="s">
        <v>44</v>
      </c>
      <c r="O25" s="8">
        <v>4</v>
      </c>
      <c r="P25" s="8" t="s">
        <v>45</v>
      </c>
      <c r="Q25" s="8" t="s">
        <v>46</v>
      </c>
      <c r="R25" s="8" t="s">
        <v>56</v>
      </c>
      <c r="S25" s="8">
        <f t="shared" si="3"/>
        <v>1</v>
      </c>
      <c r="T25" s="8">
        <f t="shared" si="4"/>
        <v>0</v>
      </c>
      <c r="U25" s="8">
        <f t="shared" si="4"/>
        <v>0</v>
      </c>
      <c r="V25" s="8">
        <f t="shared" si="4"/>
        <v>0</v>
      </c>
      <c r="W25" s="8">
        <f t="shared" si="4"/>
        <v>0</v>
      </c>
      <c r="X25" s="8">
        <f t="shared" si="4"/>
        <v>0</v>
      </c>
      <c r="Y25" s="8">
        <f t="shared" si="4"/>
        <v>0</v>
      </c>
      <c r="Z25" s="8">
        <f t="shared" si="4"/>
        <v>0</v>
      </c>
      <c r="AA25" s="8">
        <f t="shared" si="4"/>
        <v>0</v>
      </c>
      <c r="AB25" s="8">
        <f t="shared" si="4"/>
        <v>0</v>
      </c>
      <c r="AC25" s="8" t="s">
        <v>21</v>
      </c>
      <c r="AD25" s="8" t="s">
        <v>34</v>
      </c>
      <c r="AE25" s="8" t="s">
        <v>88</v>
      </c>
      <c r="AF25" s="8" t="s">
        <v>48</v>
      </c>
    </row>
    <row r="26" spans="1:32" x14ac:dyDescent="0.3">
      <c r="A26" s="5">
        <v>25</v>
      </c>
      <c r="B26" s="5" t="s">
        <v>68</v>
      </c>
      <c r="C26" s="5">
        <f t="shared" si="2"/>
        <v>0</v>
      </c>
      <c r="D26" s="5">
        <f t="shared" si="2"/>
        <v>1</v>
      </c>
      <c r="E26" s="5">
        <f t="shared" si="2"/>
        <v>0</v>
      </c>
      <c r="F26" s="5">
        <f t="shared" si="2"/>
        <v>0</v>
      </c>
      <c r="G26" s="5">
        <f t="shared" si="2"/>
        <v>0</v>
      </c>
      <c r="H26" s="5">
        <f t="shared" si="2"/>
        <v>0</v>
      </c>
      <c r="I26" s="6" t="s">
        <v>49</v>
      </c>
      <c r="J26" s="6" t="s">
        <v>43</v>
      </c>
      <c r="K26" s="6" t="str">
        <f>_xlfn.XLOOKUP(J26,Worksheet!$F$1:$F$48,Worksheet!$G$1:$G$48,0)</f>
        <v>Lack of awareness</v>
      </c>
      <c r="L26" s="6" t="s">
        <v>356</v>
      </c>
      <c r="M26" s="6" t="s">
        <v>15</v>
      </c>
      <c r="N26" s="6" t="s">
        <v>51</v>
      </c>
      <c r="O26" s="6">
        <v>5</v>
      </c>
      <c r="P26" s="6" t="s">
        <v>45</v>
      </c>
      <c r="Q26" s="6" t="s">
        <v>63</v>
      </c>
      <c r="R26" s="6" t="s">
        <v>60</v>
      </c>
      <c r="S26" s="6">
        <f t="shared" si="3"/>
        <v>1</v>
      </c>
      <c r="T26" s="6">
        <f t="shared" si="4"/>
        <v>0</v>
      </c>
      <c r="U26" s="6">
        <f t="shared" si="4"/>
        <v>1</v>
      </c>
      <c r="V26" s="6">
        <f t="shared" si="4"/>
        <v>0</v>
      </c>
      <c r="W26" s="6">
        <f t="shared" si="4"/>
        <v>0</v>
      </c>
      <c r="X26" s="6">
        <f t="shared" si="4"/>
        <v>0</v>
      </c>
      <c r="Y26" s="6">
        <f t="shared" si="4"/>
        <v>0</v>
      </c>
      <c r="Z26" s="6">
        <f t="shared" si="4"/>
        <v>0</v>
      </c>
      <c r="AA26" s="6">
        <f t="shared" si="4"/>
        <v>0</v>
      </c>
      <c r="AB26" s="6">
        <f t="shared" si="4"/>
        <v>0</v>
      </c>
      <c r="AC26" s="6" t="s">
        <v>21</v>
      </c>
      <c r="AD26" s="6" t="s">
        <v>23</v>
      </c>
      <c r="AE26" s="6" t="s">
        <v>54</v>
      </c>
      <c r="AF26" s="6" t="s">
        <v>25</v>
      </c>
    </row>
    <row r="27" spans="1:32" x14ac:dyDescent="0.3">
      <c r="A27" s="7">
        <v>26</v>
      </c>
      <c r="B27" s="7" t="s">
        <v>339</v>
      </c>
      <c r="C27" s="7">
        <f t="shared" si="2"/>
        <v>1</v>
      </c>
      <c r="D27" s="7">
        <f t="shared" si="2"/>
        <v>1</v>
      </c>
      <c r="E27" s="7">
        <f t="shared" si="2"/>
        <v>1</v>
      </c>
      <c r="F27" s="7">
        <f t="shared" si="2"/>
        <v>0</v>
      </c>
      <c r="G27" s="7">
        <f t="shared" si="2"/>
        <v>1</v>
      </c>
      <c r="H27" s="7">
        <f t="shared" si="2"/>
        <v>1</v>
      </c>
      <c r="I27" s="8" t="s">
        <v>27</v>
      </c>
      <c r="J27" s="8" t="s">
        <v>43</v>
      </c>
      <c r="K27" s="8" t="str">
        <f>_xlfn.XLOOKUP(J27,Worksheet!$F$1:$F$48,Worksheet!$G$1:$G$48,0)</f>
        <v>Lack of awareness</v>
      </c>
      <c r="L27" s="8" t="s">
        <v>37</v>
      </c>
      <c r="M27" s="8" t="s">
        <v>30</v>
      </c>
      <c r="N27" s="8" t="s">
        <v>44</v>
      </c>
      <c r="O27" s="8">
        <v>5</v>
      </c>
      <c r="P27" s="8" t="s">
        <v>45</v>
      </c>
      <c r="Q27" s="8" t="s">
        <v>46</v>
      </c>
      <c r="R27" s="8" t="s">
        <v>85</v>
      </c>
      <c r="S27" s="8">
        <f t="shared" si="3"/>
        <v>1</v>
      </c>
      <c r="T27" s="8">
        <f t="shared" si="4"/>
        <v>1</v>
      </c>
      <c r="U27" s="8">
        <f t="shared" si="4"/>
        <v>1</v>
      </c>
      <c r="V27" s="8">
        <f t="shared" si="4"/>
        <v>1</v>
      </c>
      <c r="W27" s="8">
        <f t="shared" si="4"/>
        <v>1</v>
      </c>
      <c r="X27" s="8">
        <f t="shared" si="4"/>
        <v>0</v>
      </c>
      <c r="Y27" s="8">
        <f t="shared" si="4"/>
        <v>0</v>
      </c>
      <c r="Z27" s="8">
        <f t="shared" si="4"/>
        <v>0</v>
      </c>
      <c r="AA27" s="8">
        <f t="shared" si="4"/>
        <v>0</v>
      </c>
      <c r="AB27" s="8">
        <f t="shared" si="4"/>
        <v>0</v>
      </c>
      <c r="AC27" s="8" t="s">
        <v>25</v>
      </c>
      <c r="AD27" s="8" t="s">
        <v>23</v>
      </c>
      <c r="AE27" s="8" t="s">
        <v>24</v>
      </c>
      <c r="AF27" s="8" t="s">
        <v>48</v>
      </c>
    </row>
    <row r="28" spans="1:32" x14ac:dyDescent="0.3">
      <c r="A28" s="5">
        <v>27</v>
      </c>
      <c r="B28" s="5" t="s">
        <v>68</v>
      </c>
      <c r="C28" s="5">
        <f t="shared" si="2"/>
        <v>0</v>
      </c>
      <c r="D28" s="5">
        <f t="shared" si="2"/>
        <v>1</v>
      </c>
      <c r="E28" s="5">
        <f t="shared" si="2"/>
        <v>0</v>
      </c>
      <c r="F28" s="5">
        <f t="shared" si="2"/>
        <v>0</v>
      </c>
      <c r="G28" s="5">
        <f t="shared" si="2"/>
        <v>0</v>
      </c>
      <c r="H28" s="5">
        <f t="shared" si="2"/>
        <v>0</v>
      </c>
      <c r="I28" s="6" t="s">
        <v>27</v>
      </c>
      <c r="J28" s="6" t="s">
        <v>43</v>
      </c>
      <c r="K28" s="6" t="str">
        <f>_xlfn.XLOOKUP(J28,Worksheet!$F$1:$F$48,Worksheet!$G$1:$G$48,0)</f>
        <v>Lack of awareness</v>
      </c>
      <c r="L28" s="6" t="s">
        <v>356</v>
      </c>
      <c r="M28" s="6" t="s">
        <v>49</v>
      </c>
      <c r="N28" s="6" t="s">
        <v>51</v>
      </c>
      <c r="O28" s="6">
        <v>5</v>
      </c>
      <c r="P28" s="6" t="s">
        <v>45</v>
      </c>
      <c r="Q28" s="6" t="s">
        <v>63</v>
      </c>
      <c r="R28" s="6" t="s">
        <v>90</v>
      </c>
      <c r="S28" s="6">
        <f t="shared" si="3"/>
        <v>0</v>
      </c>
      <c r="T28" s="6">
        <f t="shared" si="4"/>
        <v>0</v>
      </c>
      <c r="U28" s="6">
        <f t="shared" si="4"/>
        <v>0</v>
      </c>
      <c r="V28" s="6">
        <f t="shared" si="4"/>
        <v>0</v>
      </c>
      <c r="W28" s="6">
        <f t="shared" si="4"/>
        <v>0</v>
      </c>
      <c r="X28" s="6">
        <f t="shared" si="4"/>
        <v>0</v>
      </c>
      <c r="Y28" s="6">
        <f t="shared" si="4"/>
        <v>0</v>
      </c>
      <c r="Z28" s="6">
        <f t="shared" si="4"/>
        <v>0</v>
      </c>
      <c r="AA28" s="6">
        <f t="shared" si="4"/>
        <v>1</v>
      </c>
      <c r="AB28" s="6">
        <f t="shared" si="4"/>
        <v>0</v>
      </c>
      <c r="AC28" s="6" t="s">
        <v>21</v>
      </c>
      <c r="AD28" s="6" t="s">
        <v>23</v>
      </c>
      <c r="AE28" s="6" t="s">
        <v>24</v>
      </c>
      <c r="AF28" s="6" t="s">
        <v>25</v>
      </c>
    </row>
    <row r="29" spans="1:32" x14ac:dyDescent="0.3">
      <c r="A29" s="7">
        <v>28</v>
      </c>
      <c r="B29" s="7" t="s">
        <v>91</v>
      </c>
      <c r="C29" s="7">
        <f t="shared" si="2"/>
        <v>1</v>
      </c>
      <c r="D29" s="7">
        <f t="shared" si="2"/>
        <v>1</v>
      </c>
      <c r="E29" s="7">
        <f t="shared" si="2"/>
        <v>0</v>
      </c>
      <c r="F29" s="7">
        <f t="shared" si="2"/>
        <v>0</v>
      </c>
      <c r="G29" s="7">
        <f t="shared" si="2"/>
        <v>1</v>
      </c>
      <c r="H29" s="7">
        <f t="shared" si="2"/>
        <v>0</v>
      </c>
      <c r="I29" s="8" t="s">
        <v>42</v>
      </c>
      <c r="J29" s="8" t="s">
        <v>43</v>
      </c>
      <c r="K29" s="8" t="str">
        <f>_xlfn.XLOOKUP(J29,Worksheet!$F$1:$F$48,Worksheet!$G$1:$G$48,0)</f>
        <v>Lack of awareness</v>
      </c>
      <c r="L29" s="8" t="s">
        <v>50</v>
      </c>
      <c r="M29" s="8" t="s">
        <v>15</v>
      </c>
      <c r="N29" s="8" t="s">
        <v>58</v>
      </c>
      <c r="O29" s="8">
        <v>4</v>
      </c>
      <c r="P29" s="8" t="s">
        <v>45</v>
      </c>
      <c r="Q29" s="8" t="s">
        <v>46</v>
      </c>
      <c r="R29" s="8" t="s">
        <v>92</v>
      </c>
      <c r="S29" s="8">
        <f t="shared" si="3"/>
        <v>1</v>
      </c>
      <c r="T29" s="8">
        <f t="shared" si="4"/>
        <v>1</v>
      </c>
      <c r="U29" s="8">
        <f t="shared" si="4"/>
        <v>1</v>
      </c>
      <c r="V29" s="8">
        <f t="shared" si="4"/>
        <v>0</v>
      </c>
      <c r="W29" s="8">
        <f t="shared" si="4"/>
        <v>1</v>
      </c>
      <c r="X29" s="8">
        <f t="shared" si="4"/>
        <v>0</v>
      </c>
      <c r="Y29" s="8">
        <f t="shared" si="4"/>
        <v>1</v>
      </c>
      <c r="Z29" s="8">
        <f t="shared" si="4"/>
        <v>0</v>
      </c>
      <c r="AA29" s="8">
        <f t="shared" si="4"/>
        <v>0</v>
      </c>
      <c r="AB29" s="8">
        <f t="shared" si="4"/>
        <v>1</v>
      </c>
      <c r="AC29" s="8" t="s">
        <v>21</v>
      </c>
      <c r="AD29" s="8" t="s">
        <v>40</v>
      </c>
      <c r="AE29" s="8" t="s">
        <v>24</v>
      </c>
      <c r="AF29" s="8" t="s">
        <v>21</v>
      </c>
    </row>
    <row r="30" spans="1:32" x14ac:dyDescent="0.3">
      <c r="A30" s="5">
        <v>29</v>
      </c>
      <c r="B30" s="5" t="s">
        <v>55</v>
      </c>
      <c r="C30" s="5">
        <f t="shared" si="2"/>
        <v>0</v>
      </c>
      <c r="D30" s="5">
        <f t="shared" si="2"/>
        <v>0</v>
      </c>
      <c r="E30" s="5">
        <f t="shared" si="2"/>
        <v>0</v>
      </c>
      <c r="F30" s="5">
        <f t="shared" si="2"/>
        <v>0</v>
      </c>
      <c r="G30" s="5">
        <f t="shared" si="2"/>
        <v>0</v>
      </c>
      <c r="H30" s="5">
        <f t="shared" si="2"/>
        <v>1</v>
      </c>
      <c r="I30" s="6" t="s">
        <v>27</v>
      </c>
      <c r="J30" s="6" t="s">
        <v>93</v>
      </c>
      <c r="K30" s="6" t="str">
        <f>_xlfn.XLOOKUP(J30,Worksheet!$F$1:$F$48,Worksheet!$G$1:$G$48,0)</f>
        <v>NA</v>
      </c>
      <c r="L30" s="6" t="s">
        <v>356</v>
      </c>
      <c r="M30" s="6" t="s">
        <v>30</v>
      </c>
      <c r="N30" s="6" t="s">
        <v>51</v>
      </c>
      <c r="O30" s="6">
        <v>4</v>
      </c>
      <c r="P30" s="6" t="s">
        <v>59</v>
      </c>
      <c r="Q30" s="6" t="s">
        <v>52</v>
      </c>
      <c r="R30" s="6" t="s">
        <v>94</v>
      </c>
      <c r="S30" s="6">
        <f t="shared" si="3"/>
        <v>0</v>
      </c>
      <c r="T30" s="6">
        <f t="shared" si="4"/>
        <v>0</v>
      </c>
      <c r="U30" s="6">
        <f t="shared" si="4"/>
        <v>0</v>
      </c>
      <c r="V30" s="6">
        <f t="shared" si="4"/>
        <v>1</v>
      </c>
      <c r="W30" s="6">
        <f t="shared" si="4"/>
        <v>0</v>
      </c>
      <c r="X30" s="6">
        <f t="shared" si="4"/>
        <v>1</v>
      </c>
      <c r="Y30" s="6">
        <f t="shared" si="4"/>
        <v>0</v>
      </c>
      <c r="Z30" s="6">
        <f t="shared" si="4"/>
        <v>1</v>
      </c>
      <c r="AA30" s="6">
        <f t="shared" si="4"/>
        <v>0</v>
      </c>
      <c r="AB30" s="6">
        <f t="shared" si="4"/>
        <v>1</v>
      </c>
      <c r="AC30" s="6" t="s">
        <v>25</v>
      </c>
      <c r="AD30" s="6" t="s">
        <v>34</v>
      </c>
      <c r="AE30" s="6" t="s">
        <v>54</v>
      </c>
      <c r="AF30" s="6" t="s">
        <v>25</v>
      </c>
    </row>
    <row r="31" spans="1:32" x14ac:dyDescent="0.3">
      <c r="A31" s="7">
        <v>30</v>
      </c>
      <c r="B31" s="7" t="s">
        <v>68</v>
      </c>
      <c r="C31" s="7">
        <f t="shared" si="2"/>
        <v>0</v>
      </c>
      <c r="D31" s="7">
        <f t="shared" si="2"/>
        <v>1</v>
      </c>
      <c r="E31" s="7">
        <f t="shared" si="2"/>
        <v>0</v>
      </c>
      <c r="F31" s="7">
        <f t="shared" si="2"/>
        <v>0</v>
      </c>
      <c r="G31" s="7">
        <f t="shared" si="2"/>
        <v>0</v>
      </c>
      <c r="H31" s="7">
        <f t="shared" si="2"/>
        <v>0</v>
      </c>
      <c r="I31" s="8" t="s">
        <v>27</v>
      </c>
      <c r="J31" s="8" t="s">
        <v>83</v>
      </c>
      <c r="K31" s="8" t="str">
        <f>_xlfn.XLOOKUP(J31,Worksheet!$F$1:$F$48,Worksheet!$G$1:$G$48,0)</f>
        <v>Fear</v>
      </c>
      <c r="L31" s="8" t="s">
        <v>356</v>
      </c>
      <c r="M31" s="8" t="s">
        <v>15</v>
      </c>
      <c r="N31" s="8" t="s">
        <v>58</v>
      </c>
      <c r="O31" s="8">
        <v>1</v>
      </c>
      <c r="P31" s="8" t="s">
        <v>45</v>
      </c>
      <c r="Q31" s="8" t="s">
        <v>46</v>
      </c>
      <c r="R31" s="8" t="s">
        <v>95</v>
      </c>
      <c r="S31" s="8">
        <f t="shared" si="3"/>
        <v>1</v>
      </c>
      <c r="T31" s="8">
        <f t="shared" si="4"/>
        <v>1</v>
      </c>
      <c r="U31" s="8">
        <f t="shared" si="4"/>
        <v>0</v>
      </c>
      <c r="V31" s="8">
        <f t="shared" si="4"/>
        <v>1</v>
      </c>
      <c r="W31" s="8">
        <f t="shared" si="4"/>
        <v>1</v>
      </c>
      <c r="X31" s="8">
        <f t="shared" si="4"/>
        <v>1</v>
      </c>
      <c r="Y31" s="8">
        <f t="shared" si="4"/>
        <v>1</v>
      </c>
      <c r="Z31" s="8">
        <f t="shared" si="4"/>
        <v>0</v>
      </c>
      <c r="AA31" s="8">
        <f t="shared" si="4"/>
        <v>0</v>
      </c>
      <c r="AB31" s="8">
        <f t="shared" si="4"/>
        <v>0</v>
      </c>
      <c r="AC31" s="8" t="s">
        <v>21</v>
      </c>
      <c r="AD31" s="8" t="s">
        <v>23</v>
      </c>
      <c r="AE31" s="8" t="s">
        <v>24</v>
      </c>
      <c r="AF31" s="8" t="s">
        <v>21</v>
      </c>
    </row>
    <row r="32" spans="1:32" x14ac:dyDescent="0.3">
      <c r="A32" s="5">
        <v>31</v>
      </c>
      <c r="B32" s="5" t="s">
        <v>55</v>
      </c>
      <c r="C32" s="5">
        <f t="shared" si="2"/>
        <v>0</v>
      </c>
      <c r="D32" s="5">
        <f t="shared" si="2"/>
        <v>0</v>
      </c>
      <c r="E32" s="5">
        <f t="shared" si="2"/>
        <v>0</v>
      </c>
      <c r="F32" s="5">
        <f t="shared" si="2"/>
        <v>0</v>
      </c>
      <c r="G32" s="5">
        <f t="shared" si="2"/>
        <v>0</v>
      </c>
      <c r="H32" s="5">
        <f t="shared" si="2"/>
        <v>1</v>
      </c>
      <c r="I32" s="6" t="s">
        <v>27</v>
      </c>
      <c r="J32" s="6" t="s">
        <v>36</v>
      </c>
      <c r="K32" s="6" t="str">
        <f>_xlfn.XLOOKUP(J32,Worksheet!$F$1:$F$48,Worksheet!$G$1:$G$48,0)</f>
        <v>Shame</v>
      </c>
      <c r="L32" s="6" t="s">
        <v>37</v>
      </c>
      <c r="M32" s="6" t="s">
        <v>49</v>
      </c>
      <c r="N32" s="6" t="s">
        <v>44</v>
      </c>
      <c r="O32" s="6">
        <v>2</v>
      </c>
      <c r="P32" s="6" t="s">
        <v>45</v>
      </c>
      <c r="Q32" s="6" t="s">
        <v>63</v>
      </c>
      <c r="R32" s="6" t="s">
        <v>96</v>
      </c>
      <c r="S32" s="6">
        <f t="shared" si="3"/>
        <v>0</v>
      </c>
      <c r="T32" s="6">
        <f t="shared" si="4"/>
        <v>0</v>
      </c>
      <c r="U32" s="6">
        <f t="shared" si="4"/>
        <v>0</v>
      </c>
      <c r="V32" s="6">
        <f t="shared" si="4"/>
        <v>1</v>
      </c>
      <c r="W32" s="6">
        <f t="shared" si="4"/>
        <v>0</v>
      </c>
      <c r="X32" s="6">
        <f t="shared" si="4"/>
        <v>0</v>
      </c>
      <c r="Y32" s="6">
        <f t="shared" si="4"/>
        <v>0</v>
      </c>
      <c r="Z32" s="6">
        <f t="shared" si="4"/>
        <v>0</v>
      </c>
      <c r="AA32" s="6">
        <f t="shared" si="4"/>
        <v>0</v>
      </c>
      <c r="AB32" s="6">
        <f t="shared" si="4"/>
        <v>0</v>
      </c>
      <c r="AC32" s="6" t="s">
        <v>21</v>
      </c>
      <c r="AD32" s="6" t="s">
        <v>23</v>
      </c>
      <c r="AE32" s="6" t="s">
        <v>24</v>
      </c>
      <c r="AF32" s="6" t="s">
        <v>48</v>
      </c>
    </row>
    <row r="33" spans="1:32" x14ac:dyDescent="0.3">
      <c r="A33" s="7">
        <v>32</v>
      </c>
      <c r="B33" s="7" t="s">
        <v>340</v>
      </c>
      <c r="C33" s="7">
        <f t="shared" si="2"/>
        <v>0</v>
      </c>
      <c r="D33" s="7">
        <f t="shared" si="2"/>
        <v>0</v>
      </c>
      <c r="E33" s="7">
        <f t="shared" si="2"/>
        <v>1</v>
      </c>
      <c r="F33" s="7">
        <f t="shared" si="2"/>
        <v>0</v>
      </c>
      <c r="G33" s="7">
        <f t="shared" si="2"/>
        <v>0</v>
      </c>
      <c r="H33" s="7">
        <f t="shared" si="2"/>
        <v>0</v>
      </c>
      <c r="I33" s="8" t="s">
        <v>49</v>
      </c>
      <c r="J33" s="8" t="s">
        <v>43</v>
      </c>
      <c r="K33" s="8" t="str">
        <f>_xlfn.XLOOKUP(J33,Worksheet!$F$1:$F$48,Worksheet!$G$1:$G$48,0)</f>
        <v>Lack of awareness</v>
      </c>
      <c r="L33" s="8" t="s">
        <v>98</v>
      </c>
      <c r="M33" s="8" t="s">
        <v>30</v>
      </c>
      <c r="N33" s="8" t="s">
        <v>51</v>
      </c>
      <c r="O33" s="8">
        <v>2</v>
      </c>
      <c r="P33" s="8" t="s">
        <v>45</v>
      </c>
      <c r="Q33" s="8" t="s">
        <v>52</v>
      </c>
      <c r="R33" s="8" t="s">
        <v>99</v>
      </c>
      <c r="S33" s="8">
        <f t="shared" si="3"/>
        <v>1</v>
      </c>
      <c r="T33" s="8">
        <f t="shared" si="4"/>
        <v>1</v>
      </c>
      <c r="U33" s="8">
        <f t="shared" si="4"/>
        <v>0</v>
      </c>
      <c r="V33" s="8">
        <f t="shared" si="4"/>
        <v>0</v>
      </c>
      <c r="W33" s="8">
        <f t="shared" si="4"/>
        <v>0</v>
      </c>
      <c r="X33" s="8">
        <f t="shared" si="4"/>
        <v>0</v>
      </c>
      <c r="Y33" s="8">
        <f t="shared" si="4"/>
        <v>0</v>
      </c>
      <c r="Z33" s="8">
        <f t="shared" si="4"/>
        <v>0</v>
      </c>
      <c r="AA33" s="8">
        <f t="shared" si="4"/>
        <v>0</v>
      </c>
      <c r="AB33" s="8">
        <f t="shared" si="4"/>
        <v>0</v>
      </c>
      <c r="AC33" s="8" t="s">
        <v>25</v>
      </c>
      <c r="AD33" s="8" t="s">
        <v>34</v>
      </c>
      <c r="AE33" s="8" t="s">
        <v>24</v>
      </c>
      <c r="AF33" s="8" t="s">
        <v>21</v>
      </c>
    </row>
    <row r="34" spans="1:32" x14ac:dyDescent="0.3">
      <c r="A34" s="5">
        <v>33</v>
      </c>
      <c r="B34" s="5" t="s">
        <v>100</v>
      </c>
      <c r="C34" s="5">
        <f t="shared" si="2"/>
        <v>1</v>
      </c>
      <c r="D34" s="5">
        <f t="shared" si="2"/>
        <v>0</v>
      </c>
      <c r="E34" s="5">
        <f t="shared" si="2"/>
        <v>0</v>
      </c>
      <c r="F34" s="5">
        <f t="shared" si="2"/>
        <v>0</v>
      </c>
      <c r="G34" s="5">
        <f t="shared" si="2"/>
        <v>0</v>
      </c>
      <c r="H34" s="5">
        <f t="shared" si="2"/>
        <v>0</v>
      </c>
      <c r="I34" s="6" t="s">
        <v>15</v>
      </c>
      <c r="J34" s="6" t="s">
        <v>36</v>
      </c>
      <c r="K34" s="6" t="str">
        <f>_xlfn.XLOOKUP(J34,Worksheet!$F$1:$F$48,Worksheet!$G$1:$G$48,0)</f>
        <v>Shame</v>
      </c>
      <c r="L34" s="6" t="s">
        <v>37</v>
      </c>
      <c r="M34" s="6" t="s">
        <v>15</v>
      </c>
      <c r="N34" s="6" t="s">
        <v>44</v>
      </c>
      <c r="O34" s="6">
        <v>1</v>
      </c>
      <c r="P34" s="6" t="s">
        <v>59</v>
      </c>
      <c r="Q34" s="6" t="s">
        <v>63</v>
      </c>
      <c r="R34" s="6" t="s">
        <v>101</v>
      </c>
      <c r="S34" s="6">
        <f t="shared" si="3"/>
        <v>0</v>
      </c>
      <c r="T34" s="6">
        <f t="shared" si="4"/>
        <v>1</v>
      </c>
      <c r="U34" s="6">
        <f t="shared" si="4"/>
        <v>0</v>
      </c>
      <c r="V34" s="6">
        <f t="shared" si="4"/>
        <v>0</v>
      </c>
      <c r="W34" s="6">
        <f t="shared" si="4"/>
        <v>0</v>
      </c>
      <c r="X34" s="6">
        <f t="shared" si="4"/>
        <v>1</v>
      </c>
      <c r="Y34" s="6">
        <f t="shared" si="4"/>
        <v>0</v>
      </c>
      <c r="Z34" s="6">
        <f t="shared" si="4"/>
        <v>0</v>
      </c>
      <c r="AA34" s="6">
        <f t="shared" si="4"/>
        <v>0</v>
      </c>
      <c r="AB34" s="6">
        <f t="shared" si="4"/>
        <v>0</v>
      </c>
      <c r="AC34" s="6" t="s">
        <v>21</v>
      </c>
      <c r="AD34" s="6" t="s">
        <v>40</v>
      </c>
      <c r="AE34" s="6" t="s">
        <v>24</v>
      </c>
      <c r="AF34" s="6" t="s">
        <v>25</v>
      </c>
    </row>
    <row r="35" spans="1:32" x14ac:dyDescent="0.3">
      <c r="A35" s="7">
        <v>34</v>
      </c>
      <c r="B35" s="7" t="s">
        <v>55</v>
      </c>
      <c r="C35" s="7">
        <f t="shared" si="2"/>
        <v>0</v>
      </c>
      <c r="D35" s="7">
        <f t="shared" si="2"/>
        <v>0</v>
      </c>
      <c r="E35" s="7">
        <f t="shared" si="2"/>
        <v>0</v>
      </c>
      <c r="F35" s="7">
        <f t="shared" si="2"/>
        <v>0</v>
      </c>
      <c r="G35" s="7">
        <f t="shared" si="2"/>
        <v>0</v>
      </c>
      <c r="H35" s="7">
        <f t="shared" si="2"/>
        <v>1</v>
      </c>
      <c r="I35" s="8" t="s">
        <v>15</v>
      </c>
      <c r="J35" s="8" t="s">
        <v>83</v>
      </c>
      <c r="K35" s="8" t="str">
        <f>_xlfn.XLOOKUP(J35,Worksheet!$F$1:$F$48,Worksheet!$G$1:$G$48,0)</f>
        <v>Fear</v>
      </c>
      <c r="L35" s="8" t="s">
        <v>356</v>
      </c>
      <c r="M35" s="8" t="s">
        <v>15</v>
      </c>
      <c r="N35" s="8" t="s">
        <v>44</v>
      </c>
      <c r="O35" s="8">
        <v>3</v>
      </c>
      <c r="P35" s="8" t="s">
        <v>45</v>
      </c>
      <c r="Q35" s="8" t="s">
        <v>46</v>
      </c>
      <c r="R35" s="8" t="s">
        <v>47</v>
      </c>
      <c r="S35" s="8">
        <f t="shared" si="3"/>
        <v>0</v>
      </c>
      <c r="T35" s="8">
        <f t="shared" si="4"/>
        <v>0</v>
      </c>
      <c r="U35" s="8">
        <f t="shared" si="4"/>
        <v>1</v>
      </c>
      <c r="V35" s="8">
        <f t="shared" si="4"/>
        <v>0</v>
      </c>
      <c r="W35" s="8">
        <f t="shared" si="4"/>
        <v>0</v>
      </c>
      <c r="X35" s="8">
        <f t="shared" si="4"/>
        <v>0</v>
      </c>
      <c r="Y35" s="8">
        <f t="shared" si="4"/>
        <v>0</v>
      </c>
      <c r="Z35" s="8">
        <f t="shared" si="4"/>
        <v>0</v>
      </c>
      <c r="AA35" s="8">
        <f t="shared" si="4"/>
        <v>0</v>
      </c>
      <c r="AB35" s="8">
        <f t="shared" si="4"/>
        <v>0</v>
      </c>
      <c r="AC35" s="8" t="s">
        <v>25</v>
      </c>
      <c r="AD35" s="8" t="s">
        <v>23</v>
      </c>
      <c r="AE35" s="8" t="s">
        <v>24</v>
      </c>
      <c r="AF35" s="8" t="s">
        <v>21</v>
      </c>
    </row>
    <row r="36" spans="1:32" x14ac:dyDescent="0.3">
      <c r="A36" s="5">
        <v>35</v>
      </c>
      <c r="B36" s="5" t="s">
        <v>55</v>
      </c>
      <c r="C36" s="5">
        <f t="shared" si="2"/>
        <v>0</v>
      </c>
      <c r="D36" s="5">
        <f t="shared" si="2"/>
        <v>0</v>
      </c>
      <c r="E36" s="5">
        <f t="shared" si="2"/>
        <v>0</v>
      </c>
      <c r="F36" s="5">
        <f t="shared" si="2"/>
        <v>0</v>
      </c>
      <c r="G36" s="5">
        <f t="shared" si="2"/>
        <v>0</v>
      </c>
      <c r="H36" s="5">
        <f t="shared" si="2"/>
        <v>1</v>
      </c>
      <c r="I36" s="6" t="s">
        <v>15</v>
      </c>
      <c r="J36" s="6" t="s">
        <v>83</v>
      </c>
      <c r="K36" s="6" t="str">
        <f>_xlfn.XLOOKUP(J36,Worksheet!$F$1:$F$48,Worksheet!$G$1:$G$48,0)</f>
        <v>Fear</v>
      </c>
      <c r="L36" s="6" t="s">
        <v>17</v>
      </c>
      <c r="M36" s="6" t="s">
        <v>102</v>
      </c>
      <c r="N36" s="6" t="s">
        <v>44</v>
      </c>
      <c r="O36" s="6">
        <v>2</v>
      </c>
      <c r="P36" s="6" t="s">
        <v>45</v>
      </c>
      <c r="Q36" s="6" t="s">
        <v>46</v>
      </c>
      <c r="R36" s="6" t="s">
        <v>60</v>
      </c>
      <c r="S36" s="6">
        <f t="shared" si="3"/>
        <v>1</v>
      </c>
      <c r="T36" s="6">
        <f t="shared" si="4"/>
        <v>0</v>
      </c>
      <c r="U36" s="6">
        <f t="shared" si="4"/>
        <v>1</v>
      </c>
      <c r="V36" s="6">
        <f t="shared" si="4"/>
        <v>0</v>
      </c>
      <c r="W36" s="6">
        <f t="shared" si="4"/>
        <v>0</v>
      </c>
      <c r="X36" s="6">
        <f t="shared" si="4"/>
        <v>0</v>
      </c>
      <c r="Y36" s="6">
        <f t="shared" si="4"/>
        <v>0</v>
      </c>
      <c r="Z36" s="6">
        <f t="shared" si="4"/>
        <v>0</v>
      </c>
      <c r="AA36" s="6">
        <f t="shared" si="4"/>
        <v>0</v>
      </c>
      <c r="AB36" s="6">
        <f t="shared" si="4"/>
        <v>0</v>
      </c>
      <c r="AC36" s="6" t="s">
        <v>21</v>
      </c>
      <c r="AD36" s="6" t="s">
        <v>23</v>
      </c>
      <c r="AE36" s="6" t="s">
        <v>24</v>
      </c>
      <c r="AF36" s="6" t="s">
        <v>25</v>
      </c>
    </row>
    <row r="37" spans="1:32" x14ac:dyDescent="0.3">
      <c r="A37" s="7">
        <v>36</v>
      </c>
      <c r="B37" s="7" t="s">
        <v>55</v>
      </c>
      <c r="C37" s="7">
        <f t="shared" si="2"/>
        <v>0</v>
      </c>
      <c r="D37" s="7">
        <f t="shared" si="2"/>
        <v>0</v>
      </c>
      <c r="E37" s="7">
        <f t="shared" si="2"/>
        <v>0</v>
      </c>
      <c r="F37" s="7">
        <f t="shared" si="2"/>
        <v>0</v>
      </c>
      <c r="G37" s="7">
        <f t="shared" si="2"/>
        <v>0</v>
      </c>
      <c r="H37" s="7">
        <f t="shared" si="2"/>
        <v>1</v>
      </c>
      <c r="I37" s="8" t="s">
        <v>15</v>
      </c>
      <c r="J37" s="8" t="s">
        <v>36</v>
      </c>
      <c r="K37" s="8" t="str">
        <f>_xlfn.XLOOKUP(J37,Worksheet!$F$1:$F$48,Worksheet!$G$1:$G$48,0)</f>
        <v>Shame</v>
      </c>
      <c r="L37" s="8" t="s">
        <v>29</v>
      </c>
      <c r="M37" s="8" t="s">
        <v>49</v>
      </c>
      <c r="N37" s="8" t="s">
        <v>70</v>
      </c>
      <c r="O37" s="8">
        <v>1</v>
      </c>
      <c r="P37" s="8" t="s">
        <v>45</v>
      </c>
      <c r="Q37" s="8" t="s">
        <v>46</v>
      </c>
      <c r="R37" s="8" t="s">
        <v>67</v>
      </c>
      <c r="S37" s="8">
        <f t="shared" si="3"/>
        <v>1</v>
      </c>
      <c r="T37" s="8">
        <f t="shared" si="4"/>
        <v>1</v>
      </c>
      <c r="U37" s="8">
        <f t="shared" si="4"/>
        <v>1</v>
      </c>
      <c r="V37" s="8">
        <f t="shared" si="4"/>
        <v>1</v>
      </c>
      <c r="W37" s="8">
        <f t="shared" si="4"/>
        <v>1</v>
      </c>
      <c r="X37" s="8">
        <f t="shared" si="4"/>
        <v>1</v>
      </c>
      <c r="Y37" s="8">
        <f t="shared" si="4"/>
        <v>1</v>
      </c>
      <c r="Z37" s="8">
        <f t="shared" si="4"/>
        <v>1</v>
      </c>
      <c r="AA37" s="8">
        <f t="shared" si="4"/>
        <v>1</v>
      </c>
      <c r="AB37" s="8">
        <f t="shared" si="4"/>
        <v>1</v>
      </c>
      <c r="AC37" s="8" t="s">
        <v>21</v>
      </c>
      <c r="AD37" s="8" t="s">
        <v>40</v>
      </c>
      <c r="AE37" s="8" t="s">
        <v>24</v>
      </c>
      <c r="AF37" s="8" t="s">
        <v>25</v>
      </c>
    </row>
    <row r="38" spans="1:32" x14ac:dyDescent="0.3">
      <c r="A38" s="5">
        <v>37</v>
      </c>
      <c r="B38" s="5" t="s">
        <v>103</v>
      </c>
      <c r="C38" s="5">
        <f t="shared" si="2"/>
        <v>1</v>
      </c>
      <c r="D38" s="5">
        <f t="shared" si="2"/>
        <v>1</v>
      </c>
      <c r="E38" s="5">
        <f t="shared" si="2"/>
        <v>0</v>
      </c>
      <c r="F38" s="5">
        <f t="shared" si="2"/>
        <v>0</v>
      </c>
      <c r="G38" s="5">
        <f t="shared" si="2"/>
        <v>0</v>
      </c>
      <c r="H38" s="5">
        <f t="shared" si="2"/>
        <v>0</v>
      </c>
      <c r="I38" s="6" t="s">
        <v>15</v>
      </c>
      <c r="J38" s="6" t="s">
        <v>43</v>
      </c>
      <c r="K38" s="6" t="str">
        <f>_xlfn.XLOOKUP(J38,Worksheet!$F$1:$F$48,Worksheet!$G$1:$G$48,0)</f>
        <v>Lack of awareness</v>
      </c>
      <c r="L38" s="6" t="s">
        <v>356</v>
      </c>
      <c r="M38" s="6" t="s">
        <v>102</v>
      </c>
      <c r="N38" s="6" t="s">
        <v>58</v>
      </c>
      <c r="O38" s="6">
        <v>1</v>
      </c>
      <c r="P38" s="6" t="s">
        <v>45</v>
      </c>
      <c r="Q38" s="6" t="s">
        <v>52</v>
      </c>
      <c r="R38" s="6" t="s">
        <v>104</v>
      </c>
      <c r="S38" s="6">
        <f t="shared" si="3"/>
        <v>0</v>
      </c>
      <c r="T38" s="6">
        <f t="shared" si="4"/>
        <v>0</v>
      </c>
      <c r="U38" s="6">
        <f t="shared" si="4"/>
        <v>0</v>
      </c>
      <c r="V38" s="6">
        <f t="shared" si="4"/>
        <v>0</v>
      </c>
      <c r="W38" s="6">
        <f t="shared" si="4"/>
        <v>0</v>
      </c>
      <c r="X38" s="6">
        <f t="shared" si="4"/>
        <v>0</v>
      </c>
      <c r="Y38" s="6">
        <f t="shared" si="4"/>
        <v>0</v>
      </c>
      <c r="Z38" s="6">
        <f t="shared" si="4"/>
        <v>0</v>
      </c>
      <c r="AA38" s="6">
        <f t="shared" si="4"/>
        <v>1</v>
      </c>
      <c r="AB38" s="6">
        <f t="shared" si="4"/>
        <v>0</v>
      </c>
      <c r="AC38" s="6" t="s">
        <v>25</v>
      </c>
      <c r="AD38" s="6" t="s">
        <v>34</v>
      </c>
      <c r="AE38" s="6" t="s">
        <v>24</v>
      </c>
      <c r="AF38" s="6" t="s">
        <v>82</v>
      </c>
    </row>
    <row r="39" spans="1:32" x14ac:dyDescent="0.3">
      <c r="A39" s="7">
        <v>38</v>
      </c>
      <c r="B39" s="7" t="s">
        <v>55</v>
      </c>
      <c r="C39" s="7">
        <f t="shared" si="2"/>
        <v>0</v>
      </c>
      <c r="D39" s="7">
        <f t="shared" si="2"/>
        <v>0</v>
      </c>
      <c r="E39" s="7">
        <f t="shared" si="2"/>
        <v>0</v>
      </c>
      <c r="F39" s="7">
        <f t="shared" si="2"/>
        <v>0</v>
      </c>
      <c r="G39" s="7">
        <f t="shared" si="2"/>
        <v>0</v>
      </c>
      <c r="H39" s="7">
        <f t="shared" si="2"/>
        <v>1</v>
      </c>
      <c r="I39" s="8" t="s">
        <v>15</v>
      </c>
      <c r="J39" s="8" t="s">
        <v>43</v>
      </c>
      <c r="K39" s="8" t="str">
        <f>_xlfn.XLOOKUP(J39,Worksheet!$F$1:$F$48,Worksheet!$G$1:$G$48,0)</f>
        <v>Lack of awareness</v>
      </c>
      <c r="L39" s="8" t="s">
        <v>37</v>
      </c>
      <c r="M39" s="8" t="s">
        <v>15</v>
      </c>
      <c r="N39" s="8" t="s">
        <v>70</v>
      </c>
      <c r="O39" s="8">
        <v>5</v>
      </c>
      <c r="P39" s="8" t="s">
        <v>45</v>
      </c>
      <c r="Q39" s="8" t="s">
        <v>46</v>
      </c>
      <c r="R39" s="8" t="s">
        <v>67</v>
      </c>
      <c r="S39" s="8">
        <f t="shared" si="3"/>
        <v>1</v>
      </c>
      <c r="T39" s="8">
        <f t="shared" si="4"/>
        <v>1</v>
      </c>
      <c r="U39" s="8">
        <f t="shared" si="4"/>
        <v>1</v>
      </c>
      <c r="V39" s="8">
        <f t="shared" si="4"/>
        <v>1</v>
      </c>
      <c r="W39" s="8">
        <f t="shared" si="4"/>
        <v>1</v>
      </c>
      <c r="X39" s="8">
        <f t="shared" si="4"/>
        <v>1</v>
      </c>
      <c r="Y39" s="8">
        <f t="shared" si="4"/>
        <v>1</v>
      </c>
      <c r="Z39" s="8">
        <f t="shared" si="4"/>
        <v>1</v>
      </c>
      <c r="AA39" s="8">
        <f t="shared" si="4"/>
        <v>1</v>
      </c>
      <c r="AB39" s="8">
        <f t="shared" si="4"/>
        <v>1</v>
      </c>
      <c r="AC39" s="8" t="s">
        <v>21</v>
      </c>
      <c r="AD39" s="8" t="s">
        <v>23</v>
      </c>
      <c r="AE39" s="8" t="s">
        <v>24</v>
      </c>
      <c r="AF39" s="8" t="s">
        <v>21</v>
      </c>
    </row>
    <row r="40" spans="1:32" x14ac:dyDescent="0.3">
      <c r="A40" s="5">
        <v>39</v>
      </c>
      <c r="B40" s="5" t="s">
        <v>66</v>
      </c>
      <c r="C40" s="5">
        <f t="shared" si="2"/>
        <v>0</v>
      </c>
      <c r="D40" s="5">
        <f t="shared" si="2"/>
        <v>1</v>
      </c>
      <c r="E40" s="5">
        <f t="shared" si="2"/>
        <v>0</v>
      </c>
      <c r="F40" s="5">
        <f t="shared" si="2"/>
        <v>0</v>
      </c>
      <c r="G40" s="5">
        <f t="shared" si="2"/>
        <v>0</v>
      </c>
      <c r="H40" s="5">
        <f t="shared" si="2"/>
        <v>1</v>
      </c>
      <c r="I40" s="6" t="s">
        <v>49</v>
      </c>
      <c r="J40" s="6" t="s">
        <v>43</v>
      </c>
      <c r="K40" s="6" t="str">
        <f>_xlfn.XLOOKUP(J40,Worksheet!$F$1:$F$48,Worksheet!$G$1:$G$48,0)</f>
        <v>Lack of awareness</v>
      </c>
      <c r="L40" s="6" t="s">
        <v>50</v>
      </c>
      <c r="M40" s="6" t="s">
        <v>49</v>
      </c>
      <c r="N40" s="6" t="s">
        <v>70</v>
      </c>
      <c r="O40" s="6">
        <v>5</v>
      </c>
      <c r="P40" s="6" t="s">
        <v>45</v>
      </c>
      <c r="Q40" s="6" t="s">
        <v>63</v>
      </c>
      <c r="R40" s="6" t="s">
        <v>105</v>
      </c>
      <c r="S40" s="6">
        <f t="shared" si="3"/>
        <v>1</v>
      </c>
      <c r="T40" s="6">
        <f t="shared" si="4"/>
        <v>0</v>
      </c>
      <c r="U40" s="6">
        <f t="shared" si="4"/>
        <v>1</v>
      </c>
      <c r="V40" s="6">
        <f t="shared" si="4"/>
        <v>0</v>
      </c>
      <c r="W40" s="6">
        <f t="shared" si="4"/>
        <v>0</v>
      </c>
      <c r="X40" s="6">
        <f t="shared" si="4"/>
        <v>1</v>
      </c>
      <c r="Y40" s="6">
        <f t="shared" si="4"/>
        <v>0</v>
      </c>
      <c r="Z40" s="6">
        <f t="shared" si="4"/>
        <v>0</v>
      </c>
      <c r="AA40" s="6">
        <f t="shared" si="4"/>
        <v>0</v>
      </c>
      <c r="AB40" s="6">
        <f t="shared" si="4"/>
        <v>1</v>
      </c>
      <c r="AC40" s="6" t="s">
        <v>21</v>
      </c>
      <c r="AD40" s="6" t="s">
        <v>23</v>
      </c>
      <c r="AE40" s="6" t="s">
        <v>88</v>
      </c>
      <c r="AF40" s="6" t="s">
        <v>25</v>
      </c>
    </row>
    <row r="41" spans="1:32" x14ac:dyDescent="0.3">
      <c r="A41" s="7">
        <v>40</v>
      </c>
      <c r="B41" s="7" t="s">
        <v>55</v>
      </c>
      <c r="C41" s="7">
        <f t="shared" si="2"/>
        <v>0</v>
      </c>
      <c r="D41" s="7">
        <f t="shared" si="2"/>
        <v>0</v>
      </c>
      <c r="E41" s="7">
        <f t="shared" si="2"/>
        <v>0</v>
      </c>
      <c r="F41" s="7">
        <f t="shared" si="2"/>
        <v>0</v>
      </c>
      <c r="G41" s="7">
        <f t="shared" si="2"/>
        <v>0</v>
      </c>
      <c r="H41" s="7">
        <f t="shared" si="2"/>
        <v>1</v>
      </c>
      <c r="I41" s="8" t="s">
        <v>27</v>
      </c>
      <c r="J41" s="8" t="s">
        <v>43</v>
      </c>
      <c r="K41" s="8" t="str">
        <f>_xlfn.XLOOKUP(J41,Worksheet!$F$1:$F$48,Worksheet!$G$1:$G$48,0)</f>
        <v>Lack of awareness</v>
      </c>
      <c r="L41" s="8" t="s">
        <v>29</v>
      </c>
      <c r="M41" s="8" t="s">
        <v>30</v>
      </c>
      <c r="N41" s="8" t="s">
        <v>58</v>
      </c>
      <c r="O41" s="8">
        <v>4</v>
      </c>
      <c r="P41" s="8" t="s">
        <v>45</v>
      </c>
      <c r="Q41" s="8" t="s">
        <v>46</v>
      </c>
      <c r="R41" s="8" t="s">
        <v>106</v>
      </c>
      <c r="S41" s="8">
        <f t="shared" si="3"/>
        <v>1</v>
      </c>
      <c r="T41" s="8">
        <f t="shared" si="4"/>
        <v>1</v>
      </c>
      <c r="U41" s="8">
        <f t="shared" si="4"/>
        <v>1</v>
      </c>
      <c r="V41" s="8">
        <f t="shared" si="4"/>
        <v>1</v>
      </c>
      <c r="W41" s="8">
        <f t="shared" si="4"/>
        <v>1</v>
      </c>
      <c r="X41" s="8">
        <f t="shared" si="4"/>
        <v>0</v>
      </c>
      <c r="Y41" s="8">
        <f t="shared" si="4"/>
        <v>1</v>
      </c>
      <c r="Z41" s="8">
        <f t="shared" si="4"/>
        <v>1</v>
      </c>
      <c r="AA41" s="8">
        <f t="shared" si="4"/>
        <v>1</v>
      </c>
      <c r="AB41" s="8">
        <f t="shared" si="4"/>
        <v>0</v>
      </c>
      <c r="AC41" s="8" t="s">
        <v>21</v>
      </c>
      <c r="AD41" s="8" t="s">
        <v>23</v>
      </c>
      <c r="AE41" s="8" t="s">
        <v>24</v>
      </c>
      <c r="AF41" s="8" t="s">
        <v>48</v>
      </c>
    </row>
    <row r="42" spans="1:32" x14ac:dyDescent="0.3">
      <c r="A42" s="5">
        <v>41</v>
      </c>
      <c r="B42" s="5" t="s">
        <v>103</v>
      </c>
      <c r="C42" s="5">
        <f t="shared" si="2"/>
        <v>1</v>
      </c>
      <c r="D42" s="5">
        <f t="shared" si="2"/>
        <v>1</v>
      </c>
      <c r="E42" s="5">
        <f t="shared" si="2"/>
        <v>0</v>
      </c>
      <c r="F42" s="5">
        <f t="shared" si="2"/>
        <v>0</v>
      </c>
      <c r="G42" s="5">
        <f t="shared" si="2"/>
        <v>0</v>
      </c>
      <c r="H42" s="5">
        <f t="shared" si="2"/>
        <v>0</v>
      </c>
      <c r="I42" s="6" t="s">
        <v>27</v>
      </c>
      <c r="J42" s="6" t="s">
        <v>43</v>
      </c>
      <c r="K42" s="6" t="str">
        <f>_xlfn.XLOOKUP(J42,Worksheet!$F$1:$F$48,Worksheet!$G$1:$G$48,0)</f>
        <v>Lack of awareness</v>
      </c>
      <c r="L42" s="6" t="s">
        <v>50</v>
      </c>
      <c r="M42" s="6" t="s">
        <v>102</v>
      </c>
      <c r="N42" s="6" t="s">
        <v>51</v>
      </c>
      <c r="O42" s="6">
        <v>1</v>
      </c>
      <c r="P42" s="6" t="s">
        <v>45</v>
      </c>
      <c r="Q42" s="6" t="s">
        <v>63</v>
      </c>
      <c r="R42" s="6" t="s">
        <v>107</v>
      </c>
      <c r="S42" s="6">
        <f t="shared" si="3"/>
        <v>1</v>
      </c>
      <c r="T42" s="6">
        <f t="shared" si="4"/>
        <v>1</v>
      </c>
      <c r="U42" s="6">
        <f t="shared" si="4"/>
        <v>1</v>
      </c>
      <c r="V42" s="6">
        <f t="shared" si="4"/>
        <v>0</v>
      </c>
      <c r="W42" s="6">
        <f t="shared" si="4"/>
        <v>1</v>
      </c>
      <c r="X42" s="6">
        <f t="shared" si="4"/>
        <v>1</v>
      </c>
      <c r="Y42" s="6">
        <f t="shared" si="4"/>
        <v>1</v>
      </c>
      <c r="Z42" s="6">
        <f t="shared" si="4"/>
        <v>1</v>
      </c>
      <c r="AA42" s="6">
        <f t="shared" si="4"/>
        <v>0</v>
      </c>
      <c r="AB42" s="6">
        <f t="shared" si="4"/>
        <v>1</v>
      </c>
      <c r="AC42" s="6" t="s">
        <v>21</v>
      </c>
      <c r="AD42" s="6" t="s">
        <v>34</v>
      </c>
      <c r="AE42" s="6" t="s">
        <v>24</v>
      </c>
      <c r="AF42" s="6" t="s">
        <v>25</v>
      </c>
    </row>
    <row r="43" spans="1:32" x14ac:dyDescent="0.3">
      <c r="A43" s="7">
        <v>42</v>
      </c>
      <c r="B43" s="7" t="s">
        <v>14</v>
      </c>
      <c r="C43" s="7">
        <f t="shared" si="2"/>
        <v>0</v>
      </c>
      <c r="D43" s="7">
        <f t="shared" si="2"/>
        <v>1</v>
      </c>
      <c r="E43" s="7">
        <f t="shared" si="2"/>
        <v>0</v>
      </c>
      <c r="F43" s="7">
        <f t="shared" si="2"/>
        <v>0</v>
      </c>
      <c r="G43" s="7">
        <f t="shared" si="2"/>
        <v>1</v>
      </c>
      <c r="H43" s="7">
        <f t="shared" si="2"/>
        <v>1</v>
      </c>
      <c r="I43" s="8" t="s">
        <v>49</v>
      </c>
      <c r="J43" s="8" t="s">
        <v>43</v>
      </c>
      <c r="K43" s="8" t="str">
        <f>_xlfn.XLOOKUP(J43,Worksheet!$F$1:$F$48,Worksheet!$G$1:$G$48,0)</f>
        <v>Lack of awareness</v>
      </c>
      <c r="L43" s="8" t="s">
        <v>50</v>
      </c>
      <c r="M43" s="8" t="s">
        <v>49</v>
      </c>
      <c r="N43" s="8" t="s">
        <v>44</v>
      </c>
      <c r="O43" s="8">
        <v>5</v>
      </c>
      <c r="P43" s="8" t="s">
        <v>45</v>
      </c>
      <c r="Q43" s="8" t="s">
        <v>63</v>
      </c>
      <c r="R43" s="8" t="s">
        <v>108</v>
      </c>
      <c r="S43" s="8">
        <f t="shared" si="3"/>
        <v>1</v>
      </c>
      <c r="T43" s="8">
        <f t="shared" si="4"/>
        <v>1</v>
      </c>
      <c r="U43" s="8">
        <f t="shared" si="4"/>
        <v>0</v>
      </c>
      <c r="V43" s="8">
        <f t="shared" si="4"/>
        <v>0</v>
      </c>
      <c r="W43" s="8">
        <f t="shared" si="4"/>
        <v>0</v>
      </c>
      <c r="X43" s="8">
        <f t="shared" si="4"/>
        <v>1</v>
      </c>
      <c r="Y43" s="8">
        <f t="shared" si="4"/>
        <v>1</v>
      </c>
      <c r="Z43" s="8">
        <f t="shared" ref="T43:AB71" si="5">IFERROR(IF(SEARCH(Z$1,$R43)&gt;0,1,0),0)</f>
        <v>0</v>
      </c>
      <c r="AA43" s="8">
        <f t="shared" si="5"/>
        <v>0</v>
      </c>
      <c r="AB43" s="8">
        <f t="shared" si="5"/>
        <v>1</v>
      </c>
      <c r="AC43" s="8" t="s">
        <v>25</v>
      </c>
      <c r="AD43" s="8" t="s">
        <v>34</v>
      </c>
      <c r="AE43" s="8" t="s">
        <v>24</v>
      </c>
      <c r="AF43" s="8" t="s">
        <v>25</v>
      </c>
    </row>
    <row r="44" spans="1:32" x14ac:dyDescent="0.3">
      <c r="A44" s="5">
        <v>43</v>
      </c>
      <c r="B44" s="5" t="s">
        <v>66</v>
      </c>
      <c r="C44" s="5">
        <f t="shared" si="2"/>
        <v>0</v>
      </c>
      <c r="D44" s="5">
        <f t="shared" si="2"/>
        <v>1</v>
      </c>
      <c r="E44" s="5">
        <f t="shared" si="2"/>
        <v>0</v>
      </c>
      <c r="F44" s="5">
        <f t="shared" si="2"/>
        <v>0</v>
      </c>
      <c r="G44" s="5">
        <f t="shared" si="2"/>
        <v>0</v>
      </c>
      <c r="H44" s="5">
        <f t="shared" si="2"/>
        <v>1</v>
      </c>
      <c r="I44" s="6" t="s">
        <v>27</v>
      </c>
      <c r="J44" s="6" t="s">
        <v>43</v>
      </c>
      <c r="K44" s="6" t="str">
        <f>_xlfn.XLOOKUP(J44,Worksheet!$F$1:$F$48,Worksheet!$G$1:$G$48,0)</f>
        <v>Lack of awareness</v>
      </c>
      <c r="L44" s="6" t="s">
        <v>50</v>
      </c>
      <c r="M44" s="6" t="s">
        <v>30</v>
      </c>
      <c r="N44" s="6" t="s">
        <v>70</v>
      </c>
      <c r="O44" s="6">
        <v>5</v>
      </c>
      <c r="P44" s="6" t="s">
        <v>45</v>
      </c>
      <c r="Q44" s="6" t="s">
        <v>46</v>
      </c>
      <c r="R44" s="6" t="s">
        <v>67</v>
      </c>
      <c r="S44" s="6">
        <f t="shared" si="3"/>
        <v>1</v>
      </c>
      <c r="T44" s="6">
        <f t="shared" si="5"/>
        <v>1</v>
      </c>
      <c r="U44" s="6">
        <f t="shared" si="5"/>
        <v>1</v>
      </c>
      <c r="V44" s="6">
        <f t="shared" si="5"/>
        <v>1</v>
      </c>
      <c r="W44" s="6">
        <f t="shared" si="5"/>
        <v>1</v>
      </c>
      <c r="X44" s="6">
        <f t="shared" si="5"/>
        <v>1</v>
      </c>
      <c r="Y44" s="6">
        <f t="shared" si="5"/>
        <v>1</v>
      </c>
      <c r="Z44" s="6">
        <f t="shared" si="5"/>
        <v>1</v>
      </c>
      <c r="AA44" s="6">
        <f t="shared" si="5"/>
        <v>1</v>
      </c>
      <c r="AB44" s="6">
        <f t="shared" si="5"/>
        <v>1</v>
      </c>
      <c r="AC44" s="6" t="s">
        <v>21</v>
      </c>
      <c r="AD44" s="6" t="s">
        <v>23</v>
      </c>
      <c r="AE44" s="6" t="s">
        <v>24</v>
      </c>
      <c r="AF44" s="6" t="s">
        <v>82</v>
      </c>
    </row>
    <row r="45" spans="1:32" x14ac:dyDescent="0.3">
      <c r="A45" s="7">
        <v>44</v>
      </c>
      <c r="B45" s="7" t="s">
        <v>68</v>
      </c>
      <c r="C45" s="7">
        <f t="shared" si="2"/>
        <v>0</v>
      </c>
      <c r="D45" s="7">
        <f t="shared" si="2"/>
        <v>1</v>
      </c>
      <c r="E45" s="7">
        <f t="shared" si="2"/>
        <v>0</v>
      </c>
      <c r="F45" s="7">
        <f t="shared" si="2"/>
        <v>0</v>
      </c>
      <c r="G45" s="7">
        <f t="shared" si="2"/>
        <v>0</v>
      </c>
      <c r="H45" s="7">
        <f t="shared" si="2"/>
        <v>0</v>
      </c>
      <c r="I45" s="8" t="s">
        <v>27</v>
      </c>
      <c r="J45" s="8" t="s">
        <v>43</v>
      </c>
      <c r="K45" s="8" t="str">
        <f>_xlfn.XLOOKUP(J45,Worksheet!$F$1:$F$48,Worksheet!$G$1:$G$48,0)</f>
        <v>Lack of awareness</v>
      </c>
      <c r="L45" s="8" t="s">
        <v>356</v>
      </c>
      <c r="M45" s="8" t="s">
        <v>30</v>
      </c>
      <c r="N45" s="8" t="s">
        <v>51</v>
      </c>
      <c r="O45" s="8">
        <v>5</v>
      </c>
      <c r="P45" s="8" t="s">
        <v>45</v>
      </c>
      <c r="Q45" s="8" t="s">
        <v>63</v>
      </c>
      <c r="R45" s="8" t="s">
        <v>109</v>
      </c>
      <c r="S45" s="8">
        <f t="shared" si="3"/>
        <v>1</v>
      </c>
      <c r="T45" s="8">
        <f t="shared" si="5"/>
        <v>1</v>
      </c>
      <c r="U45" s="8">
        <f t="shared" si="5"/>
        <v>0</v>
      </c>
      <c r="V45" s="8">
        <f t="shared" si="5"/>
        <v>1</v>
      </c>
      <c r="W45" s="8">
        <f t="shared" si="5"/>
        <v>1</v>
      </c>
      <c r="X45" s="8">
        <f t="shared" si="5"/>
        <v>0</v>
      </c>
      <c r="Y45" s="8">
        <f t="shared" si="5"/>
        <v>1</v>
      </c>
      <c r="Z45" s="8">
        <f t="shared" si="5"/>
        <v>1</v>
      </c>
      <c r="AA45" s="8">
        <f t="shared" si="5"/>
        <v>0</v>
      </c>
      <c r="AB45" s="8">
        <f t="shared" si="5"/>
        <v>0</v>
      </c>
      <c r="AC45" s="8" t="s">
        <v>21</v>
      </c>
      <c r="AD45" s="8" t="s">
        <v>23</v>
      </c>
      <c r="AE45" s="8" t="s">
        <v>24</v>
      </c>
      <c r="AF45" s="8" t="s">
        <v>48</v>
      </c>
    </row>
    <row r="46" spans="1:32" x14ac:dyDescent="0.3">
      <c r="A46" s="5">
        <v>45</v>
      </c>
      <c r="B46" s="5" t="s">
        <v>41</v>
      </c>
      <c r="C46" s="5">
        <f t="shared" si="2"/>
        <v>0</v>
      </c>
      <c r="D46" s="5">
        <f t="shared" si="2"/>
        <v>0</v>
      </c>
      <c r="E46" s="5">
        <f t="shared" si="2"/>
        <v>0</v>
      </c>
      <c r="F46" s="5">
        <f t="shared" si="2"/>
        <v>0</v>
      </c>
      <c r="G46" s="5">
        <f t="shared" si="2"/>
        <v>1</v>
      </c>
      <c r="H46" s="5">
        <f t="shared" si="2"/>
        <v>0</v>
      </c>
      <c r="I46" s="6" t="s">
        <v>27</v>
      </c>
      <c r="J46" s="6" t="s">
        <v>43</v>
      </c>
      <c r="K46" s="6" t="str">
        <f>_xlfn.XLOOKUP(J46,Worksheet!$F$1:$F$48,Worksheet!$G$1:$G$48,0)</f>
        <v>Lack of awareness</v>
      </c>
      <c r="L46" s="6" t="s">
        <v>17</v>
      </c>
      <c r="M46" s="6" t="s">
        <v>15</v>
      </c>
      <c r="N46" s="6" t="s">
        <v>51</v>
      </c>
      <c r="O46" s="6">
        <v>5</v>
      </c>
      <c r="P46" s="6" t="s">
        <v>45</v>
      </c>
      <c r="Q46" s="6" t="s">
        <v>63</v>
      </c>
      <c r="R46" s="6" t="s">
        <v>47</v>
      </c>
      <c r="S46" s="6">
        <f t="shared" si="3"/>
        <v>0</v>
      </c>
      <c r="T46" s="6">
        <f t="shared" si="5"/>
        <v>0</v>
      </c>
      <c r="U46" s="6">
        <f t="shared" si="5"/>
        <v>1</v>
      </c>
      <c r="V46" s="6">
        <f t="shared" si="5"/>
        <v>0</v>
      </c>
      <c r="W46" s="6">
        <f t="shared" si="5"/>
        <v>0</v>
      </c>
      <c r="X46" s="6">
        <f t="shared" si="5"/>
        <v>0</v>
      </c>
      <c r="Y46" s="6">
        <f t="shared" si="5"/>
        <v>0</v>
      </c>
      <c r="Z46" s="6">
        <f t="shared" si="5"/>
        <v>0</v>
      </c>
      <c r="AA46" s="6">
        <f t="shared" si="5"/>
        <v>0</v>
      </c>
      <c r="AB46" s="6">
        <f t="shared" si="5"/>
        <v>0</v>
      </c>
      <c r="AC46" s="6" t="s">
        <v>21</v>
      </c>
      <c r="AD46" s="6" t="s">
        <v>34</v>
      </c>
      <c r="AE46" s="6" t="s">
        <v>24</v>
      </c>
      <c r="AF46" s="6" t="s">
        <v>21</v>
      </c>
    </row>
    <row r="47" spans="1:32" x14ac:dyDescent="0.3">
      <c r="A47" s="7">
        <v>46</v>
      </c>
      <c r="B47" s="7" t="s">
        <v>14</v>
      </c>
      <c r="C47" s="7">
        <f t="shared" si="2"/>
        <v>0</v>
      </c>
      <c r="D47" s="7">
        <f t="shared" si="2"/>
        <v>1</v>
      </c>
      <c r="E47" s="7">
        <f t="shared" si="2"/>
        <v>0</v>
      </c>
      <c r="F47" s="7">
        <f t="shared" si="2"/>
        <v>0</v>
      </c>
      <c r="G47" s="7">
        <f t="shared" si="2"/>
        <v>1</v>
      </c>
      <c r="H47" s="7">
        <f t="shared" si="2"/>
        <v>1</v>
      </c>
      <c r="I47" s="8" t="s">
        <v>15</v>
      </c>
      <c r="J47" s="8" t="s">
        <v>43</v>
      </c>
      <c r="K47" s="8" t="str">
        <f>_xlfn.XLOOKUP(J47,Worksheet!$F$1:$F$48,Worksheet!$G$1:$G$48,0)</f>
        <v>Lack of awareness</v>
      </c>
      <c r="L47" s="8" t="s">
        <v>356</v>
      </c>
      <c r="M47" s="8" t="s">
        <v>49</v>
      </c>
      <c r="N47" s="8" t="s">
        <v>44</v>
      </c>
      <c r="O47" s="8">
        <v>3</v>
      </c>
      <c r="P47" s="8" t="s">
        <v>45</v>
      </c>
      <c r="Q47" s="8" t="s">
        <v>63</v>
      </c>
      <c r="R47" s="8" t="s">
        <v>110</v>
      </c>
      <c r="S47" s="8">
        <f t="shared" si="3"/>
        <v>1</v>
      </c>
      <c r="T47" s="8">
        <f t="shared" si="5"/>
        <v>1</v>
      </c>
      <c r="U47" s="8">
        <f t="shared" si="5"/>
        <v>0</v>
      </c>
      <c r="V47" s="8">
        <f t="shared" si="5"/>
        <v>0</v>
      </c>
      <c r="W47" s="8">
        <f t="shared" si="5"/>
        <v>0</v>
      </c>
      <c r="X47" s="8">
        <f t="shared" si="5"/>
        <v>1</v>
      </c>
      <c r="Y47" s="8">
        <f t="shared" si="5"/>
        <v>1</v>
      </c>
      <c r="Z47" s="8">
        <f t="shared" si="5"/>
        <v>0</v>
      </c>
      <c r="AA47" s="8">
        <f t="shared" si="5"/>
        <v>0</v>
      </c>
      <c r="AB47" s="8">
        <f t="shared" si="5"/>
        <v>0</v>
      </c>
      <c r="AC47" s="8" t="s">
        <v>25</v>
      </c>
      <c r="AD47" s="8" t="s">
        <v>23</v>
      </c>
      <c r="AE47" s="8" t="s">
        <v>24</v>
      </c>
      <c r="AF47" s="8" t="s">
        <v>25</v>
      </c>
    </row>
    <row r="48" spans="1:32" x14ac:dyDescent="0.3">
      <c r="A48" s="5">
        <v>47</v>
      </c>
      <c r="B48" s="5" t="s">
        <v>55</v>
      </c>
      <c r="C48" s="5">
        <f t="shared" si="2"/>
        <v>0</v>
      </c>
      <c r="D48" s="5">
        <f t="shared" si="2"/>
        <v>0</v>
      </c>
      <c r="E48" s="5">
        <f t="shared" si="2"/>
        <v>0</v>
      </c>
      <c r="F48" s="5">
        <f t="shared" si="2"/>
        <v>0</v>
      </c>
      <c r="G48" s="5">
        <f t="shared" si="2"/>
        <v>0</v>
      </c>
      <c r="H48" s="5">
        <f t="shared" si="2"/>
        <v>1</v>
      </c>
      <c r="I48" s="6" t="s">
        <v>49</v>
      </c>
      <c r="J48" s="6" t="s">
        <v>43</v>
      </c>
      <c r="K48" s="6" t="str">
        <f>_xlfn.XLOOKUP(J48,Worksheet!$F$1:$F$48,Worksheet!$G$1:$G$48,0)</f>
        <v>Lack of awareness</v>
      </c>
      <c r="L48" s="6" t="s">
        <v>50</v>
      </c>
      <c r="M48" s="6" t="s">
        <v>49</v>
      </c>
      <c r="N48" s="6" t="s">
        <v>44</v>
      </c>
      <c r="O48" s="6">
        <v>1</v>
      </c>
      <c r="P48" s="6" t="s">
        <v>45</v>
      </c>
      <c r="Q48" s="6" t="s">
        <v>63</v>
      </c>
      <c r="R48" s="6" t="s">
        <v>111</v>
      </c>
      <c r="S48" s="6">
        <f t="shared" si="3"/>
        <v>0</v>
      </c>
      <c r="T48" s="6">
        <f t="shared" si="5"/>
        <v>0</v>
      </c>
      <c r="U48" s="6">
        <f t="shared" si="5"/>
        <v>0</v>
      </c>
      <c r="V48" s="6">
        <f t="shared" si="5"/>
        <v>0</v>
      </c>
      <c r="W48" s="6">
        <f t="shared" si="5"/>
        <v>0</v>
      </c>
      <c r="X48" s="6">
        <f t="shared" si="5"/>
        <v>0</v>
      </c>
      <c r="Y48" s="6">
        <f t="shared" si="5"/>
        <v>1</v>
      </c>
      <c r="Z48" s="6">
        <f t="shared" si="5"/>
        <v>0</v>
      </c>
      <c r="AA48" s="6">
        <f t="shared" si="5"/>
        <v>0</v>
      </c>
      <c r="AB48" s="6">
        <f t="shared" si="5"/>
        <v>0</v>
      </c>
      <c r="AC48" s="6" t="s">
        <v>25</v>
      </c>
      <c r="AD48" s="6" t="s">
        <v>34</v>
      </c>
      <c r="AE48" s="6" t="s">
        <v>24</v>
      </c>
      <c r="AF48" s="6" t="s">
        <v>25</v>
      </c>
    </row>
    <row r="49" spans="1:32" x14ac:dyDescent="0.3">
      <c r="A49" s="7">
        <v>48</v>
      </c>
      <c r="B49" s="7" t="s">
        <v>61</v>
      </c>
      <c r="C49" s="7">
        <f t="shared" si="2"/>
        <v>1</v>
      </c>
      <c r="D49" s="7">
        <f t="shared" si="2"/>
        <v>1</v>
      </c>
      <c r="E49" s="7">
        <f t="shared" si="2"/>
        <v>0</v>
      </c>
      <c r="F49" s="7">
        <f t="shared" si="2"/>
        <v>0</v>
      </c>
      <c r="G49" s="7">
        <f t="shared" si="2"/>
        <v>1</v>
      </c>
      <c r="H49" s="7">
        <f t="shared" si="2"/>
        <v>1</v>
      </c>
      <c r="I49" s="8" t="s">
        <v>49</v>
      </c>
      <c r="J49" s="8" t="s">
        <v>112</v>
      </c>
      <c r="K49" s="8" t="str">
        <f>_xlfn.XLOOKUP(J49,Worksheet!$F$1:$F$48,Worksheet!$G$1:$G$48,0)</f>
        <v>Never done</v>
      </c>
      <c r="L49" s="8" t="s">
        <v>50</v>
      </c>
      <c r="M49" s="8" t="s">
        <v>49</v>
      </c>
      <c r="N49" s="8" t="s">
        <v>51</v>
      </c>
      <c r="O49" s="8">
        <v>5</v>
      </c>
      <c r="P49" s="8" t="s">
        <v>45</v>
      </c>
      <c r="Q49" s="8" t="s">
        <v>63</v>
      </c>
      <c r="R49" s="8" t="s">
        <v>67</v>
      </c>
      <c r="S49" s="8">
        <f t="shared" si="3"/>
        <v>1</v>
      </c>
      <c r="T49" s="8">
        <f t="shared" si="5"/>
        <v>1</v>
      </c>
      <c r="U49" s="8">
        <f t="shared" si="5"/>
        <v>1</v>
      </c>
      <c r="V49" s="8">
        <f t="shared" si="5"/>
        <v>1</v>
      </c>
      <c r="W49" s="8">
        <f t="shared" si="5"/>
        <v>1</v>
      </c>
      <c r="X49" s="8">
        <f t="shared" si="5"/>
        <v>1</v>
      </c>
      <c r="Y49" s="8">
        <f t="shared" si="5"/>
        <v>1</v>
      </c>
      <c r="Z49" s="8">
        <f t="shared" si="5"/>
        <v>1</v>
      </c>
      <c r="AA49" s="8">
        <f t="shared" si="5"/>
        <v>1</v>
      </c>
      <c r="AB49" s="8">
        <f t="shared" si="5"/>
        <v>1</v>
      </c>
      <c r="AC49" s="8" t="s">
        <v>21</v>
      </c>
      <c r="AD49" s="8" t="s">
        <v>23</v>
      </c>
      <c r="AE49" s="8" t="s">
        <v>113</v>
      </c>
      <c r="AF49" s="8" t="s">
        <v>25</v>
      </c>
    </row>
    <row r="50" spans="1:32" x14ac:dyDescent="0.3">
      <c r="A50" s="5">
        <v>49</v>
      </c>
      <c r="B50" s="5" t="s">
        <v>340</v>
      </c>
      <c r="C50" s="5">
        <f t="shared" si="2"/>
        <v>0</v>
      </c>
      <c r="D50" s="5">
        <f t="shared" si="2"/>
        <v>0</v>
      </c>
      <c r="E50" s="5">
        <f t="shared" si="2"/>
        <v>1</v>
      </c>
      <c r="F50" s="5">
        <f t="shared" si="2"/>
        <v>0</v>
      </c>
      <c r="G50" s="5">
        <f t="shared" si="2"/>
        <v>0</v>
      </c>
      <c r="H50" s="5">
        <f t="shared" si="2"/>
        <v>0</v>
      </c>
      <c r="I50" s="6" t="s">
        <v>15</v>
      </c>
      <c r="J50" s="6" t="s">
        <v>62</v>
      </c>
      <c r="K50" s="6" t="str">
        <f>_xlfn.XLOOKUP(J50,Worksheet!$F$1:$F$48,Worksheet!$G$1:$G$48,0)</f>
        <v>Cost</v>
      </c>
      <c r="L50" s="6" t="s">
        <v>29</v>
      </c>
      <c r="M50" s="6" t="s">
        <v>49</v>
      </c>
      <c r="N50" s="6" t="s">
        <v>44</v>
      </c>
      <c r="O50" s="6">
        <v>5</v>
      </c>
      <c r="P50" s="6" t="s">
        <v>45</v>
      </c>
      <c r="Q50" s="6" t="s">
        <v>63</v>
      </c>
      <c r="R50" s="6" t="s">
        <v>114</v>
      </c>
      <c r="S50" s="6">
        <f t="shared" si="3"/>
        <v>0</v>
      </c>
      <c r="T50" s="6">
        <f t="shared" si="5"/>
        <v>0</v>
      </c>
      <c r="U50" s="6">
        <f t="shared" si="5"/>
        <v>0</v>
      </c>
      <c r="V50" s="6">
        <f t="shared" si="5"/>
        <v>1</v>
      </c>
      <c r="W50" s="6">
        <f t="shared" si="5"/>
        <v>0</v>
      </c>
      <c r="X50" s="6">
        <f t="shared" si="5"/>
        <v>0</v>
      </c>
      <c r="Y50" s="6">
        <f t="shared" si="5"/>
        <v>0</v>
      </c>
      <c r="Z50" s="6">
        <f t="shared" si="5"/>
        <v>1</v>
      </c>
      <c r="AA50" s="6">
        <f t="shared" si="5"/>
        <v>1</v>
      </c>
      <c r="AB50" s="6">
        <f t="shared" si="5"/>
        <v>0</v>
      </c>
      <c r="AC50" s="6" t="s">
        <v>21</v>
      </c>
      <c r="AD50" s="6" t="s">
        <v>23</v>
      </c>
      <c r="AE50" s="6" t="s">
        <v>24</v>
      </c>
      <c r="AF50" s="6" t="s">
        <v>21</v>
      </c>
    </row>
    <row r="51" spans="1:32" x14ac:dyDescent="0.3">
      <c r="A51" s="7">
        <v>50</v>
      </c>
      <c r="B51" s="7" t="s">
        <v>68</v>
      </c>
      <c r="C51" s="7">
        <f t="shared" si="2"/>
        <v>0</v>
      </c>
      <c r="D51" s="7">
        <f t="shared" si="2"/>
        <v>1</v>
      </c>
      <c r="E51" s="7">
        <f t="shared" si="2"/>
        <v>0</v>
      </c>
      <c r="F51" s="7">
        <f t="shared" si="2"/>
        <v>0</v>
      </c>
      <c r="G51" s="7">
        <f t="shared" si="2"/>
        <v>0</v>
      </c>
      <c r="H51" s="7">
        <f t="shared" si="2"/>
        <v>0</v>
      </c>
      <c r="I51" s="8" t="s">
        <v>49</v>
      </c>
      <c r="J51" s="8" t="s">
        <v>43</v>
      </c>
      <c r="K51" s="8" t="str">
        <f>_xlfn.XLOOKUP(J51,Worksheet!$F$1:$F$48,Worksheet!$G$1:$G$48,0)</f>
        <v>Lack of awareness</v>
      </c>
      <c r="L51" s="8" t="s">
        <v>50</v>
      </c>
      <c r="M51" s="8" t="s">
        <v>49</v>
      </c>
      <c r="N51" s="8" t="s">
        <v>51</v>
      </c>
      <c r="O51" s="8">
        <v>5</v>
      </c>
      <c r="P51" s="8" t="s">
        <v>45</v>
      </c>
      <c r="Q51" s="8" t="s">
        <v>63</v>
      </c>
      <c r="R51" s="8" t="s">
        <v>115</v>
      </c>
      <c r="S51" s="8">
        <f t="shared" si="3"/>
        <v>1</v>
      </c>
      <c r="T51" s="8">
        <f t="shared" si="5"/>
        <v>0</v>
      </c>
      <c r="U51" s="8">
        <f t="shared" si="5"/>
        <v>0</v>
      </c>
      <c r="V51" s="8">
        <f t="shared" si="5"/>
        <v>0</v>
      </c>
      <c r="W51" s="8">
        <f t="shared" si="5"/>
        <v>0</v>
      </c>
      <c r="X51" s="8">
        <f t="shared" si="5"/>
        <v>1</v>
      </c>
      <c r="Y51" s="8">
        <f t="shared" si="5"/>
        <v>1</v>
      </c>
      <c r="Z51" s="8">
        <f t="shared" si="5"/>
        <v>0</v>
      </c>
      <c r="AA51" s="8">
        <f t="shared" si="5"/>
        <v>0</v>
      </c>
      <c r="AB51" s="8">
        <f t="shared" si="5"/>
        <v>0</v>
      </c>
      <c r="AC51" s="8" t="s">
        <v>21</v>
      </c>
      <c r="AD51" s="8" t="s">
        <v>23</v>
      </c>
      <c r="AE51" s="8" t="s">
        <v>24</v>
      </c>
      <c r="AF51" s="8" t="s">
        <v>25</v>
      </c>
    </row>
    <row r="52" spans="1:32" x14ac:dyDescent="0.3">
      <c r="A52" s="5">
        <v>51</v>
      </c>
      <c r="B52" s="5" t="s">
        <v>41</v>
      </c>
      <c r="C52" s="5">
        <f t="shared" si="2"/>
        <v>0</v>
      </c>
      <c r="D52" s="5">
        <f t="shared" si="2"/>
        <v>0</v>
      </c>
      <c r="E52" s="5">
        <f t="shared" si="2"/>
        <v>0</v>
      </c>
      <c r="F52" s="5">
        <f t="shared" si="2"/>
        <v>0</v>
      </c>
      <c r="G52" s="5">
        <f t="shared" si="2"/>
        <v>1</v>
      </c>
      <c r="H52" s="5">
        <f t="shared" si="2"/>
        <v>0</v>
      </c>
      <c r="I52" s="6" t="s">
        <v>27</v>
      </c>
      <c r="J52" s="6" t="s">
        <v>43</v>
      </c>
      <c r="K52" s="6" t="str">
        <f>_xlfn.XLOOKUP(J52,Worksheet!$F$1:$F$48,Worksheet!$G$1:$G$48,0)</f>
        <v>Lack of awareness</v>
      </c>
      <c r="L52" s="6" t="s">
        <v>50</v>
      </c>
      <c r="M52" s="6" t="s">
        <v>30</v>
      </c>
      <c r="N52" s="6" t="s">
        <v>58</v>
      </c>
      <c r="O52" s="6">
        <v>5</v>
      </c>
      <c r="P52" s="6" t="s">
        <v>45</v>
      </c>
      <c r="Q52" s="6" t="s">
        <v>46</v>
      </c>
      <c r="R52" s="6" t="s">
        <v>116</v>
      </c>
      <c r="S52" s="6">
        <f t="shared" si="3"/>
        <v>1</v>
      </c>
      <c r="T52" s="6">
        <f t="shared" si="5"/>
        <v>0</v>
      </c>
      <c r="U52" s="6">
        <f t="shared" si="5"/>
        <v>1</v>
      </c>
      <c r="V52" s="6">
        <f t="shared" si="5"/>
        <v>0</v>
      </c>
      <c r="W52" s="6">
        <f t="shared" si="5"/>
        <v>0</v>
      </c>
      <c r="X52" s="6">
        <f t="shared" si="5"/>
        <v>1</v>
      </c>
      <c r="Y52" s="6">
        <f t="shared" si="5"/>
        <v>1</v>
      </c>
      <c r="Z52" s="6">
        <f t="shared" si="5"/>
        <v>0</v>
      </c>
      <c r="AA52" s="6">
        <f t="shared" si="5"/>
        <v>1</v>
      </c>
      <c r="AB52" s="6">
        <f t="shared" si="5"/>
        <v>1</v>
      </c>
      <c r="AC52" s="6" t="s">
        <v>21</v>
      </c>
      <c r="AD52" s="6" t="s">
        <v>40</v>
      </c>
      <c r="AE52" s="6" t="s">
        <v>24</v>
      </c>
      <c r="AF52" s="6" t="s">
        <v>48</v>
      </c>
    </row>
    <row r="53" spans="1:32" x14ac:dyDescent="0.3">
      <c r="A53" s="7">
        <v>52</v>
      </c>
      <c r="B53" s="7" t="s">
        <v>14</v>
      </c>
      <c r="C53" s="7">
        <f t="shared" si="2"/>
        <v>0</v>
      </c>
      <c r="D53" s="7">
        <f t="shared" si="2"/>
        <v>1</v>
      </c>
      <c r="E53" s="7">
        <f t="shared" si="2"/>
        <v>0</v>
      </c>
      <c r="F53" s="7">
        <f t="shared" si="2"/>
        <v>0</v>
      </c>
      <c r="G53" s="7">
        <f t="shared" si="2"/>
        <v>1</v>
      </c>
      <c r="H53" s="7">
        <f t="shared" si="2"/>
        <v>1</v>
      </c>
      <c r="I53" s="8" t="s">
        <v>49</v>
      </c>
      <c r="J53" s="8" t="s">
        <v>117</v>
      </c>
      <c r="K53" s="8" t="str">
        <f>_xlfn.XLOOKUP(J53,Worksheet!$F$1:$F$48,Worksheet!$G$1:$G$48,0)</f>
        <v>NA</v>
      </c>
      <c r="L53" s="8" t="s">
        <v>50</v>
      </c>
      <c r="M53" s="8" t="s">
        <v>49</v>
      </c>
      <c r="N53" s="8" t="s">
        <v>44</v>
      </c>
      <c r="O53" s="8">
        <v>3</v>
      </c>
      <c r="P53" s="8" t="s">
        <v>45</v>
      </c>
      <c r="Q53" s="8" t="s">
        <v>63</v>
      </c>
      <c r="R53" s="8" t="s">
        <v>56</v>
      </c>
      <c r="S53" s="8">
        <f t="shared" si="3"/>
        <v>1</v>
      </c>
      <c r="T53" s="8">
        <f t="shared" si="5"/>
        <v>0</v>
      </c>
      <c r="U53" s="8">
        <f t="shared" si="5"/>
        <v>0</v>
      </c>
      <c r="V53" s="8">
        <f t="shared" si="5"/>
        <v>0</v>
      </c>
      <c r="W53" s="8">
        <f t="shared" si="5"/>
        <v>0</v>
      </c>
      <c r="X53" s="8">
        <f t="shared" si="5"/>
        <v>0</v>
      </c>
      <c r="Y53" s="8">
        <f t="shared" si="5"/>
        <v>0</v>
      </c>
      <c r="Z53" s="8">
        <f t="shared" si="5"/>
        <v>0</v>
      </c>
      <c r="AA53" s="8">
        <f t="shared" si="5"/>
        <v>0</v>
      </c>
      <c r="AB53" s="8">
        <f t="shared" si="5"/>
        <v>0</v>
      </c>
      <c r="AC53" s="8" t="s">
        <v>21</v>
      </c>
      <c r="AD53" s="8" t="s">
        <v>23</v>
      </c>
      <c r="AE53" s="8" t="s">
        <v>24</v>
      </c>
      <c r="AF53" s="8" t="s">
        <v>48</v>
      </c>
    </row>
    <row r="54" spans="1:32" x14ac:dyDescent="0.3">
      <c r="A54" s="5">
        <v>53</v>
      </c>
      <c r="B54" s="5" t="s">
        <v>61</v>
      </c>
      <c r="C54" s="5">
        <f t="shared" si="2"/>
        <v>1</v>
      </c>
      <c r="D54" s="5">
        <f t="shared" si="2"/>
        <v>1</v>
      </c>
      <c r="E54" s="5">
        <f t="shared" si="2"/>
        <v>0</v>
      </c>
      <c r="F54" s="5">
        <f t="shared" si="2"/>
        <v>0</v>
      </c>
      <c r="G54" s="5">
        <f t="shared" si="2"/>
        <v>1</v>
      </c>
      <c r="H54" s="5">
        <f t="shared" si="2"/>
        <v>1</v>
      </c>
      <c r="I54" s="6" t="s">
        <v>15</v>
      </c>
      <c r="J54" s="6" t="s">
        <v>43</v>
      </c>
      <c r="K54" s="6" t="str">
        <f>_xlfn.XLOOKUP(J54,Worksheet!$F$1:$F$48,Worksheet!$G$1:$G$48,0)</f>
        <v>Lack of awareness</v>
      </c>
      <c r="L54" s="6" t="s">
        <v>37</v>
      </c>
      <c r="M54" s="6" t="s">
        <v>15</v>
      </c>
      <c r="N54" s="6" t="s">
        <v>51</v>
      </c>
      <c r="O54" s="6">
        <v>3</v>
      </c>
      <c r="P54" s="6" t="s">
        <v>45</v>
      </c>
      <c r="Q54" s="6" t="s">
        <v>52</v>
      </c>
      <c r="R54" s="6" t="s">
        <v>67</v>
      </c>
      <c r="S54" s="6">
        <f t="shared" si="3"/>
        <v>1</v>
      </c>
      <c r="T54" s="6">
        <f t="shared" si="5"/>
        <v>1</v>
      </c>
      <c r="U54" s="6">
        <f t="shared" si="5"/>
        <v>1</v>
      </c>
      <c r="V54" s="6">
        <f t="shared" si="5"/>
        <v>1</v>
      </c>
      <c r="W54" s="6">
        <f t="shared" si="5"/>
        <v>1</v>
      </c>
      <c r="X54" s="6">
        <f t="shared" si="5"/>
        <v>1</v>
      </c>
      <c r="Y54" s="6">
        <f t="shared" si="5"/>
        <v>1</v>
      </c>
      <c r="Z54" s="6">
        <f t="shared" si="5"/>
        <v>1</v>
      </c>
      <c r="AA54" s="6">
        <f t="shared" si="5"/>
        <v>1</v>
      </c>
      <c r="AB54" s="6">
        <f t="shared" si="5"/>
        <v>1</v>
      </c>
      <c r="AC54" s="6" t="s">
        <v>21</v>
      </c>
      <c r="AD54" s="6" t="s">
        <v>34</v>
      </c>
      <c r="AE54" s="6" t="s">
        <v>24</v>
      </c>
      <c r="AF54" s="6" t="s">
        <v>48</v>
      </c>
    </row>
    <row r="55" spans="1:32" x14ac:dyDescent="0.3">
      <c r="A55" s="7">
        <v>54</v>
      </c>
      <c r="B55" s="7" t="s">
        <v>68</v>
      </c>
      <c r="C55" s="7">
        <f t="shared" si="2"/>
        <v>0</v>
      </c>
      <c r="D55" s="7">
        <f t="shared" si="2"/>
        <v>1</v>
      </c>
      <c r="E55" s="7">
        <f t="shared" si="2"/>
        <v>0</v>
      </c>
      <c r="F55" s="7">
        <f t="shared" si="2"/>
        <v>0</v>
      </c>
      <c r="G55" s="7">
        <f t="shared" si="2"/>
        <v>0</v>
      </c>
      <c r="H55" s="7">
        <f t="shared" si="2"/>
        <v>0</v>
      </c>
      <c r="I55" s="8" t="s">
        <v>15</v>
      </c>
      <c r="J55" s="8" t="s">
        <v>43</v>
      </c>
      <c r="K55" s="8" t="str">
        <f>_xlfn.XLOOKUP(J55,Worksheet!$F$1:$F$48,Worksheet!$G$1:$G$48,0)</f>
        <v>Lack of awareness</v>
      </c>
      <c r="L55" s="8" t="s">
        <v>50</v>
      </c>
      <c r="M55" s="8" t="s">
        <v>30</v>
      </c>
      <c r="N55" s="8" t="s">
        <v>51</v>
      </c>
      <c r="O55" s="8">
        <v>5</v>
      </c>
      <c r="P55" s="8" t="s">
        <v>45</v>
      </c>
      <c r="Q55" s="8" t="s">
        <v>46</v>
      </c>
      <c r="R55" s="8" t="s">
        <v>118</v>
      </c>
      <c r="S55" s="8">
        <f t="shared" si="3"/>
        <v>1</v>
      </c>
      <c r="T55" s="8">
        <f t="shared" si="5"/>
        <v>0</v>
      </c>
      <c r="U55" s="8">
        <f t="shared" si="5"/>
        <v>0</v>
      </c>
      <c r="V55" s="8">
        <f t="shared" si="5"/>
        <v>0</v>
      </c>
      <c r="W55" s="8">
        <f t="shared" si="5"/>
        <v>1</v>
      </c>
      <c r="X55" s="8">
        <f t="shared" si="5"/>
        <v>0</v>
      </c>
      <c r="Y55" s="8">
        <f t="shared" si="5"/>
        <v>0</v>
      </c>
      <c r="Z55" s="8">
        <f t="shared" si="5"/>
        <v>0</v>
      </c>
      <c r="AA55" s="8">
        <f t="shared" si="5"/>
        <v>0</v>
      </c>
      <c r="AB55" s="8">
        <f t="shared" si="5"/>
        <v>1</v>
      </c>
      <c r="AC55" s="8" t="s">
        <v>21</v>
      </c>
      <c r="AD55" s="8" t="s">
        <v>23</v>
      </c>
      <c r="AE55" s="8" t="s">
        <v>113</v>
      </c>
      <c r="AF55" s="8" t="s">
        <v>48</v>
      </c>
    </row>
    <row r="56" spans="1:32" x14ac:dyDescent="0.3">
      <c r="A56" s="5">
        <v>55</v>
      </c>
      <c r="B56" s="5" t="s">
        <v>100</v>
      </c>
      <c r="C56" s="5">
        <f t="shared" si="2"/>
        <v>1</v>
      </c>
      <c r="D56" s="5">
        <f t="shared" si="2"/>
        <v>0</v>
      </c>
      <c r="E56" s="5">
        <f t="shared" si="2"/>
        <v>0</v>
      </c>
      <c r="F56" s="5">
        <f t="shared" si="2"/>
        <v>0</v>
      </c>
      <c r="G56" s="5">
        <f t="shared" si="2"/>
        <v>0</v>
      </c>
      <c r="H56" s="5">
        <f t="shared" si="2"/>
        <v>0</v>
      </c>
      <c r="I56" s="6" t="s">
        <v>15</v>
      </c>
      <c r="J56" s="6" t="s">
        <v>43</v>
      </c>
      <c r="K56" s="6" t="str">
        <f>_xlfn.XLOOKUP(J56,Worksheet!$F$1:$F$48,Worksheet!$G$1:$G$48,0)</f>
        <v>Lack of awareness</v>
      </c>
      <c r="L56" s="6" t="s">
        <v>356</v>
      </c>
      <c r="M56" s="6" t="s">
        <v>15</v>
      </c>
      <c r="N56" s="6" t="s">
        <v>51</v>
      </c>
      <c r="O56" s="6">
        <v>5</v>
      </c>
      <c r="P56" s="6" t="s">
        <v>45</v>
      </c>
      <c r="Q56" s="6" t="s">
        <v>63</v>
      </c>
      <c r="R56" s="6" t="s">
        <v>56</v>
      </c>
      <c r="S56" s="6">
        <f t="shared" si="3"/>
        <v>1</v>
      </c>
      <c r="T56" s="6">
        <f t="shared" si="5"/>
        <v>0</v>
      </c>
      <c r="U56" s="6">
        <f t="shared" si="5"/>
        <v>0</v>
      </c>
      <c r="V56" s="6">
        <f t="shared" si="5"/>
        <v>0</v>
      </c>
      <c r="W56" s="6">
        <f t="shared" si="5"/>
        <v>0</v>
      </c>
      <c r="X56" s="6">
        <f t="shared" si="5"/>
        <v>0</v>
      </c>
      <c r="Y56" s="6">
        <f t="shared" si="5"/>
        <v>0</v>
      </c>
      <c r="Z56" s="6">
        <f t="shared" si="5"/>
        <v>0</v>
      </c>
      <c r="AA56" s="6">
        <f t="shared" si="5"/>
        <v>0</v>
      </c>
      <c r="AB56" s="6">
        <f t="shared" si="5"/>
        <v>0</v>
      </c>
      <c r="AC56" s="6" t="s">
        <v>21</v>
      </c>
      <c r="AD56" s="6" t="s">
        <v>34</v>
      </c>
      <c r="AE56" s="6" t="s">
        <v>24</v>
      </c>
      <c r="AF56" s="6" t="s">
        <v>25</v>
      </c>
    </row>
    <row r="57" spans="1:32" x14ac:dyDescent="0.3">
      <c r="A57" s="7">
        <v>56</v>
      </c>
      <c r="B57" s="7" t="s">
        <v>55</v>
      </c>
      <c r="C57" s="7">
        <f t="shared" si="2"/>
        <v>0</v>
      </c>
      <c r="D57" s="7">
        <f t="shared" si="2"/>
        <v>0</v>
      </c>
      <c r="E57" s="7">
        <f t="shared" si="2"/>
        <v>0</v>
      </c>
      <c r="F57" s="7">
        <f t="shared" si="2"/>
        <v>0</v>
      </c>
      <c r="G57" s="7">
        <f t="shared" si="2"/>
        <v>0</v>
      </c>
      <c r="H57" s="7">
        <f t="shared" si="2"/>
        <v>1</v>
      </c>
      <c r="I57" s="8" t="s">
        <v>15</v>
      </c>
      <c r="J57" s="8" t="s">
        <v>43</v>
      </c>
      <c r="K57" s="8" t="str">
        <f>_xlfn.XLOOKUP(J57,Worksheet!$F$1:$F$48,Worksheet!$G$1:$G$48,0)</f>
        <v>Lack of awareness</v>
      </c>
      <c r="L57" s="8" t="s">
        <v>37</v>
      </c>
      <c r="M57" s="8" t="s">
        <v>30</v>
      </c>
      <c r="N57" s="8" t="s">
        <v>58</v>
      </c>
      <c r="O57" s="8">
        <v>5</v>
      </c>
      <c r="P57" s="8" t="s">
        <v>45</v>
      </c>
      <c r="Q57" s="8" t="s">
        <v>63</v>
      </c>
      <c r="R57" s="8" t="s">
        <v>119</v>
      </c>
      <c r="S57" s="8">
        <f t="shared" si="3"/>
        <v>0</v>
      </c>
      <c r="T57" s="8">
        <f t="shared" si="5"/>
        <v>0</v>
      </c>
      <c r="U57" s="8">
        <f t="shared" si="5"/>
        <v>1</v>
      </c>
      <c r="V57" s="8">
        <f t="shared" si="5"/>
        <v>0</v>
      </c>
      <c r="W57" s="8">
        <f t="shared" si="5"/>
        <v>1</v>
      </c>
      <c r="X57" s="8">
        <f t="shared" si="5"/>
        <v>0</v>
      </c>
      <c r="Y57" s="8">
        <f t="shared" si="5"/>
        <v>0</v>
      </c>
      <c r="Z57" s="8">
        <f t="shared" si="5"/>
        <v>0</v>
      </c>
      <c r="AA57" s="8">
        <f t="shared" si="5"/>
        <v>0</v>
      </c>
      <c r="AB57" s="8">
        <f t="shared" si="5"/>
        <v>0</v>
      </c>
      <c r="AC57" s="8" t="s">
        <v>21</v>
      </c>
      <c r="AD57" s="8" t="s">
        <v>23</v>
      </c>
      <c r="AE57" s="8" t="s">
        <v>24</v>
      </c>
      <c r="AF57" s="8" t="s">
        <v>48</v>
      </c>
    </row>
    <row r="58" spans="1:32" x14ac:dyDescent="0.3">
      <c r="A58" s="5">
        <v>57</v>
      </c>
      <c r="B58" s="5" t="s">
        <v>91</v>
      </c>
      <c r="C58" s="5">
        <f t="shared" ref="C58:H100" si="6">IFERROR(IF(SEARCH(C$1,$B58)&gt;0,1,0),0)</f>
        <v>1</v>
      </c>
      <c r="D58" s="5">
        <f t="shared" si="6"/>
        <v>1</v>
      </c>
      <c r="E58" s="5">
        <f t="shared" si="6"/>
        <v>0</v>
      </c>
      <c r="F58" s="5">
        <f t="shared" si="6"/>
        <v>0</v>
      </c>
      <c r="G58" s="5">
        <f t="shared" si="6"/>
        <v>1</v>
      </c>
      <c r="H58" s="5">
        <f t="shared" si="6"/>
        <v>0</v>
      </c>
      <c r="I58" s="6" t="s">
        <v>27</v>
      </c>
      <c r="J58" s="6" t="s">
        <v>43</v>
      </c>
      <c r="K58" s="6" t="str">
        <f>_xlfn.XLOOKUP(J58,Worksheet!$F$1:$F$48,Worksheet!$G$1:$G$48,0)</f>
        <v>Lack of awareness</v>
      </c>
      <c r="L58" s="6" t="s">
        <v>29</v>
      </c>
      <c r="M58" s="6" t="s">
        <v>30</v>
      </c>
      <c r="N58" s="6" t="s">
        <v>44</v>
      </c>
      <c r="O58" s="6">
        <v>4</v>
      </c>
      <c r="P58" s="6" t="s">
        <v>45</v>
      </c>
      <c r="Q58" s="6" t="s">
        <v>46</v>
      </c>
      <c r="R58" s="6" t="s">
        <v>120</v>
      </c>
      <c r="S58" s="6">
        <f t="shared" si="3"/>
        <v>1</v>
      </c>
      <c r="T58" s="6">
        <f t="shared" si="5"/>
        <v>1</v>
      </c>
      <c r="U58" s="6">
        <f t="shared" si="5"/>
        <v>0</v>
      </c>
      <c r="V58" s="6">
        <f t="shared" si="5"/>
        <v>1</v>
      </c>
      <c r="W58" s="6">
        <f t="shared" si="5"/>
        <v>0</v>
      </c>
      <c r="X58" s="6">
        <f t="shared" si="5"/>
        <v>0</v>
      </c>
      <c r="Y58" s="6">
        <f t="shared" si="5"/>
        <v>1</v>
      </c>
      <c r="Z58" s="6">
        <f t="shared" si="5"/>
        <v>1</v>
      </c>
      <c r="AA58" s="6">
        <f t="shared" si="5"/>
        <v>0</v>
      </c>
      <c r="AB58" s="6">
        <f t="shared" si="5"/>
        <v>1</v>
      </c>
      <c r="AC58" s="6" t="s">
        <v>21</v>
      </c>
      <c r="AD58" s="6" t="s">
        <v>23</v>
      </c>
      <c r="AE58" s="6" t="s">
        <v>24</v>
      </c>
      <c r="AF58" s="6" t="s">
        <v>25</v>
      </c>
    </row>
    <row r="59" spans="1:32" x14ac:dyDescent="0.3">
      <c r="A59" s="7">
        <v>58</v>
      </c>
      <c r="B59" s="7" t="s">
        <v>121</v>
      </c>
      <c r="C59" s="7">
        <f t="shared" si="6"/>
        <v>1</v>
      </c>
      <c r="D59" s="7">
        <f t="shared" si="6"/>
        <v>0</v>
      </c>
      <c r="E59" s="7">
        <f t="shared" si="6"/>
        <v>0</v>
      </c>
      <c r="F59" s="7">
        <f t="shared" si="6"/>
        <v>0</v>
      </c>
      <c r="G59" s="7">
        <f t="shared" si="6"/>
        <v>1</v>
      </c>
      <c r="H59" s="7">
        <f t="shared" si="6"/>
        <v>1</v>
      </c>
      <c r="I59" s="8" t="s">
        <v>27</v>
      </c>
      <c r="J59" s="8" t="s">
        <v>43</v>
      </c>
      <c r="K59" s="8" t="str">
        <f>_xlfn.XLOOKUP(J59,Worksheet!$F$1:$F$48,Worksheet!$G$1:$G$48,0)</f>
        <v>Lack of awareness</v>
      </c>
      <c r="L59" s="8" t="s">
        <v>29</v>
      </c>
      <c r="M59" s="8" t="s">
        <v>49</v>
      </c>
      <c r="N59" s="8" t="s">
        <v>51</v>
      </c>
      <c r="O59" s="8">
        <v>5</v>
      </c>
      <c r="P59" s="8" t="s">
        <v>45</v>
      </c>
      <c r="Q59" s="8" t="s">
        <v>46</v>
      </c>
      <c r="R59" s="8" t="s">
        <v>122</v>
      </c>
      <c r="S59" s="8">
        <f t="shared" si="3"/>
        <v>1</v>
      </c>
      <c r="T59" s="8">
        <f t="shared" si="5"/>
        <v>1</v>
      </c>
      <c r="U59" s="8">
        <f t="shared" si="5"/>
        <v>0</v>
      </c>
      <c r="V59" s="8">
        <f t="shared" si="5"/>
        <v>1</v>
      </c>
      <c r="W59" s="8">
        <f t="shared" si="5"/>
        <v>0</v>
      </c>
      <c r="X59" s="8">
        <f t="shared" si="5"/>
        <v>1</v>
      </c>
      <c r="Y59" s="8">
        <f t="shared" si="5"/>
        <v>1</v>
      </c>
      <c r="Z59" s="8">
        <f t="shared" si="5"/>
        <v>1</v>
      </c>
      <c r="AA59" s="8">
        <f t="shared" si="5"/>
        <v>1</v>
      </c>
      <c r="AB59" s="8">
        <f t="shared" si="5"/>
        <v>1</v>
      </c>
      <c r="AC59" s="8" t="s">
        <v>21</v>
      </c>
      <c r="AD59" s="8" t="s">
        <v>23</v>
      </c>
      <c r="AE59" s="8" t="s">
        <v>24</v>
      </c>
      <c r="AF59" s="8" t="s">
        <v>25</v>
      </c>
    </row>
    <row r="60" spans="1:32" x14ac:dyDescent="0.3">
      <c r="A60" s="5">
        <v>59</v>
      </c>
      <c r="B60" s="5" t="s">
        <v>68</v>
      </c>
      <c r="C60" s="5">
        <f t="shared" si="6"/>
        <v>0</v>
      </c>
      <c r="D60" s="5">
        <f t="shared" si="6"/>
        <v>1</v>
      </c>
      <c r="E60" s="5">
        <f t="shared" si="6"/>
        <v>0</v>
      </c>
      <c r="F60" s="5">
        <f t="shared" si="6"/>
        <v>0</v>
      </c>
      <c r="G60" s="5">
        <f t="shared" si="6"/>
        <v>0</v>
      </c>
      <c r="H60" s="5">
        <f t="shared" si="6"/>
        <v>0</v>
      </c>
      <c r="I60" s="6" t="s">
        <v>15</v>
      </c>
      <c r="J60" s="6" t="s">
        <v>43</v>
      </c>
      <c r="K60" s="6" t="str">
        <f>_xlfn.XLOOKUP(J60,Worksheet!$F$1:$F$48,Worksheet!$G$1:$G$48,0)</f>
        <v>Lack of awareness</v>
      </c>
      <c r="L60" s="6" t="s">
        <v>29</v>
      </c>
      <c r="M60" s="6" t="s">
        <v>49</v>
      </c>
      <c r="N60" s="6" t="s">
        <v>44</v>
      </c>
      <c r="O60" s="6">
        <v>5</v>
      </c>
      <c r="P60" s="6" t="s">
        <v>72</v>
      </c>
      <c r="Q60" s="6" t="s">
        <v>46</v>
      </c>
      <c r="R60" s="6" t="s">
        <v>47</v>
      </c>
      <c r="S60" s="6">
        <f t="shared" si="3"/>
        <v>0</v>
      </c>
      <c r="T60" s="6">
        <f t="shared" si="5"/>
        <v>0</v>
      </c>
      <c r="U60" s="6">
        <f t="shared" si="5"/>
        <v>1</v>
      </c>
      <c r="V60" s="6">
        <f t="shared" si="5"/>
        <v>0</v>
      </c>
      <c r="W60" s="6">
        <f t="shared" si="5"/>
        <v>0</v>
      </c>
      <c r="X60" s="6">
        <f t="shared" si="5"/>
        <v>0</v>
      </c>
      <c r="Y60" s="6">
        <f t="shared" si="5"/>
        <v>0</v>
      </c>
      <c r="Z60" s="6">
        <f t="shared" si="5"/>
        <v>0</v>
      </c>
      <c r="AA60" s="6">
        <f t="shared" si="5"/>
        <v>0</v>
      </c>
      <c r="AB60" s="6">
        <f t="shared" si="5"/>
        <v>0</v>
      </c>
      <c r="AC60" s="6" t="s">
        <v>21</v>
      </c>
      <c r="AD60" s="6" t="s">
        <v>40</v>
      </c>
      <c r="AE60" s="6" t="s">
        <v>113</v>
      </c>
      <c r="AF60" s="6" t="s">
        <v>25</v>
      </c>
    </row>
    <row r="61" spans="1:32" x14ac:dyDescent="0.3">
      <c r="A61" s="7">
        <v>60</v>
      </c>
      <c r="B61" s="7" t="s">
        <v>66</v>
      </c>
      <c r="C61" s="7">
        <f t="shared" si="6"/>
        <v>0</v>
      </c>
      <c r="D61" s="7">
        <f t="shared" si="6"/>
        <v>1</v>
      </c>
      <c r="E61" s="7">
        <f t="shared" si="6"/>
        <v>0</v>
      </c>
      <c r="F61" s="7">
        <f t="shared" si="6"/>
        <v>0</v>
      </c>
      <c r="G61" s="7">
        <f t="shared" si="6"/>
        <v>0</v>
      </c>
      <c r="H61" s="7">
        <f t="shared" si="6"/>
        <v>1</v>
      </c>
      <c r="I61" s="8" t="s">
        <v>15</v>
      </c>
      <c r="J61" s="8" t="s">
        <v>43</v>
      </c>
      <c r="K61" s="8" t="str">
        <f>_xlfn.XLOOKUP(J61,Worksheet!$F$1:$F$48,Worksheet!$G$1:$G$48,0)</f>
        <v>Lack of awareness</v>
      </c>
      <c r="L61" s="8" t="s">
        <v>17</v>
      </c>
      <c r="M61" s="8" t="s">
        <v>30</v>
      </c>
      <c r="N61" s="8" t="s">
        <v>58</v>
      </c>
      <c r="O61" s="8">
        <v>5</v>
      </c>
      <c r="P61" s="8" t="s">
        <v>45</v>
      </c>
      <c r="Q61" s="8" t="s">
        <v>46</v>
      </c>
      <c r="R61" s="8" t="s">
        <v>123</v>
      </c>
      <c r="S61" s="8">
        <f t="shared" si="3"/>
        <v>1</v>
      </c>
      <c r="T61" s="8">
        <f t="shared" si="5"/>
        <v>1</v>
      </c>
      <c r="U61" s="8">
        <f t="shared" si="5"/>
        <v>1</v>
      </c>
      <c r="V61" s="8">
        <f t="shared" si="5"/>
        <v>0</v>
      </c>
      <c r="W61" s="8">
        <f t="shared" si="5"/>
        <v>0</v>
      </c>
      <c r="X61" s="8">
        <f t="shared" si="5"/>
        <v>1</v>
      </c>
      <c r="Y61" s="8">
        <f t="shared" si="5"/>
        <v>1</v>
      </c>
      <c r="Z61" s="8">
        <f t="shared" si="5"/>
        <v>1</v>
      </c>
      <c r="AA61" s="8">
        <f t="shared" si="5"/>
        <v>0</v>
      </c>
      <c r="AB61" s="8">
        <f t="shared" si="5"/>
        <v>1</v>
      </c>
      <c r="AC61" s="8" t="s">
        <v>21</v>
      </c>
      <c r="AD61" s="8" t="s">
        <v>23</v>
      </c>
      <c r="AE61" s="8" t="s">
        <v>24</v>
      </c>
      <c r="AF61" s="8" t="s">
        <v>25</v>
      </c>
    </row>
    <row r="62" spans="1:32" x14ac:dyDescent="0.3">
      <c r="A62" s="5">
        <v>61</v>
      </c>
      <c r="B62" s="5" t="s">
        <v>68</v>
      </c>
      <c r="C62" s="5">
        <f t="shared" si="6"/>
        <v>0</v>
      </c>
      <c r="D62" s="5">
        <f t="shared" si="6"/>
        <v>1</v>
      </c>
      <c r="E62" s="5">
        <f t="shared" si="6"/>
        <v>0</v>
      </c>
      <c r="F62" s="5">
        <f t="shared" si="6"/>
        <v>0</v>
      </c>
      <c r="G62" s="5">
        <f t="shared" si="6"/>
        <v>0</v>
      </c>
      <c r="H62" s="5">
        <f t="shared" si="6"/>
        <v>0</v>
      </c>
      <c r="I62" s="6" t="s">
        <v>42</v>
      </c>
      <c r="J62" s="6" t="s">
        <v>124</v>
      </c>
      <c r="K62" s="6" t="str">
        <f>_xlfn.XLOOKUP(J62,Worksheet!$F$1:$F$48,Worksheet!$G$1:$G$48,0)</f>
        <v>Fear</v>
      </c>
      <c r="L62" s="6" t="s">
        <v>37</v>
      </c>
      <c r="M62" s="6" t="s">
        <v>18</v>
      </c>
      <c r="N62" s="6" t="s">
        <v>44</v>
      </c>
      <c r="O62" s="6">
        <v>3</v>
      </c>
      <c r="P62" s="6" t="s">
        <v>45</v>
      </c>
      <c r="Q62" s="6" t="s">
        <v>46</v>
      </c>
      <c r="R62" s="6" t="s">
        <v>125</v>
      </c>
      <c r="S62" s="6">
        <f t="shared" si="3"/>
        <v>1</v>
      </c>
      <c r="T62" s="6">
        <f t="shared" si="5"/>
        <v>1</v>
      </c>
      <c r="U62" s="6">
        <f t="shared" si="5"/>
        <v>0</v>
      </c>
      <c r="V62" s="6">
        <f t="shared" si="5"/>
        <v>1</v>
      </c>
      <c r="W62" s="6">
        <f t="shared" si="5"/>
        <v>0</v>
      </c>
      <c r="X62" s="6">
        <f t="shared" si="5"/>
        <v>0</v>
      </c>
      <c r="Y62" s="6">
        <f t="shared" si="5"/>
        <v>0</v>
      </c>
      <c r="Z62" s="6">
        <f t="shared" si="5"/>
        <v>0</v>
      </c>
      <c r="AA62" s="6">
        <f t="shared" si="5"/>
        <v>0</v>
      </c>
      <c r="AB62" s="6">
        <f t="shared" si="5"/>
        <v>0</v>
      </c>
      <c r="AC62" s="6" t="s">
        <v>21</v>
      </c>
      <c r="AD62" s="6" t="s">
        <v>23</v>
      </c>
      <c r="AE62" s="6" t="s">
        <v>24</v>
      </c>
      <c r="AF62" s="6" t="s">
        <v>48</v>
      </c>
    </row>
    <row r="63" spans="1:32" x14ac:dyDescent="0.3">
      <c r="A63" s="7">
        <v>62</v>
      </c>
      <c r="B63" s="7" t="s">
        <v>68</v>
      </c>
      <c r="C63" s="7">
        <f t="shared" si="6"/>
        <v>0</v>
      </c>
      <c r="D63" s="7">
        <f t="shared" si="6"/>
        <v>1</v>
      </c>
      <c r="E63" s="7">
        <f t="shared" si="6"/>
        <v>0</v>
      </c>
      <c r="F63" s="7">
        <f t="shared" si="6"/>
        <v>0</v>
      </c>
      <c r="G63" s="7">
        <f t="shared" si="6"/>
        <v>0</v>
      </c>
      <c r="H63" s="7">
        <f t="shared" si="6"/>
        <v>0</v>
      </c>
      <c r="I63" s="8" t="s">
        <v>27</v>
      </c>
      <c r="J63" s="8" t="s">
        <v>124</v>
      </c>
      <c r="K63" s="8" t="str">
        <f>_xlfn.XLOOKUP(J63,Worksheet!$F$1:$F$48,Worksheet!$G$1:$G$48,0)</f>
        <v>Fear</v>
      </c>
      <c r="L63" s="8" t="s">
        <v>50</v>
      </c>
      <c r="M63" s="8" t="s">
        <v>30</v>
      </c>
      <c r="N63" s="8" t="s">
        <v>44</v>
      </c>
      <c r="O63" s="8">
        <v>4</v>
      </c>
      <c r="P63" s="8" t="s">
        <v>45</v>
      </c>
      <c r="Q63" s="8" t="s">
        <v>63</v>
      </c>
      <c r="R63" s="8" t="s">
        <v>126</v>
      </c>
      <c r="S63" s="8">
        <f t="shared" si="3"/>
        <v>1</v>
      </c>
      <c r="T63" s="8">
        <f t="shared" si="5"/>
        <v>0</v>
      </c>
      <c r="U63" s="8">
        <f t="shared" si="5"/>
        <v>1</v>
      </c>
      <c r="V63" s="8">
        <f t="shared" si="5"/>
        <v>0</v>
      </c>
      <c r="W63" s="8">
        <f t="shared" si="5"/>
        <v>1</v>
      </c>
      <c r="X63" s="8">
        <f t="shared" si="5"/>
        <v>1</v>
      </c>
      <c r="Y63" s="8">
        <f t="shared" si="5"/>
        <v>1</v>
      </c>
      <c r="Z63" s="8">
        <f t="shared" si="5"/>
        <v>1</v>
      </c>
      <c r="AA63" s="8">
        <f t="shared" si="5"/>
        <v>0</v>
      </c>
      <c r="AB63" s="8">
        <f t="shared" si="5"/>
        <v>0</v>
      </c>
      <c r="AC63" s="8" t="s">
        <v>25</v>
      </c>
      <c r="AD63" s="8" t="s">
        <v>34</v>
      </c>
      <c r="AE63" s="8" t="s">
        <v>24</v>
      </c>
      <c r="AF63" s="8" t="s">
        <v>82</v>
      </c>
    </row>
    <row r="64" spans="1:32" x14ac:dyDescent="0.3">
      <c r="A64" s="5">
        <v>63</v>
      </c>
      <c r="B64" s="5" t="s">
        <v>14</v>
      </c>
      <c r="C64" s="5">
        <f t="shared" si="6"/>
        <v>0</v>
      </c>
      <c r="D64" s="5">
        <f t="shared" si="6"/>
        <v>1</v>
      </c>
      <c r="E64" s="5">
        <f t="shared" si="6"/>
        <v>0</v>
      </c>
      <c r="F64" s="5">
        <f t="shared" si="6"/>
        <v>0</v>
      </c>
      <c r="G64" s="5">
        <f t="shared" si="6"/>
        <v>1</v>
      </c>
      <c r="H64" s="5">
        <f t="shared" si="6"/>
        <v>1</v>
      </c>
      <c r="I64" s="6" t="s">
        <v>15</v>
      </c>
      <c r="J64" s="6" t="s">
        <v>62</v>
      </c>
      <c r="K64" s="6" t="str">
        <f>_xlfn.XLOOKUP(J64,Worksheet!$F$1:$F$48,Worksheet!$G$1:$G$48,0)</f>
        <v>Cost</v>
      </c>
      <c r="L64" s="6" t="s">
        <v>17</v>
      </c>
      <c r="M64" s="6" t="s">
        <v>15</v>
      </c>
      <c r="N64" s="6" t="s">
        <v>58</v>
      </c>
      <c r="O64" s="6">
        <v>5</v>
      </c>
      <c r="P64" s="6" t="s">
        <v>45</v>
      </c>
      <c r="Q64" s="6" t="s">
        <v>46</v>
      </c>
      <c r="R64" s="6" t="s">
        <v>67</v>
      </c>
      <c r="S64" s="6">
        <f t="shared" si="3"/>
        <v>1</v>
      </c>
      <c r="T64" s="6">
        <f t="shared" si="5"/>
        <v>1</v>
      </c>
      <c r="U64" s="6">
        <f t="shared" si="5"/>
        <v>1</v>
      </c>
      <c r="V64" s="6">
        <f t="shared" si="5"/>
        <v>1</v>
      </c>
      <c r="W64" s="6">
        <f t="shared" si="5"/>
        <v>1</v>
      </c>
      <c r="X64" s="6">
        <f t="shared" si="5"/>
        <v>1</v>
      </c>
      <c r="Y64" s="6">
        <f t="shared" si="5"/>
        <v>1</v>
      </c>
      <c r="Z64" s="6">
        <f t="shared" si="5"/>
        <v>1</v>
      </c>
      <c r="AA64" s="6">
        <f t="shared" si="5"/>
        <v>1</v>
      </c>
      <c r="AB64" s="6">
        <f t="shared" si="5"/>
        <v>1</v>
      </c>
      <c r="AC64" s="6" t="s">
        <v>21</v>
      </c>
      <c r="AD64" s="6" t="s">
        <v>23</v>
      </c>
      <c r="AE64" s="6" t="s">
        <v>24</v>
      </c>
      <c r="AF64" s="6" t="s">
        <v>48</v>
      </c>
    </row>
    <row r="65" spans="1:32" x14ac:dyDescent="0.3">
      <c r="A65" s="7">
        <v>64</v>
      </c>
      <c r="B65" s="7" t="s">
        <v>68</v>
      </c>
      <c r="C65" s="7">
        <f t="shared" si="6"/>
        <v>0</v>
      </c>
      <c r="D65" s="7">
        <f t="shared" si="6"/>
        <v>1</v>
      </c>
      <c r="E65" s="7">
        <f t="shared" si="6"/>
        <v>0</v>
      </c>
      <c r="F65" s="7">
        <f t="shared" si="6"/>
        <v>0</v>
      </c>
      <c r="G65" s="7">
        <f t="shared" si="6"/>
        <v>0</v>
      </c>
      <c r="H65" s="7">
        <f t="shared" si="6"/>
        <v>0</v>
      </c>
      <c r="I65" s="8" t="s">
        <v>27</v>
      </c>
      <c r="J65" s="8" t="s">
        <v>43</v>
      </c>
      <c r="K65" s="8" t="str">
        <f>_xlfn.XLOOKUP(J65,Worksheet!$F$1:$F$48,Worksheet!$G$1:$G$48,0)</f>
        <v>Lack of awareness</v>
      </c>
      <c r="L65" s="8" t="s">
        <v>29</v>
      </c>
      <c r="M65" s="8" t="s">
        <v>15</v>
      </c>
      <c r="N65" s="8" t="s">
        <v>51</v>
      </c>
      <c r="O65" s="8">
        <v>5</v>
      </c>
      <c r="P65" s="8" t="s">
        <v>45</v>
      </c>
      <c r="Q65" s="8" t="s">
        <v>63</v>
      </c>
      <c r="R65" s="8" t="s">
        <v>60</v>
      </c>
      <c r="S65" s="8">
        <f t="shared" si="3"/>
        <v>1</v>
      </c>
      <c r="T65" s="8">
        <f t="shared" si="5"/>
        <v>0</v>
      </c>
      <c r="U65" s="8">
        <f t="shared" si="5"/>
        <v>1</v>
      </c>
      <c r="V65" s="8">
        <f t="shared" si="5"/>
        <v>0</v>
      </c>
      <c r="W65" s="8">
        <f t="shared" si="5"/>
        <v>0</v>
      </c>
      <c r="X65" s="8">
        <f t="shared" si="5"/>
        <v>0</v>
      </c>
      <c r="Y65" s="8">
        <f t="shared" si="5"/>
        <v>0</v>
      </c>
      <c r="Z65" s="8">
        <f t="shared" si="5"/>
        <v>0</v>
      </c>
      <c r="AA65" s="8">
        <f t="shared" si="5"/>
        <v>0</v>
      </c>
      <c r="AB65" s="8">
        <f t="shared" si="5"/>
        <v>0</v>
      </c>
      <c r="AC65" s="8" t="s">
        <v>21</v>
      </c>
      <c r="AD65" s="8" t="s">
        <v>23</v>
      </c>
      <c r="AE65" s="8" t="s">
        <v>24</v>
      </c>
      <c r="AF65" s="8" t="s">
        <v>25</v>
      </c>
    </row>
    <row r="66" spans="1:32" x14ac:dyDescent="0.3">
      <c r="A66" s="5">
        <v>65</v>
      </c>
      <c r="B66" s="5" t="s">
        <v>100</v>
      </c>
      <c r="C66" s="5">
        <f t="shared" si="6"/>
        <v>1</v>
      </c>
      <c r="D66" s="5">
        <f t="shared" si="6"/>
        <v>0</v>
      </c>
      <c r="E66" s="5">
        <f t="shared" si="6"/>
        <v>0</v>
      </c>
      <c r="F66" s="5">
        <f t="shared" si="6"/>
        <v>0</v>
      </c>
      <c r="G66" s="5">
        <f t="shared" si="6"/>
        <v>0</v>
      </c>
      <c r="H66" s="5">
        <f t="shared" si="6"/>
        <v>0</v>
      </c>
      <c r="I66" s="6" t="s">
        <v>15</v>
      </c>
      <c r="J66" s="6" t="s">
        <v>43</v>
      </c>
      <c r="K66" s="6" t="str">
        <f>_xlfn.XLOOKUP(J66,Worksheet!$F$1:$F$48,Worksheet!$G$1:$G$48,0)</f>
        <v>Lack of awareness</v>
      </c>
      <c r="L66" s="6" t="s">
        <v>37</v>
      </c>
      <c r="M66" s="6" t="s">
        <v>15</v>
      </c>
      <c r="N66" s="6" t="s">
        <v>70</v>
      </c>
      <c r="O66" s="6">
        <v>3</v>
      </c>
      <c r="P66" s="6" t="s">
        <v>45</v>
      </c>
      <c r="Q66" s="6" t="s">
        <v>46</v>
      </c>
      <c r="R66" s="6" t="s">
        <v>127</v>
      </c>
      <c r="S66" s="6">
        <f t="shared" si="3"/>
        <v>1</v>
      </c>
      <c r="T66" s="6">
        <f t="shared" si="5"/>
        <v>1</v>
      </c>
      <c r="U66" s="6">
        <f t="shared" si="5"/>
        <v>1</v>
      </c>
      <c r="V66" s="6">
        <f t="shared" si="5"/>
        <v>0</v>
      </c>
      <c r="W66" s="6">
        <f t="shared" si="5"/>
        <v>0</v>
      </c>
      <c r="X66" s="6">
        <f t="shared" si="5"/>
        <v>0</v>
      </c>
      <c r="Y66" s="6">
        <f t="shared" si="5"/>
        <v>1</v>
      </c>
      <c r="Z66" s="6">
        <f t="shared" si="5"/>
        <v>0</v>
      </c>
      <c r="AA66" s="6">
        <f t="shared" si="5"/>
        <v>0</v>
      </c>
      <c r="AB66" s="6">
        <f t="shared" si="5"/>
        <v>0</v>
      </c>
      <c r="AC66" s="6" t="s">
        <v>21</v>
      </c>
      <c r="AD66" s="6" t="s">
        <v>23</v>
      </c>
      <c r="AE66" s="6" t="s">
        <v>24</v>
      </c>
      <c r="AF66" s="6" t="s">
        <v>25</v>
      </c>
    </row>
    <row r="67" spans="1:32" x14ac:dyDescent="0.3">
      <c r="A67" s="7">
        <v>66</v>
      </c>
      <c r="B67" s="7" t="s">
        <v>26</v>
      </c>
      <c r="C67" s="7">
        <f t="shared" si="6"/>
        <v>0</v>
      </c>
      <c r="D67" s="7">
        <f t="shared" si="6"/>
        <v>1</v>
      </c>
      <c r="E67" s="7">
        <f t="shared" si="6"/>
        <v>0</v>
      </c>
      <c r="F67" s="7">
        <f t="shared" si="6"/>
        <v>0</v>
      </c>
      <c r="G67" s="7">
        <f t="shared" si="6"/>
        <v>1</v>
      </c>
      <c r="H67" s="7">
        <f t="shared" si="6"/>
        <v>0</v>
      </c>
      <c r="I67" s="8" t="s">
        <v>49</v>
      </c>
      <c r="J67" s="8" t="s">
        <v>128</v>
      </c>
      <c r="K67" s="8" t="str">
        <f>_xlfn.XLOOKUP(J67,Worksheet!$F$1:$F$48,Worksheet!$G$1:$G$48,0)</f>
        <v>Lack of awareness</v>
      </c>
      <c r="L67" s="8" t="s">
        <v>50</v>
      </c>
      <c r="M67" s="8" t="s">
        <v>30</v>
      </c>
      <c r="N67" s="8" t="s">
        <v>44</v>
      </c>
      <c r="O67" s="8">
        <v>4</v>
      </c>
      <c r="P67" s="8" t="s">
        <v>45</v>
      </c>
      <c r="Q67" s="8" t="s">
        <v>63</v>
      </c>
      <c r="R67" s="8" t="s">
        <v>78</v>
      </c>
      <c r="S67" s="8">
        <f t="shared" ref="S67:AB96" si="7">IFERROR(IF(SEARCH(S$1,$R67)&gt;0,1,0),0)</f>
        <v>1</v>
      </c>
      <c r="T67" s="8">
        <f t="shared" si="5"/>
        <v>1</v>
      </c>
      <c r="U67" s="8">
        <f t="shared" si="5"/>
        <v>0</v>
      </c>
      <c r="V67" s="8">
        <f t="shared" si="5"/>
        <v>1</v>
      </c>
      <c r="W67" s="8">
        <f t="shared" si="5"/>
        <v>1</v>
      </c>
      <c r="X67" s="8">
        <f t="shared" si="5"/>
        <v>1</v>
      </c>
      <c r="Y67" s="8">
        <f t="shared" si="5"/>
        <v>1</v>
      </c>
      <c r="Z67" s="8">
        <f t="shared" si="5"/>
        <v>1</v>
      </c>
      <c r="AA67" s="8">
        <f t="shared" si="5"/>
        <v>0</v>
      </c>
      <c r="AB67" s="8">
        <f t="shared" si="5"/>
        <v>1</v>
      </c>
      <c r="AC67" s="8" t="s">
        <v>21</v>
      </c>
      <c r="AD67" s="8" t="s">
        <v>23</v>
      </c>
      <c r="AE67" s="8" t="s">
        <v>24</v>
      </c>
      <c r="AF67" s="8" t="s">
        <v>48</v>
      </c>
    </row>
    <row r="68" spans="1:32" x14ac:dyDescent="0.3">
      <c r="A68" s="5">
        <v>67</v>
      </c>
      <c r="B68" s="5" t="s">
        <v>61</v>
      </c>
      <c r="C68" s="5">
        <f t="shared" si="6"/>
        <v>1</v>
      </c>
      <c r="D68" s="5">
        <f t="shared" si="6"/>
        <v>1</v>
      </c>
      <c r="E68" s="5">
        <f t="shared" si="6"/>
        <v>0</v>
      </c>
      <c r="F68" s="5">
        <f t="shared" si="6"/>
        <v>0</v>
      </c>
      <c r="G68" s="5">
        <f t="shared" si="6"/>
        <v>1</v>
      </c>
      <c r="H68" s="5">
        <f t="shared" si="6"/>
        <v>1</v>
      </c>
      <c r="I68" s="6" t="s">
        <v>15</v>
      </c>
      <c r="J68" s="6" t="s">
        <v>124</v>
      </c>
      <c r="K68" s="6" t="str">
        <f>_xlfn.XLOOKUP(J68,Worksheet!$F$1:$F$48,Worksheet!$G$1:$G$48,0)</f>
        <v>Fear</v>
      </c>
      <c r="L68" s="6" t="s">
        <v>29</v>
      </c>
      <c r="M68" s="6" t="s">
        <v>15</v>
      </c>
      <c r="N68" s="6" t="s">
        <v>44</v>
      </c>
      <c r="O68" s="6">
        <v>4</v>
      </c>
      <c r="P68" s="6" t="s">
        <v>84</v>
      </c>
      <c r="Q68" s="6" t="s">
        <v>63</v>
      </c>
      <c r="R68" s="6" t="s">
        <v>129</v>
      </c>
      <c r="S68" s="6">
        <f t="shared" si="7"/>
        <v>1</v>
      </c>
      <c r="T68" s="6">
        <f t="shared" si="5"/>
        <v>1</v>
      </c>
      <c r="U68" s="6">
        <f t="shared" si="5"/>
        <v>0</v>
      </c>
      <c r="V68" s="6">
        <f t="shared" si="5"/>
        <v>1</v>
      </c>
      <c r="W68" s="6">
        <f t="shared" si="5"/>
        <v>1</v>
      </c>
      <c r="X68" s="6">
        <f t="shared" si="5"/>
        <v>1</v>
      </c>
      <c r="Y68" s="6">
        <f t="shared" si="5"/>
        <v>0</v>
      </c>
      <c r="Z68" s="6">
        <f t="shared" si="5"/>
        <v>0</v>
      </c>
      <c r="AA68" s="6">
        <f t="shared" si="5"/>
        <v>1</v>
      </c>
      <c r="AB68" s="6">
        <f t="shared" si="5"/>
        <v>1</v>
      </c>
      <c r="AC68" s="6" t="s">
        <v>21</v>
      </c>
      <c r="AD68" s="6" t="s">
        <v>23</v>
      </c>
      <c r="AE68" s="6" t="s">
        <v>24</v>
      </c>
      <c r="AF68" s="6" t="s">
        <v>48</v>
      </c>
    </row>
    <row r="69" spans="1:32" x14ac:dyDescent="0.3">
      <c r="A69" s="7">
        <v>68</v>
      </c>
      <c r="B69" s="7" t="s">
        <v>61</v>
      </c>
      <c r="C69" s="7">
        <f t="shared" si="6"/>
        <v>1</v>
      </c>
      <c r="D69" s="7">
        <f t="shared" si="6"/>
        <v>1</v>
      </c>
      <c r="E69" s="7">
        <f t="shared" si="6"/>
        <v>0</v>
      </c>
      <c r="F69" s="7">
        <f t="shared" si="6"/>
        <v>0</v>
      </c>
      <c r="G69" s="7">
        <f t="shared" si="6"/>
        <v>1</v>
      </c>
      <c r="H69" s="7">
        <f t="shared" si="6"/>
        <v>1</v>
      </c>
      <c r="I69" s="8" t="s">
        <v>49</v>
      </c>
      <c r="J69" s="8" t="s">
        <v>43</v>
      </c>
      <c r="K69" s="8" t="str">
        <f>_xlfn.XLOOKUP(J69,Worksheet!$F$1:$F$48,Worksheet!$G$1:$G$48,0)</f>
        <v>Lack of awareness</v>
      </c>
      <c r="L69" s="8" t="s">
        <v>29</v>
      </c>
      <c r="M69" s="8" t="s">
        <v>30</v>
      </c>
      <c r="N69" s="8" t="s">
        <v>51</v>
      </c>
      <c r="O69" s="8">
        <v>5</v>
      </c>
      <c r="P69" s="8" t="s">
        <v>45</v>
      </c>
      <c r="Q69" s="8" t="s">
        <v>46</v>
      </c>
      <c r="R69" s="8" t="s">
        <v>130</v>
      </c>
      <c r="S69" s="8">
        <f t="shared" si="7"/>
        <v>1</v>
      </c>
      <c r="T69" s="8">
        <f t="shared" si="5"/>
        <v>1</v>
      </c>
      <c r="U69" s="8">
        <f t="shared" si="5"/>
        <v>1</v>
      </c>
      <c r="V69" s="8">
        <f t="shared" si="5"/>
        <v>1</v>
      </c>
      <c r="W69" s="8">
        <f t="shared" si="5"/>
        <v>0</v>
      </c>
      <c r="X69" s="8">
        <f t="shared" si="5"/>
        <v>1</v>
      </c>
      <c r="Y69" s="8">
        <f t="shared" si="5"/>
        <v>1</v>
      </c>
      <c r="Z69" s="8">
        <f t="shared" si="5"/>
        <v>0</v>
      </c>
      <c r="AA69" s="8">
        <f t="shared" si="5"/>
        <v>0</v>
      </c>
      <c r="AB69" s="8">
        <f t="shared" si="5"/>
        <v>0</v>
      </c>
      <c r="AC69" s="8" t="s">
        <v>21</v>
      </c>
      <c r="AD69" s="8" t="s">
        <v>40</v>
      </c>
      <c r="AE69" s="8" t="s">
        <v>54</v>
      </c>
      <c r="AF69" s="8" t="s">
        <v>48</v>
      </c>
    </row>
    <row r="70" spans="1:32" x14ac:dyDescent="0.3">
      <c r="A70" s="5">
        <v>69</v>
      </c>
      <c r="B70" s="5" t="s">
        <v>100</v>
      </c>
      <c r="C70" s="5">
        <f t="shared" si="6"/>
        <v>1</v>
      </c>
      <c r="D70" s="5">
        <f t="shared" si="6"/>
        <v>0</v>
      </c>
      <c r="E70" s="5">
        <f t="shared" si="6"/>
        <v>0</v>
      </c>
      <c r="F70" s="5">
        <f t="shared" si="6"/>
        <v>0</v>
      </c>
      <c r="G70" s="5">
        <f t="shared" si="6"/>
        <v>0</v>
      </c>
      <c r="H70" s="5">
        <f t="shared" si="6"/>
        <v>0</v>
      </c>
      <c r="I70" s="6" t="s">
        <v>27</v>
      </c>
      <c r="J70" s="6" t="s">
        <v>43</v>
      </c>
      <c r="K70" s="6" t="str">
        <f>_xlfn.XLOOKUP(J70,Worksheet!$F$1:$F$48,Worksheet!$G$1:$G$48,0)</f>
        <v>Lack of awareness</v>
      </c>
      <c r="L70" s="6" t="s">
        <v>50</v>
      </c>
      <c r="M70" s="6" t="s">
        <v>30</v>
      </c>
      <c r="N70" s="6" t="s">
        <v>58</v>
      </c>
      <c r="O70" s="6">
        <v>4</v>
      </c>
      <c r="P70" s="6" t="s">
        <v>84</v>
      </c>
      <c r="Q70" s="6" t="s">
        <v>63</v>
      </c>
      <c r="R70" s="6" t="s">
        <v>131</v>
      </c>
      <c r="S70" s="6">
        <f t="shared" si="7"/>
        <v>0</v>
      </c>
      <c r="T70" s="6">
        <f t="shared" si="5"/>
        <v>0</v>
      </c>
      <c r="U70" s="6">
        <f t="shared" si="5"/>
        <v>0</v>
      </c>
      <c r="V70" s="6">
        <f t="shared" si="5"/>
        <v>0</v>
      </c>
      <c r="W70" s="6">
        <f t="shared" si="5"/>
        <v>0</v>
      </c>
      <c r="X70" s="6">
        <f t="shared" si="5"/>
        <v>1</v>
      </c>
      <c r="Y70" s="6">
        <f t="shared" si="5"/>
        <v>0</v>
      </c>
      <c r="Z70" s="6">
        <f t="shared" si="5"/>
        <v>0</v>
      </c>
      <c r="AA70" s="6">
        <f t="shared" si="5"/>
        <v>0</v>
      </c>
      <c r="AB70" s="6">
        <f t="shared" si="5"/>
        <v>0</v>
      </c>
      <c r="AC70" s="6" t="s">
        <v>21</v>
      </c>
      <c r="AD70" s="6" t="s">
        <v>23</v>
      </c>
      <c r="AE70" s="6" t="s">
        <v>24</v>
      </c>
      <c r="AF70" s="6" t="s">
        <v>48</v>
      </c>
    </row>
    <row r="71" spans="1:32" x14ac:dyDescent="0.3">
      <c r="A71" s="7">
        <v>70</v>
      </c>
      <c r="B71" s="7" t="s">
        <v>55</v>
      </c>
      <c r="C71" s="7">
        <f t="shared" si="6"/>
        <v>0</v>
      </c>
      <c r="D71" s="7">
        <f t="shared" si="6"/>
        <v>0</v>
      </c>
      <c r="E71" s="7">
        <f t="shared" si="6"/>
        <v>0</v>
      </c>
      <c r="F71" s="7">
        <f t="shared" si="6"/>
        <v>0</v>
      </c>
      <c r="G71" s="7">
        <f t="shared" si="6"/>
        <v>0</v>
      </c>
      <c r="H71" s="7">
        <f t="shared" si="6"/>
        <v>1</v>
      </c>
      <c r="I71" s="8" t="s">
        <v>15</v>
      </c>
      <c r="J71" s="8" t="s">
        <v>124</v>
      </c>
      <c r="K71" s="8" t="str">
        <f>_xlfn.XLOOKUP(J71,Worksheet!$F$1:$F$48,Worksheet!$G$1:$G$48,0)</f>
        <v>Fear</v>
      </c>
      <c r="L71" s="8" t="s">
        <v>356</v>
      </c>
      <c r="M71" s="8" t="s">
        <v>15</v>
      </c>
      <c r="N71" s="8" t="s">
        <v>44</v>
      </c>
      <c r="O71" s="8">
        <v>5</v>
      </c>
      <c r="P71" s="8" t="s">
        <v>45</v>
      </c>
      <c r="Q71" s="8" t="s">
        <v>46</v>
      </c>
      <c r="R71" s="8" t="s">
        <v>106</v>
      </c>
      <c r="S71" s="8">
        <f t="shared" si="7"/>
        <v>1</v>
      </c>
      <c r="T71" s="8">
        <f t="shared" si="5"/>
        <v>1</v>
      </c>
      <c r="U71" s="8">
        <f t="shared" si="5"/>
        <v>1</v>
      </c>
      <c r="V71" s="8">
        <f t="shared" si="5"/>
        <v>1</v>
      </c>
      <c r="W71" s="8">
        <f t="shared" si="5"/>
        <v>1</v>
      </c>
      <c r="X71" s="8">
        <f t="shared" si="5"/>
        <v>0</v>
      </c>
      <c r="Y71" s="8">
        <f t="shared" si="5"/>
        <v>1</v>
      </c>
      <c r="Z71" s="8">
        <f t="shared" si="5"/>
        <v>1</v>
      </c>
      <c r="AA71" s="8">
        <f t="shared" si="5"/>
        <v>1</v>
      </c>
      <c r="AB71" s="8">
        <f t="shared" si="5"/>
        <v>0</v>
      </c>
      <c r="AC71" s="8" t="s">
        <v>21</v>
      </c>
      <c r="AD71" s="8" t="s">
        <v>23</v>
      </c>
      <c r="AE71" s="8" t="s">
        <v>24</v>
      </c>
      <c r="AF71" s="8" t="s">
        <v>48</v>
      </c>
    </row>
    <row r="72" spans="1:32" x14ac:dyDescent="0.3">
      <c r="A72" s="5">
        <v>71</v>
      </c>
      <c r="B72" s="5" t="s">
        <v>340</v>
      </c>
      <c r="C72" s="5">
        <f t="shared" si="6"/>
        <v>0</v>
      </c>
      <c r="D72" s="5">
        <f t="shared" si="6"/>
        <v>0</v>
      </c>
      <c r="E72" s="5">
        <f t="shared" si="6"/>
        <v>1</v>
      </c>
      <c r="F72" s="5">
        <f t="shared" si="6"/>
        <v>0</v>
      </c>
      <c r="G72" s="5">
        <f t="shared" si="6"/>
        <v>0</v>
      </c>
      <c r="H72" s="5">
        <f t="shared" si="6"/>
        <v>0</v>
      </c>
      <c r="I72" s="6" t="s">
        <v>42</v>
      </c>
      <c r="J72" s="6" t="s">
        <v>43</v>
      </c>
      <c r="K72" s="6" t="str">
        <f>_xlfn.XLOOKUP(J72,Worksheet!$F$1:$F$48,Worksheet!$G$1:$G$48,0)</f>
        <v>Lack of awareness</v>
      </c>
      <c r="L72" s="6" t="s">
        <v>50</v>
      </c>
      <c r="M72" s="6" t="s">
        <v>49</v>
      </c>
      <c r="N72" s="6" t="s">
        <v>51</v>
      </c>
      <c r="O72" s="6">
        <v>5</v>
      </c>
      <c r="P72" s="6" t="s">
        <v>59</v>
      </c>
      <c r="Q72" s="6" t="s">
        <v>46</v>
      </c>
      <c r="R72" s="6" t="s">
        <v>132</v>
      </c>
      <c r="S72" s="6">
        <f t="shared" si="7"/>
        <v>1</v>
      </c>
      <c r="T72" s="6">
        <f t="shared" si="7"/>
        <v>0</v>
      </c>
      <c r="U72" s="6">
        <f t="shared" si="7"/>
        <v>1</v>
      </c>
      <c r="V72" s="6">
        <f t="shared" si="7"/>
        <v>0</v>
      </c>
      <c r="W72" s="6">
        <f t="shared" si="7"/>
        <v>0</v>
      </c>
      <c r="X72" s="6">
        <f t="shared" si="7"/>
        <v>0</v>
      </c>
      <c r="Y72" s="6">
        <f t="shared" si="7"/>
        <v>0</v>
      </c>
      <c r="Z72" s="6">
        <f t="shared" si="7"/>
        <v>1</v>
      </c>
      <c r="AA72" s="6">
        <f t="shared" si="7"/>
        <v>0</v>
      </c>
      <c r="AB72" s="6">
        <f t="shared" si="7"/>
        <v>0</v>
      </c>
      <c r="AC72" s="6" t="s">
        <v>21</v>
      </c>
      <c r="AD72" s="6" t="s">
        <v>34</v>
      </c>
      <c r="AE72" s="6" t="s">
        <v>24</v>
      </c>
      <c r="AF72" s="6" t="s">
        <v>48</v>
      </c>
    </row>
    <row r="73" spans="1:32" x14ac:dyDescent="0.3">
      <c r="A73" s="7">
        <v>72</v>
      </c>
      <c r="B73" s="7" t="s">
        <v>340</v>
      </c>
      <c r="C73" s="7">
        <f t="shared" si="6"/>
        <v>0</v>
      </c>
      <c r="D73" s="7">
        <f t="shared" si="6"/>
        <v>0</v>
      </c>
      <c r="E73" s="7">
        <f t="shared" si="6"/>
        <v>1</v>
      </c>
      <c r="F73" s="7">
        <f t="shared" si="6"/>
        <v>0</v>
      </c>
      <c r="G73" s="7">
        <f t="shared" si="6"/>
        <v>0</v>
      </c>
      <c r="H73" s="7">
        <f t="shared" si="6"/>
        <v>0</v>
      </c>
      <c r="I73" s="8" t="s">
        <v>15</v>
      </c>
      <c r="J73" s="8" t="s">
        <v>43</v>
      </c>
      <c r="K73" s="8" t="str">
        <f>_xlfn.XLOOKUP(J73,Worksheet!$F$1:$F$48,Worksheet!$G$1:$G$48,0)</f>
        <v>Lack of awareness</v>
      </c>
      <c r="L73" s="8" t="s">
        <v>356</v>
      </c>
      <c r="M73" s="8" t="s">
        <v>30</v>
      </c>
      <c r="N73" s="8" t="s">
        <v>70</v>
      </c>
      <c r="O73" s="8">
        <v>4</v>
      </c>
      <c r="P73" s="8" t="s">
        <v>45</v>
      </c>
      <c r="Q73" s="8" t="s">
        <v>46</v>
      </c>
      <c r="R73" s="8" t="s">
        <v>133</v>
      </c>
      <c r="S73" s="8">
        <f t="shared" si="7"/>
        <v>0</v>
      </c>
      <c r="T73" s="8">
        <f t="shared" si="7"/>
        <v>0</v>
      </c>
      <c r="U73" s="8">
        <f t="shared" si="7"/>
        <v>0</v>
      </c>
      <c r="V73" s="8">
        <f t="shared" si="7"/>
        <v>1</v>
      </c>
      <c r="W73" s="8">
        <f t="shared" si="7"/>
        <v>1</v>
      </c>
      <c r="X73" s="8">
        <f t="shared" si="7"/>
        <v>1</v>
      </c>
      <c r="Y73" s="8">
        <f t="shared" si="7"/>
        <v>1</v>
      </c>
      <c r="Z73" s="8">
        <f t="shared" si="7"/>
        <v>1</v>
      </c>
      <c r="AA73" s="8">
        <f t="shared" si="7"/>
        <v>1</v>
      </c>
      <c r="AB73" s="8">
        <f t="shared" si="7"/>
        <v>0</v>
      </c>
      <c r="AC73" s="8" t="s">
        <v>21</v>
      </c>
      <c r="AD73" s="8" t="s">
        <v>23</v>
      </c>
      <c r="AE73" s="8" t="s">
        <v>24</v>
      </c>
      <c r="AF73" s="8" t="s">
        <v>21</v>
      </c>
    </row>
    <row r="74" spans="1:32" x14ac:dyDescent="0.3">
      <c r="A74" s="5">
        <v>73</v>
      </c>
      <c r="B74" s="5" t="s">
        <v>66</v>
      </c>
      <c r="C74" s="5">
        <f t="shared" si="6"/>
        <v>0</v>
      </c>
      <c r="D74" s="5">
        <f t="shared" si="6"/>
        <v>1</v>
      </c>
      <c r="E74" s="5">
        <f t="shared" si="6"/>
        <v>0</v>
      </c>
      <c r="F74" s="5">
        <f t="shared" si="6"/>
        <v>0</v>
      </c>
      <c r="G74" s="5">
        <f t="shared" si="6"/>
        <v>0</v>
      </c>
      <c r="H74" s="5">
        <f t="shared" si="6"/>
        <v>1</v>
      </c>
      <c r="I74" s="6" t="s">
        <v>49</v>
      </c>
      <c r="J74" s="6" t="s">
        <v>43</v>
      </c>
      <c r="K74" s="6" t="str">
        <f>_xlfn.XLOOKUP(J74,Worksheet!$F$1:$F$48,Worksheet!$G$1:$G$48,0)</f>
        <v>Lack of awareness</v>
      </c>
      <c r="L74" s="6" t="s">
        <v>50</v>
      </c>
      <c r="M74" s="6" t="s">
        <v>30</v>
      </c>
      <c r="N74" s="6" t="s">
        <v>70</v>
      </c>
      <c r="O74" s="6">
        <v>5</v>
      </c>
      <c r="P74" s="6" t="s">
        <v>45</v>
      </c>
      <c r="Q74" s="6" t="s">
        <v>52</v>
      </c>
      <c r="R74" s="6" t="s">
        <v>134</v>
      </c>
      <c r="S74" s="6">
        <f t="shared" si="7"/>
        <v>1</v>
      </c>
      <c r="T74" s="6">
        <f t="shared" si="7"/>
        <v>1</v>
      </c>
      <c r="U74" s="6">
        <f t="shared" si="7"/>
        <v>0</v>
      </c>
      <c r="V74" s="6">
        <f t="shared" si="7"/>
        <v>0</v>
      </c>
      <c r="W74" s="6">
        <f t="shared" si="7"/>
        <v>0</v>
      </c>
      <c r="X74" s="6">
        <f t="shared" si="7"/>
        <v>1</v>
      </c>
      <c r="Y74" s="6">
        <f t="shared" si="7"/>
        <v>1</v>
      </c>
      <c r="Z74" s="6">
        <f t="shared" si="7"/>
        <v>0</v>
      </c>
      <c r="AA74" s="6">
        <f t="shared" si="7"/>
        <v>1</v>
      </c>
      <c r="AB74" s="6">
        <f t="shared" si="7"/>
        <v>1</v>
      </c>
      <c r="AC74" s="6" t="s">
        <v>21</v>
      </c>
      <c r="AD74" s="6" t="s">
        <v>34</v>
      </c>
      <c r="AE74" s="6" t="s">
        <v>24</v>
      </c>
      <c r="AF74" s="6" t="s">
        <v>82</v>
      </c>
    </row>
    <row r="75" spans="1:32" x14ac:dyDescent="0.3">
      <c r="A75" s="7">
        <v>74</v>
      </c>
      <c r="B75" s="7" t="s">
        <v>135</v>
      </c>
      <c r="C75" s="7">
        <f t="shared" si="6"/>
        <v>0</v>
      </c>
      <c r="D75" s="7">
        <f t="shared" si="6"/>
        <v>0</v>
      </c>
      <c r="E75" s="7">
        <f t="shared" si="6"/>
        <v>0</v>
      </c>
      <c r="F75" s="7">
        <f t="shared" si="6"/>
        <v>0</v>
      </c>
      <c r="G75" s="7">
        <f t="shared" si="6"/>
        <v>1</v>
      </c>
      <c r="H75" s="7">
        <f t="shared" si="6"/>
        <v>1</v>
      </c>
      <c r="I75" s="8" t="s">
        <v>49</v>
      </c>
      <c r="J75" s="8" t="s">
        <v>83</v>
      </c>
      <c r="K75" s="8" t="str">
        <f>_xlfn.XLOOKUP(J75,Worksheet!$F$1:$F$48,Worksheet!$G$1:$G$48,0)</f>
        <v>Fear</v>
      </c>
      <c r="L75" s="8" t="s">
        <v>37</v>
      </c>
      <c r="M75" s="8" t="s">
        <v>15</v>
      </c>
      <c r="N75" s="8" t="s">
        <v>51</v>
      </c>
      <c r="O75" s="8">
        <v>1</v>
      </c>
      <c r="P75" s="8" t="s">
        <v>45</v>
      </c>
      <c r="Q75" s="8" t="s">
        <v>52</v>
      </c>
      <c r="R75" s="8" t="s">
        <v>56</v>
      </c>
      <c r="S75" s="8">
        <f t="shared" si="7"/>
        <v>1</v>
      </c>
      <c r="T75" s="8">
        <f t="shared" si="7"/>
        <v>0</v>
      </c>
      <c r="U75" s="8">
        <f t="shared" si="7"/>
        <v>0</v>
      </c>
      <c r="V75" s="8">
        <f t="shared" si="7"/>
        <v>0</v>
      </c>
      <c r="W75" s="8">
        <f t="shared" si="7"/>
        <v>0</v>
      </c>
      <c r="X75" s="8">
        <f t="shared" si="7"/>
        <v>0</v>
      </c>
      <c r="Y75" s="8">
        <f t="shared" si="7"/>
        <v>0</v>
      </c>
      <c r="Z75" s="8">
        <f t="shared" si="7"/>
        <v>0</v>
      </c>
      <c r="AA75" s="8">
        <f t="shared" si="7"/>
        <v>0</v>
      </c>
      <c r="AB75" s="8">
        <f t="shared" si="7"/>
        <v>0</v>
      </c>
      <c r="AC75" s="8" t="s">
        <v>25</v>
      </c>
      <c r="AD75" s="8" t="s">
        <v>34</v>
      </c>
      <c r="AE75" s="8" t="s">
        <v>136</v>
      </c>
      <c r="AF75" s="8" t="s">
        <v>48</v>
      </c>
    </row>
    <row r="76" spans="1:32" x14ac:dyDescent="0.3">
      <c r="A76" s="5">
        <v>75</v>
      </c>
      <c r="B76" s="5" t="s">
        <v>100</v>
      </c>
      <c r="C76" s="5">
        <f t="shared" si="6"/>
        <v>1</v>
      </c>
      <c r="D76" s="5">
        <f t="shared" si="6"/>
        <v>0</v>
      </c>
      <c r="E76" s="5">
        <f t="shared" si="6"/>
        <v>0</v>
      </c>
      <c r="F76" s="5">
        <f t="shared" si="6"/>
        <v>0</v>
      </c>
      <c r="G76" s="5">
        <f t="shared" si="6"/>
        <v>0</v>
      </c>
      <c r="H76" s="5">
        <f t="shared" si="6"/>
        <v>0</v>
      </c>
      <c r="I76" s="6" t="s">
        <v>15</v>
      </c>
      <c r="J76" s="6" t="s">
        <v>16</v>
      </c>
      <c r="K76" s="6" t="str">
        <f>_xlfn.XLOOKUP(J76,Worksheet!$F$1:$F$48,Worksheet!$G$1:$G$48,0)</f>
        <v>Cost</v>
      </c>
      <c r="L76" s="6" t="s">
        <v>17</v>
      </c>
      <c r="M76" s="6" t="s">
        <v>18</v>
      </c>
      <c r="N76" s="6" t="s">
        <v>51</v>
      </c>
      <c r="O76" s="6">
        <v>2</v>
      </c>
      <c r="P76" s="6" t="s">
        <v>72</v>
      </c>
      <c r="Q76" s="6" t="s">
        <v>46</v>
      </c>
      <c r="R76" s="6" t="s">
        <v>56</v>
      </c>
      <c r="S76" s="6">
        <f t="shared" si="7"/>
        <v>1</v>
      </c>
      <c r="T76" s="6">
        <f t="shared" si="7"/>
        <v>0</v>
      </c>
      <c r="U76" s="6">
        <f t="shared" si="7"/>
        <v>0</v>
      </c>
      <c r="V76" s="6">
        <f t="shared" si="7"/>
        <v>0</v>
      </c>
      <c r="W76" s="6">
        <f t="shared" si="7"/>
        <v>0</v>
      </c>
      <c r="X76" s="6">
        <f t="shared" si="7"/>
        <v>0</v>
      </c>
      <c r="Y76" s="6">
        <f t="shared" si="7"/>
        <v>0</v>
      </c>
      <c r="Z76" s="6">
        <f t="shared" si="7"/>
        <v>0</v>
      </c>
      <c r="AA76" s="6">
        <f t="shared" si="7"/>
        <v>0</v>
      </c>
      <c r="AB76" s="6">
        <f t="shared" si="7"/>
        <v>0</v>
      </c>
      <c r="AC76" s="6" t="s">
        <v>21</v>
      </c>
      <c r="AD76" s="6" t="s">
        <v>40</v>
      </c>
      <c r="AE76" s="6" t="s">
        <v>24</v>
      </c>
      <c r="AF76" s="6" t="s">
        <v>25</v>
      </c>
    </row>
    <row r="77" spans="1:32" x14ac:dyDescent="0.3">
      <c r="A77" s="7">
        <v>76</v>
      </c>
      <c r="B77" s="7" t="s">
        <v>341</v>
      </c>
      <c r="C77" s="7">
        <f t="shared" si="6"/>
        <v>1</v>
      </c>
      <c r="D77" s="7">
        <f t="shared" si="6"/>
        <v>0</v>
      </c>
      <c r="E77" s="7">
        <f t="shared" si="6"/>
        <v>1</v>
      </c>
      <c r="F77" s="7">
        <f t="shared" si="6"/>
        <v>0</v>
      </c>
      <c r="G77" s="7">
        <f t="shared" si="6"/>
        <v>0</v>
      </c>
      <c r="H77" s="7">
        <f t="shared" si="6"/>
        <v>1</v>
      </c>
      <c r="I77" s="8" t="s">
        <v>49</v>
      </c>
      <c r="J77" s="8" t="s">
        <v>43</v>
      </c>
      <c r="K77" s="8" t="str">
        <f>_xlfn.XLOOKUP(J77,Worksheet!$F$1:$F$48,Worksheet!$G$1:$G$48,0)</f>
        <v>Lack of awareness</v>
      </c>
      <c r="L77" s="8" t="s">
        <v>50</v>
      </c>
      <c r="M77" s="8" t="s">
        <v>49</v>
      </c>
      <c r="N77" s="8" t="s">
        <v>44</v>
      </c>
      <c r="O77" s="8">
        <v>5</v>
      </c>
      <c r="P77" s="8" t="s">
        <v>45</v>
      </c>
      <c r="Q77" s="8" t="s">
        <v>52</v>
      </c>
      <c r="R77" s="8" t="s">
        <v>138</v>
      </c>
      <c r="S77" s="8">
        <f t="shared" si="7"/>
        <v>1</v>
      </c>
      <c r="T77" s="8">
        <f t="shared" si="7"/>
        <v>1</v>
      </c>
      <c r="U77" s="8">
        <f t="shared" si="7"/>
        <v>0</v>
      </c>
      <c r="V77" s="8">
        <f t="shared" si="7"/>
        <v>0</v>
      </c>
      <c r="W77" s="8">
        <f t="shared" si="7"/>
        <v>0</v>
      </c>
      <c r="X77" s="8">
        <f t="shared" si="7"/>
        <v>1</v>
      </c>
      <c r="Y77" s="8">
        <f t="shared" si="7"/>
        <v>1</v>
      </c>
      <c r="Z77" s="8">
        <f t="shared" si="7"/>
        <v>1</v>
      </c>
      <c r="AA77" s="8">
        <f t="shared" si="7"/>
        <v>1</v>
      </c>
      <c r="AB77" s="8">
        <f t="shared" si="7"/>
        <v>0</v>
      </c>
      <c r="AC77" s="8" t="s">
        <v>21</v>
      </c>
      <c r="AD77" s="8" t="s">
        <v>34</v>
      </c>
      <c r="AE77" s="8" t="s">
        <v>54</v>
      </c>
      <c r="AF77" s="8" t="s">
        <v>25</v>
      </c>
    </row>
    <row r="78" spans="1:32" x14ac:dyDescent="0.3">
      <c r="A78" s="5">
        <v>77</v>
      </c>
      <c r="B78" s="5" t="s">
        <v>68</v>
      </c>
      <c r="C78" s="5">
        <f t="shared" si="6"/>
        <v>0</v>
      </c>
      <c r="D78" s="5">
        <f t="shared" si="6"/>
        <v>1</v>
      </c>
      <c r="E78" s="5">
        <f t="shared" si="6"/>
        <v>0</v>
      </c>
      <c r="F78" s="5">
        <f t="shared" si="6"/>
        <v>0</v>
      </c>
      <c r="G78" s="5">
        <f t="shared" si="6"/>
        <v>0</v>
      </c>
      <c r="H78" s="5">
        <f t="shared" si="6"/>
        <v>0</v>
      </c>
      <c r="I78" s="6" t="s">
        <v>15</v>
      </c>
      <c r="J78" s="6" t="s">
        <v>83</v>
      </c>
      <c r="K78" s="6" t="str">
        <f>_xlfn.XLOOKUP(J78,Worksheet!$F$1:$F$48,Worksheet!$G$1:$G$48,0)</f>
        <v>Fear</v>
      </c>
      <c r="L78" s="6" t="s">
        <v>37</v>
      </c>
      <c r="M78" s="6" t="s">
        <v>15</v>
      </c>
      <c r="N78" s="6" t="s">
        <v>44</v>
      </c>
      <c r="O78" s="6">
        <v>3</v>
      </c>
      <c r="P78" s="6" t="s">
        <v>84</v>
      </c>
      <c r="Q78" s="6" t="s">
        <v>63</v>
      </c>
      <c r="R78" s="6" t="s">
        <v>139</v>
      </c>
      <c r="S78" s="6">
        <f t="shared" si="7"/>
        <v>0</v>
      </c>
      <c r="T78" s="6">
        <f t="shared" si="7"/>
        <v>1</v>
      </c>
      <c r="U78" s="6">
        <f t="shared" si="7"/>
        <v>0</v>
      </c>
      <c r="V78" s="6">
        <f t="shared" si="7"/>
        <v>0</v>
      </c>
      <c r="W78" s="6">
        <f t="shared" si="7"/>
        <v>0</v>
      </c>
      <c r="X78" s="6">
        <f t="shared" si="7"/>
        <v>0</v>
      </c>
      <c r="Y78" s="6">
        <f t="shared" si="7"/>
        <v>0</v>
      </c>
      <c r="Z78" s="6">
        <f t="shared" si="7"/>
        <v>0</v>
      </c>
      <c r="AA78" s="6">
        <f t="shared" si="7"/>
        <v>0</v>
      </c>
      <c r="AB78" s="6">
        <f t="shared" si="7"/>
        <v>0</v>
      </c>
      <c r="AC78" s="6" t="s">
        <v>21</v>
      </c>
      <c r="AD78" s="6" t="s">
        <v>23</v>
      </c>
      <c r="AE78" s="6" t="s">
        <v>24</v>
      </c>
      <c r="AF78" s="6" t="s">
        <v>25</v>
      </c>
    </row>
    <row r="79" spans="1:32" x14ac:dyDescent="0.3">
      <c r="A79" s="7">
        <v>78</v>
      </c>
      <c r="B79" s="7" t="s">
        <v>68</v>
      </c>
      <c r="C79" s="7">
        <f t="shared" si="6"/>
        <v>0</v>
      </c>
      <c r="D79" s="7">
        <f t="shared" si="6"/>
        <v>1</v>
      </c>
      <c r="E79" s="7">
        <f t="shared" si="6"/>
        <v>0</v>
      </c>
      <c r="F79" s="7">
        <f t="shared" si="6"/>
        <v>0</v>
      </c>
      <c r="G79" s="7">
        <f t="shared" si="6"/>
        <v>0</v>
      </c>
      <c r="H79" s="7">
        <f t="shared" si="6"/>
        <v>0</v>
      </c>
      <c r="I79" s="8" t="s">
        <v>27</v>
      </c>
      <c r="J79" s="8" t="s">
        <v>43</v>
      </c>
      <c r="K79" s="8" t="str">
        <f>_xlfn.XLOOKUP(J79,Worksheet!$F$1:$F$48,Worksheet!$G$1:$G$48,0)</f>
        <v>Lack of awareness</v>
      </c>
      <c r="L79" s="8" t="s">
        <v>50</v>
      </c>
      <c r="M79" s="8" t="s">
        <v>49</v>
      </c>
      <c r="N79" s="8" t="s">
        <v>44</v>
      </c>
      <c r="O79" s="8">
        <v>1</v>
      </c>
      <c r="P79" s="8" t="s">
        <v>45</v>
      </c>
      <c r="Q79" s="8" t="s">
        <v>52</v>
      </c>
      <c r="R79" s="8" t="s">
        <v>140</v>
      </c>
      <c r="S79" s="8">
        <f t="shared" si="7"/>
        <v>0</v>
      </c>
      <c r="T79" s="8">
        <f t="shared" si="7"/>
        <v>1</v>
      </c>
      <c r="U79" s="8">
        <f t="shared" si="7"/>
        <v>0</v>
      </c>
      <c r="V79" s="8">
        <f t="shared" si="7"/>
        <v>0</v>
      </c>
      <c r="W79" s="8">
        <f t="shared" si="7"/>
        <v>0</v>
      </c>
      <c r="X79" s="8">
        <f t="shared" si="7"/>
        <v>0</v>
      </c>
      <c r="Y79" s="8">
        <f t="shared" si="7"/>
        <v>1</v>
      </c>
      <c r="Z79" s="8">
        <f t="shared" si="7"/>
        <v>0</v>
      </c>
      <c r="AA79" s="8">
        <f t="shared" si="7"/>
        <v>0</v>
      </c>
      <c r="AB79" s="8">
        <f t="shared" si="7"/>
        <v>0</v>
      </c>
      <c r="AC79" s="8" t="s">
        <v>25</v>
      </c>
      <c r="AD79" s="8" t="s">
        <v>34</v>
      </c>
      <c r="AE79" s="8" t="s">
        <v>24</v>
      </c>
      <c r="AF79" s="8" t="s">
        <v>25</v>
      </c>
    </row>
    <row r="80" spans="1:32" x14ac:dyDescent="0.3">
      <c r="A80" s="5">
        <v>79</v>
      </c>
      <c r="B80" s="5" t="s">
        <v>66</v>
      </c>
      <c r="C80" s="5">
        <f t="shared" si="6"/>
        <v>0</v>
      </c>
      <c r="D80" s="5">
        <f t="shared" si="6"/>
        <v>1</v>
      </c>
      <c r="E80" s="5">
        <f t="shared" si="6"/>
        <v>0</v>
      </c>
      <c r="F80" s="5">
        <f t="shared" si="6"/>
        <v>0</v>
      </c>
      <c r="G80" s="5">
        <f t="shared" si="6"/>
        <v>0</v>
      </c>
      <c r="H80" s="5">
        <f t="shared" si="6"/>
        <v>1</v>
      </c>
      <c r="I80" s="6" t="s">
        <v>15</v>
      </c>
      <c r="J80" s="6" t="s">
        <v>43</v>
      </c>
      <c r="K80" s="6" t="str">
        <f>_xlfn.XLOOKUP(J80,Worksheet!$F$1:$F$48,Worksheet!$G$1:$G$48,0)</f>
        <v>Lack of awareness</v>
      </c>
      <c r="L80" s="6" t="s">
        <v>37</v>
      </c>
      <c r="M80" s="6" t="s">
        <v>30</v>
      </c>
      <c r="N80" s="6" t="s">
        <v>44</v>
      </c>
      <c r="O80" s="6">
        <v>4</v>
      </c>
      <c r="P80" s="6" t="s">
        <v>45</v>
      </c>
      <c r="Q80" s="6" t="s">
        <v>46</v>
      </c>
      <c r="R80" s="6" t="s">
        <v>56</v>
      </c>
      <c r="S80" s="6">
        <f t="shared" si="7"/>
        <v>1</v>
      </c>
      <c r="T80" s="6">
        <f t="shared" si="7"/>
        <v>0</v>
      </c>
      <c r="U80" s="6">
        <f t="shared" si="7"/>
        <v>0</v>
      </c>
      <c r="V80" s="6">
        <f t="shared" si="7"/>
        <v>0</v>
      </c>
      <c r="W80" s="6">
        <f t="shared" si="7"/>
        <v>0</v>
      </c>
      <c r="X80" s="6">
        <f t="shared" si="7"/>
        <v>0</v>
      </c>
      <c r="Y80" s="6">
        <f t="shared" si="7"/>
        <v>0</v>
      </c>
      <c r="Z80" s="6">
        <f t="shared" si="7"/>
        <v>0</v>
      </c>
      <c r="AA80" s="6">
        <f t="shared" si="7"/>
        <v>0</v>
      </c>
      <c r="AB80" s="6">
        <f t="shared" si="7"/>
        <v>0</v>
      </c>
      <c r="AC80" s="6" t="s">
        <v>21</v>
      </c>
      <c r="AD80" s="6" t="s">
        <v>40</v>
      </c>
      <c r="AE80" s="6" t="s">
        <v>24</v>
      </c>
      <c r="AF80" s="6" t="s">
        <v>48</v>
      </c>
    </row>
    <row r="81" spans="1:32" x14ac:dyDescent="0.3">
      <c r="A81" s="7">
        <v>80</v>
      </c>
      <c r="B81" s="7" t="s">
        <v>14</v>
      </c>
      <c r="C81" s="7">
        <f t="shared" si="6"/>
        <v>0</v>
      </c>
      <c r="D81" s="7">
        <f t="shared" si="6"/>
        <v>1</v>
      </c>
      <c r="E81" s="7">
        <f t="shared" si="6"/>
        <v>0</v>
      </c>
      <c r="F81" s="7">
        <f t="shared" si="6"/>
        <v>0</v>
      </c>
      <c r="G81" s="7">
        <f t="shared" si="6"/>
        <v>1</v>
      </c>
      <c r="H81" s="7">
        <f t="shared" si="6"/>
        <v>1</v>
      </c>
      <c r="I81" s="8" t="s">
        <v>15</v>
      </c>
      <c r="J81" s="8" t="s">
        <v>62</v>
      </c>
      <c r="K81" s="8" t="str">
        <f>_xlfn.XLOOKUP(J81,Worksheet!$F$1:$F$48,Worksheet!$G$1:$G$48,0)</f>
        <v>Cost</v>
      </c>
      <c r="L81" s="8" t="s">
        <v>50</v>
      </c>
      <c r="M81" s="8" t="s">
        <v>49</v>
      </c>
      <c r="N81" s="8" t="s">
        <v>44</v>
      </c>
      <c r="O81" s="8">
        <v>4</v>
      </c>
      <c r="P81" s="8" t="s">
        <v>45</v>
      </c>
      <c r="Q81" s="8" t="s">
        <v>63</v>
      </c>
      <c r="R81" s="8" t="s">
        <v>141</v>
      </c>
      <c r="S81" s="8">
        <f t="shared" si="7"/>
        <v>1</v>
      </c>
      <c r="T81" s="8">
        <f t="shared" si="7"/>
        <v>1</v>
      </c>
      <c r="U81" s="8">
        <f t="shared" si="7"/>
        <v>1</v>
      </c>
      <c r="V81" s="8">
        <f t="shared" si="7"/>
        <v>0</v>
      </c>
      <c r="W81" s="8">
        <f t="shared" si="7"/>
        <v>1</v>
      </c>
      <c r="X81" s="8">
        <f t="shared" si="7"/>
        <v>1</v>
      </c>
      <c r="Y81" s="8">
        <f t="shared" si="7"/>
        <v>1</v>
      </c>
      <c r="Z81" s="8">
        <f t="shared" si="7"/>
        <v>0</v>
      </c>
      <c r="AA81" s="8">
        <f t="shared" si="7"/>
        <v>0</v>
      </c>
      <c r="AB81" s="8">
        <f t="shared" si="7"/>
        <v>0</v>
      </c>
      <c r="AC81" s="8" t="s">
        <v>21</v>
      </c>
      <c r="AD81" s="8" t="s">
        <v>34</v>
      </c>
      <c r="AE81" s="8" t="s">
        <v>24</v>
      </c>
      <c r="AF81" s="8" t="s">
        <v>21</v>
      </c>
    </row>
    <row r="82" spans="1:32" x14ac:dyDescent="0.3">
      <c r="A82" s="5">
        <v>81</v>
      </c>
      <c r="B82" s="5" t="s">
        <v>55</v>
      </c>
      <c r="C82" s="5">
        <f t="shared" si="6"/>
        <v>0</v>
      </c>
      <c r="D82" s="5">
        <f t="shared" si="6"/>
        <v>0</v>
      </c>
      <c r="E82" s="5">
        <f t="shared" si="6"/>
        <v>0</v>
      </c>
      <c r="F82" s="5">
        <f t="shared" si="6"/>
        <v>0</v>
      </c>
      <c r="G82" s="5">
        <f t="shared" si="6"/>
        <v>0</v>
      </c>
      <c r="H82" s="5">
        <f t="shared" si="6"/>
        <v>1</v>
      </c>
      <c r="I82" s="6" t="s">
        <v>15</v>
      </c>
      <c r="J82" s="6" t="s">
        <v>43</v>
      </c>
      <c r="K82" s="6" t="str">
        <f>_xlfn.XLOOKUP(J82,Worksheet!$F$1:$F$48,Worksheet!$G$1:$G$48,0)</f>
        <v>Lack of awareness</v>
      </c>
      <c r="L82" s="6" t="s">
        <v>356</v>
      </c>
      <c r="M82" s="6" t="s">
        <v>30</v>
      </c>
      <c r="N82" s="6" t="s">
        <v>58</v>
      </c>
      <c r="O82" s="6">
        <v>5</v>
      </c>
      <c r="P82" s="6" t="s">
        <v>45</v>
      </c>
      <c r="Q82" s="6" t="s">
        <v>46</v>
      </c>
      <c r="R82" s="6" t="s">
        <v>142</v>
      </c>
      <c r="S82" s="6">
        <f t="shared" si="7"/>
        <v>1</v>
      </c>
      <c r="T82" s="6">
        <f t="shared" si="7"/>
        <v>1</v>
      </c>
      <c r="U82" s="6">
        <f t="shared" si="7"/>
        <v>0</v>
      </c>
      <c r="V82" s="6">
        <f t="shared" si="7"/>
        <v>0</v>
      </c>
      <c r="W82" s="6">
        <f t="shared" si="7"/>
        <v>1</v>
      </c>
      <c r="X82" s="6">
        <f t="shared" si="7"/>
        <v>0</v>
      </c>
      <c r="Y82" s="6">
        <f t="shared" si="7"/>
        <v>1</v>
      </c>
      <c r="Z82" s="6">
        <f t="shared" si="7"/>
        <v>0</v>
      </c>
      <c r="AA82" s="6">
        <f t="shared" si="7"/>
        <v>0</v>
      </c>
      <c r="AB82" s="6">
        <f t="shared" si="7"/>
        <v>0</v>
      </c>
      <c r="AC82" s="6" t="s">
        <v>21</v>
      </c>
      <c r="AD82" s="6" t="s">
        <v>23</v>
      </c>
      <c r="AE82" s="6" t="s">
        <v>24</v>
      </c>
      <c r="AF82" s="6" t="s">
        <v>48</v>
      </c>
    </row>
    <row r="83" spans="1:32" x14ac:dyDescent="0.3">
      <c r="A83" s="7">
        <v>82</v>
      </c>
      <c r="B83" s="7" t="s">
        <v>340</v>
      </c>
      <c r="C83" s="7">
        <f t="shared" si="6"/>
        <v>0</v>
      </c>
      <c r="D83" s="7">
        <f t="shared" si="6"/>
        <v>0</v>
      </c>
      <c r="E83" s="7">
        <f t="shared" si="6"/>
        <v>1</v>
      </c>
      <c r="F83" s="7">
        <f t="shared" si="6"/>
        <v>0</v>
      </c>
      <c r="G83" s="7">
        <f t="shared" si="6"/>
        <v>0</v>
      </c>
      <c r="H83" s="7">
        <f t="shared" si="6"/>
        <v>0</v>
      </c>
      <c r="I83" s="8" t="s">
        <v>15</v>
      </c>
      <c r="J83" s="8" t="s">
        <v>43</v>
      </c>
      <c r="K83" s="8" t="str">
        <f>_xlfn.XLOOKUP(J83,Worksheet!$F$1:$F$48,Worksheet!$G$1:$G$48,0)</f>
        <v>Lack of awareness</v>
      </c>
      <c r="L83" s="8" t="s">
        <v>356</v>
      </c>
      <c r="M83" s="8" t="s">
        <v>30</v>
      </c>
      <c r="N83" s="8" t="s">
        <v>51</v>
      </c>
      <c r="O83" s="8">
        <v>3</v>
      </c>
      <c r="P83" s="8" t="s">
        <v>45</v>
      </c>
      <c r="Q83" s="8" t="s">
        <v>52</v>
      </c>
      <c r="R83" s="8" t="s">
        <v>143</v>
      </c>
      <c r="S83" s="8">
        <f t="shared" si="7"/>
        <v>0</v>
      </c>
      <c r="T83" s="8">
        <f t="shared" si="7"/>
        <v>1</v>
      </c>
      <c r="U83" s="8">
        <f t="shared" si="7"/>
        <v>1</v>
      </c>
      <c r="V83" s="8">
        <f t="shared" si="7"/>
        <v>0</v>
      </c>
      <c r="W83" s="8">
        <f t="shared" si="7"/>
        <v>0</v>
      </c>
      <c r="X83" s="8">
        <f t="shared" si="7"/>
        <v>0</v>
      </c>
      <c r="Y83" s="8">
        <f t="shared" si="7"/>
        <v>0</v>
      </c>
      <c r="Z83" s="8">
        <f t="shared" si="7"/>
        <v>0</v>
      </c>
      <c r="AA83" s="8">
        <f t="shared" si="7"/>
        <v>0</v>
      </c>
      <c r="AB83" s="8">
        <f t="shared" si="7"/>
        <v>0</v>
      </c>
      <c r="AC83" s="8" t="s">
        <v>21</v>
      </c>
      <c r="AD83" s="8" t="s">
        <v>34</v>
      </c>
      <c r="AE83" s="8" t="s">
        <v>24</v>
      </c>
      <c r="AF83" s="8" t="s">
        <v>82</v>
      </c>
    </row>
    <row r="84" spans="1:32" x14ac:dyDescent="0.3">
      <c r="A84" s="5">
        <v>83</v>
      </c>
      <c r="B84" s="5" t="s">
        <v>68</v>
      </c>
      <c r="C84" s="5">
        <f t="shared" si="6"/>
        <v>0</v>
      </c>
      <c r="D84" s="5">
        <f t="shared" si="6"/>
        <v>1</v>
      </c>
      <c r="E84" s="5">
        <f t="shared" si="6"/>
        <v>0</v>
      </c>
      <c r="F84" s="5">
        <f t="shared" si="6"/>
        <v>0</v>
      </c>
      <c r="G84" s="5">
        <f t="shared" si="6"/>
        <v>0</v>
      </c>
      <c r="H84" s="5">
        <f t="shared" si="6"/>
        <v>0</v>
      </c>
      <c r="I84" s="6" t="s">
        <v>15</v>
      </c>
      <c r="J84" s="6" t="s">
        <v>144</v>
      </c>
      <c r="K84" s="6" t="str">
        <f>_xlfn.XLOOKUP(J84,Worksheet!$F$1:$F$48,Worksheet!$G$1:$G$48,0)</f>
        <v>Lack of awareness</v>
      </c>
      <c r="L84" s="6" t="s">
        <v>356</v>
      </c>
      <c r="M84" s="6" t="s">
        <v>15</v>
      </c>
      <c r="N84" s="6" t="s">
        <v>44</v>
      </c>
      <c r="O84" s="6">
        <v>3</v>
      </c>
      <c r="P84" s="6" t="s">
        <v>84</v>
      </c>
      <c r="Q84" s="6" t="s">
        <v>63</v>
      </c>
      <c r="R84" s="6" t="s">
        <v>145</v>
      </c>
      <c r="S84" s="6">
        <f t="shared" si="7"/>
        <v>1</v>
      </c>
      <c r="T84" s="6">
        <f t="shared" si="7"/>
        <v>0</v>
      </c>
      <c r="U84" s="6">
        <f t="shared" si="7"/>
        <v>1</v>
      </c>
      <c r="V84" s="6">
        <f t="shared" si="7"/>
        <v>0</v>
      </c>
      <c r="W84" s="6">
        <f t="shared" si="7"/>
        <v>1</v>
      </c>
      <c r="X84" s="6">
        <f t="shared" si="7"/>
        <v>0</v>
      </c>
      <c r="Y84" s="6">
        <f t="shared" si="7"/>
        <v>0</v>
      </c>
      <c r="Z84" s="6">
        <f t="shared" si="7"/>
        <v>0</v>
      </c>
      <c r="AA84" s="6">
        <f t="shared" si="7"/>
        <v>0</v>
      </c>
      <c r="AB84" s="6">
        <f t="shared" si="7"/>
        <v>0</v>
      </c>
      <c r="AC84" s="6" t="s">
        <v>25</v>
      </c>
      <c r="AD84" s="6" t="s">
        <v>34</v>
      </c>
      <c r="AE84" s="6" t="s">
        <v>24</v>
      </c>
      <c r="AF84" s="6" t="s">
        <v>82</v>
      </c>
    </row>
    <row r="85" spans="1:32" x14ac:dyDescent="0.3">
      <c r="A85" s="7">
        <v>84</v>
      </c>
      <c r="B85" s="7" t="s">
        <v>121</v>
      </c>
      <c r="C85" s="7">
        <f t="shared" si="6"/>
        <v>1</v>
      </c>
      <c r="D85" s="7">
        <f t="shared" si="6"/>
        <v>0</v>
      </c>
      <c r="E85" s="7">
        <f t="shared" si="6"/>
        <v>0</v>
      </c>
      <c r="F85" s="7">
        <f t="shared" si="6"/>
        <v>0</v>
      </c>
      <c r="G85" s="7">
        <f t="shared" si="6"/>
        <v>1</v>
      </c>
      <c r="H85" s="7">
        <f t="shared" si="6"/>
        <v>1</v>
      </c>
      <c r="I85" s="8" t="s">
        <v>27</v>
      </c>
      <c r="J85" s="8" t="s">
        <v>43</v>
      </c>
      <c r="K85" s="8" t="str">
        <f>_xlfn.XLOOKUP(J85,Worksheet!$F$1:$F$48,Worksheet!$G$1:$G$48,0)</f>
        <v>Lack of awareness</v>
      </c>
      <c r="L85" s="8" t="s">
        <v>356</v>
      </c>
      <c r="M85" s="8" t="s">
        <v>49</v>
      </c>
      <c r="N85" s="8" t="s">
        <v>51</v>
      </c>
      <c r="O85" s="8">
        <v>5</v>
      </c>
      <c r="P85" s="8" t="s">
        <v>59</v>
      </c>
      <c r="Q85" s="8" t="s">
        <v>46</v>
      </c>
      <c r="R85" s="8" t="s">
        <v>146</v>
      </c>
      <c r="S85" s="8">
        <f t="shared" si="7"/>
        <v>0</v>
      </c>
      <c r="T85" s="8">
        <f t="shared" si="7"/>
        <v>0</v>
      </c>
      <c r="U85" s="8">
        <f t="shared" si="7"/>
        <v>1</v>
      </c>
      <c r="V85" s="8">
        <f t="shared" si="7"/>
        <v>0</v>
      </c>
      <c r="W85" s="8">
        <f t="shared" si="7"/>
        <v>0</v>
      </c>
      <c r="X85" s="8">
        <f t="shared" si="7"/>
        <v>1</v>
      </c>
      <c r="Y85" s="8">
        <f t="shared" si="7"/>
        <v>0</v>
      </c>
      <c r="Z85" s="8">
        <f t="shared" si="7"/>
        <v>0</v>
      </c>
      <c r="AA85" s="8">
        <f t="shared" si="7"/>
        <v>1</v>
      </c>
      <c r="AB85" s="8">
        <f t="shared" si="7"/>
        <v>0</v>
      </c>
      <c r="AC85" s="8" t="s">
        <v>25</v>
      </c>
      <c r="AD85" s="8" t="s">
        <v>34</v>
      </c>
      <c r="AE85" s="8" t="s">
        <v>24</v>
      </c>
      <c r="AF85" s="8" t="s">
        <v>25</v>
      </c>
    </row>
    <row r="86" spans="1:32" x14ac:dyDescent="0.3">
      <c r="A86" s="5">
        <v>85</v>
      </c>
      <c r="B86" s="5" t="s">
        <v>14</v>
      </c>
      <c r="C86" s="5">
        <f t="shared" si="6"/>
        <v>0</v>
      </c>
      <c r="D86" s="5">
        <f t="shared" si="6"/>
        <v>1</v>
      </c>
      <c r="E86" s="5">
        <f t="shared" si="6"/>
        <v>0</v>
      </c>
      <c r="F86" s="5">
        <f t="shared" si="6"/>
        <v>0</v>
      </c>
      <c r="G86" s="5">
        <f t="shared" si="6"/>
        <v>1</v>
      </c>
      <c r="H86" s="5">
        <f t="shared" si="6"/>
        <v>1</v>
      </c>
      <c r="I86" s="6" t="s">
        <v>15</v>
      </c>
      <c r="J86" s="6" t="s">
        <v>43</v>
      </c>
      <c r="K86" s="6" t="str">
        <f>_xlfn.XLOOKUP(J86,Worksheet!$F$1:$F$48,Worksheet!$G$1:$G$48,0)</f>
        <v>Lack of awareness</v>
      </c>
      <c r="L86" s="6" t="s">
        <v>50</v>
      </c>
      <c r="M86" s="6" t="s">
        <v>15</v>
      </c>
      <c r="N86" s="6" t="s">
        <v>44</v>
      </c>
      <c r="O86" s="6">
        <v>5</v>
      </c>
      <c r="P86" s="6" t="s">
        <v>72</v>
      </c>
      <c r="Q86" s="6" t="s">
        <v>63</v>
      </c>
      <c r="R86" s="6" t="s">
        <v>47</v>
      </c>
      <c r="S86" s="6">
        <f t="shared" si="7"/>
        <v>0</v>
      </c>
      <c r="T86" s="6">
        <f t="shared" si="7"/>
        <v>0</v>
      </c>
      <c r="U86" s="6">
        <f t="shared" si="7"/>
        <v>1</v>
      </c>
      <c r="V86" s="6">
        <f t="shared" si="7"/>
        <v>0</v>
      </c>
      <c r="W86" s="6">
        <f t="shared" si="7"/>
        <v>0</v>
      </c>
      <c r="X86" s="6">
        <f t="shared" si="7"/>
        <v>0</v>
      </c>
      <c r="Y86" s="6">
        <f t="shared" si="7"/>
        <v>0</v>
      </c>
      <c r="Z86" s="6">
        <f t="shared" si="7"/>
        <v>0</v>
      </c>
      <c r="AA86" s="6">
        <f t="shared" si="7"/>
        <v>0</v>
      </c>
      <c r="AB86" s="6">
        <f t="shared" si="7"/>
        <v>0</v>
      </c>
      <c r="AC86" s="6" t="s">
        <v>25</v>
      </c>
      <c r="AD86" s="6" t="s">
        <v>23</v>
      </c>
      <c r="AE86" s="6" t="s">
        <v>24</v>
      </c>
      <c r="AF86" s="6" t="s">
        <v>48</v>
      </c>
    </row>
    <row r="87" spans="1:32" x14ac:dyDescent="0.3">
      <c r="A87" s="7">
        <v>86</v>
      </c>
      <c r="B87" s="7" t="s">
        <v>68</v>
      </c>
      <c r="C87" s="7">
        <f t="shared" si="6"/>
        <v>0</v>
      </c>
      <c r="D87" s="7">
        <f t="shared" si="6"/>
        <v>1</v>
      </c>
      <c r="E87" s="7">
        <f t="shared" si="6"/>
        <v>0</v>
      </c>
      <c r="F87" s="7">
        <f t="shared" si="6"/>
        <v>0</v>
      </c>
      <c r="G87" s="7">
        <f t="shared" si="6"/>
        <v>0</v>
      </c>
      <c r="H87" s="7">
        <f t="shared" si="6"/>
        <v>0</v>
      </c>
      <c r="I87" s="8" t="s">
        <v>27</v>
      </c>
      <c r="J87" s="8" t="s">
        <v>43</v>
      </c>
      <c r="K87" s="8" t="str">
        <f>_xlfn.XLOOKUP(J87,Worksheet!$F$1:$F$48,Worksheet!$G$1:$G$48,0)</f>
        <v>Lack of awareness</v>
      </c>
      <c r="L87" s="8" t="s">
        <v>37</v>
      </c>
      <c r="M87" s="8" t="s">
        <v>30</v>
      </c>
      <c r="N87" s="8" t="s">
        <v>51</v>
      </c>
      <c r="O87" s="8">
        <v>1</v>
      </c>
      <c r="P87" s="8" t="s">
        <v>59</v>
      </c>
      <c r="Q87" s="8" t="s">
        <v>52</v>
      </c>
      <c r="R87" s="8" t="s">
        <v>139</v>
      </c>
      <c r="S87" s="8">
        <f t="shared" si="7"/>
        <v>0</v>
      </c>
      <c r="T87" s="8">
        <f t="shared" si="7"/>
        <v>1</v>
      </c>
      <c r="U87" s="8">
        <f t="shared" si="7"/>
        <v>0</v>
      </c>
      <c r="V87" s="8">
        <f t="shared" si="7"/>
        <v>0</v>
      </c>
      <c r="W87" s="8">
        <f t="shared" si="7"/>
        <v>0</v>
      </c>
      <c r="X87" s="8">
        <f t="shared" si="7"/>
        <v>0</v>
      </c>
      <c r="Y87" s="8">
        <f t="shared" si="7"/>
        <v>0</v>
      </c>
      <c r="Z87" s="8">
        <f t="shared" si="7"/>
        <v>0</v>
      </c>
      <c r="AA87" s="8">
        <f t="shared" si="7"/>
        <v>0</v>
      </c>
      <c r="AB87" s="8">
        <f t="shared" si="7"/>
        <v>0</v>
      </c>
      <c r="AC87" s="8" t="s">
        <v>21</v>
      </c>
      <c r="AD87" s="8" t="s">
        <v>34</v>
      </c>
      <c r="AE87" s="8" t="s">
        <v>24</v>
      </c>
      <c r="AF87" s="8" t="s">
        <v>25</v>
      </c>
    </row>
    <row r="88" spans="1:32" x14ac:dyDescent="0.3">
      <c r="A88" s="5">
        <v>87</v>
      </c>
      <c r="B88" s="5" t="s">
        <v>55</v>
      </c>
      <c r="C88" s="5">
        <f t="shared" si="6"/>
        <v>0</v>
      </c>
      <c r="D88" s="5">
        <f t="shared" si="6"/>
        <v>0</v>
      </c>
      <c r="E88" s="5">
        <f t="shared" si="6"/>
        <v>0</v>
      </c>
      <c r="F88" s="5">
        <f t="shared" si="6"/>
        <v>0</v>
      </c>
      <c r="G88" s="5">
        <f t="shared" si="6"/>
        <v>0</v>
      </c>
      <c r="H88" s="5">
        <f t="shared" si="6"/>
        <v>1</v>
      </c>
      <c r="I88" s="6" t="s">
        <v>15</v>
      </c>
      <c r="J88" s="6" t="s">
        <v>36</v>
      </c>
      <c r="K88" s="6" t="str">
        <f>_xlfn.XLOOKUP(J88,Worksheet!$F$1:$F$48,Worksheet!$G$1:$G$48,0)</f>
        <v>Shame</v>
      </c>
      <c r="L88" s="6" t="s">
        <v>37</v>
      </c>
      <c r="M88" s="6" t="s">
        <v>15</v>
      </c>
      <c r="N88" s="6" t="s">
        <v>44</v>
      </c>
      <c r="O88" s="6">
        <v>1</v>
      </c>
      <c r="P88" s="6" t="s">
        <v>84</v>
      </c>
      <c r="Q88" s="6" t="s">
        <v>63</v>
      </c>
      <c r="R88" s="6" t="s">
        <v>131</v>
      </c>
      <c r="S88" s="6">
        <f t="shared" si="7"/>
        <v>0</v>
      </c>
      <c r="T88" s="6">
        <f t="shared" si="7"/>
        <v>0</v>
      </c>
      <c r="U88" s="6">
        <f t="shared" si="7"/>
        <v>0</v>
      </c>
      <c r="V88" s="6">
        <f t="shared" si="7"/>
        <v>0</v>
      </c>
      <c r="W88" s="6">
        <f t="shared" si="7"/>
        <v>0</v>
      </c>
      <c r="X88" s="6">
        <f t="shared" si="7"/>
        <v>1</v>
      </c>
      <c r="Y88" s="6">
        <f t="shared" si="7"/>
        <v>0</v>
      </c>
      <c r="Z88" s="6">
        <f t="shared" si="7"/>
        <v>0</v>
      </c>
      <c r="AA88" s="6">
        <f t="shared" si="7"/>
        <v>0</v>
      </c>
      <c r="AB88" s="6">
        <f t="shared" si="7"/>
        <v>0</v>
      </c>
      <c r="AC88" s="6" t="s">
        <v>21</v>
      </c>
      <c r="AD88" s="6" t="s">
        <v>23</v>
      </c>
      <c r="AE88" s="6" t="s">
        <v>54</v>
      </c>
      <c r="AF88" s="6" t="s">
        <v>21</v>
      </c>
    </row>
    <row r="89" spans="1:32" x14ac:dyDescent="0.3">
      <c r="A89" s="7">
        <v>88</v>
      </c>
      <c r="B89" s="7" t="s">
        <v>68</v>
      </c>
      <c r="C89" s="7">
        <f t="shared" si="6"/>
        <v>0</v>
      </c>
      <c r="D89" s="7">
        <f t="shared" si="6"/>
        <v>1</v>
      </c>
      <c r="E89" s="7">
        <f t="shared" si="6"/>
        <v>0</v>
      </c>
      <c r="F89" s="7">
        <f t="shared" si="6"/>
        <v>0</v>
      </c>
      <c r="G89" s="7">
        <f t="shared" si="6"/>
        <v>0</v>
      </c>
      <c r="H89" s="7">
        <f t="shared" si="6"/>
        <v>0</v>
      </c>
      <c r="I89" s="8" t="s">
        <v>27</v>
      </c>
      <c r="J89" s="8" t="s">
        <v>43</v>
      </c>
      <c r="K89" s="8" t="str">
        <f>_xlfn.XLOOKUP(J89,Worksheet!$F$1:$F$48,Worksheet!$G$1:$G$48,0)</f>
        <v>Lack of awareness</v>
      </c>
      <c r="L89" s="8" t="s">
        <v>50</v>
      </c>
      <c r="M89" s="8" t="s">
        <v>102</v>
      </c>
      <c r="N89" s="8" t="s">
        <v>51</v>
      </c>
      <c r="O89" s="8">
        <v>3</v>
      </c>
      <c r="P89" s="8" t="s">
        <v>45</v>
      </c>
      <c r="Q89" s="8" t="s">
        <v>63</v>
      </c>
      <c r="R89" s="8" t="s">
        <v>147</v>
      </c>
      <c r="S89" s="8">
        <f t="shared" si="7"/>
        <v>0</v>
      </c>
      <c r="T89" s="8">
        <f t="shared" si="7"/>
        <v>1</v>
      </c>
      <c r="U89" s="8">
        <f t="shared" si="7"/>
        <v>0</v>
      </c>
      <c r="V89" s="8">
        <f t="shared" si="7"/>
        <v>0</v>
      </c>
      <c r="W89" s="8">
        <f t="shared" si="7"/>
        <v>1</v>
      </c>
      <c r="X89" s="8">
        <f t="shared" si="7"/>
        <v>0</v>
      </c>
      <c r="Y89" s="8">
        <f t="shared" si="7"/>
        <v>0</v>
      </c>
      <c r="Z89" s="8">
        <f t="shared" si="7"/>
        <v>0</v>
      </c>
      <c r="AA89" s="8">
        <f t="shared" si="7"/>
        <v>1</v>
      </c>
      <c r="AB89" s="8">
        <f t="shared" si="7"/>
        <v>0</v>
      </c>
      <c r="AC89" s="8" t="s">
        <v>21</v>
      </c>
      <c r="AD89" s="8" t="s">
        <v>34</v>
      </c>
      <c r="AE89" s="8" t="s">
        <v>24</v>
      </c>
      <c r="AF89" s="8" t="s">
        <v>21</v>
      </c>
    </row>
    <row r="90" spans="1:32" x14ac:dyDescent="0.3">
      <c r="A90" s="5">
        <v>89</v>
      </c>
      <c r="B90" s="5" t="s">
        <v>66</v>
      </c>
      <c r="C90" s="5">
        <f t="shared" si="6"/>
        <v>0</v>
      </c>
      <c r="D90" s="5">
        <f t="shared" si="6"/>
        <v>1</v>
      </c>
      <c r="E90" s="5">
        <f t="shared" si="6"/>
        <v>0</v>
      </c>
      <c r="F90" s="5">
        <f t="shared" si="6"/>
        <v>0</v>
      </c>
      <c r="G90" s="5">
        <f t="shared" si="6"/>
        <v>0</v>
      </c>
      <c r="H90" s="5">
        <f t="shared" si="6"/>
        <v>1</v>
      </c>
      <c r="I90" s="6" t="s">
        <v>15</v>
      </c>
      <c r="J90" s="6" t="s">
        <v>43</v>
      </c>
      <c r="K90" s="6" t="str">
        <f>_xlfn.XLOOKUP(J90,Worksheet!$F$1:$F$48,Worksheet!$G$1:$G$48,0)</f>
        <v>Lack of awareness</v>
      </c>
      <c r="L90" s="6" t="s">
        <v>50</v>
      </c>
      <c r="M90" s="6" t="s">
        <v>30</v>
      </c>
      <c r="N90" s="6" t="s">
        <v>51</v>
      </c>
      <c r="O90" s="6">
        <v>4</v>
      </c>
      <c r="P90" s="6" t="s">
        <v>45</v>
      </c>
      <c r="Q90" s="6" t="s">
        <v>63</v>
      </c>
      <c r="R90" s="6" t="s">
        <v>148</v>
      </c>
      <c r="S90" s="6">
        <f t="shared" si="7"/>
        <v>1</v>
      </c>
      <c r="T90" s="6">
        <f t="shared" si="7"/>
        <v>0</v>
      </c>
      <c r="U90" s="6">
        <f t="shared" si="7"/>
        <v>1</v>
      </c>
      <c r="V90" s="6">
        <f t="shared" si="7"/>
        <v>1</v>
      </c>
      <c r="W90" s="6">
        <f t="shared" si="7"/>
        <v>0</v>
      </c>
      <c r="X90" s="6">
        <f t="shared" si="7"/>
        <v>1</v>
      </c>
      <c r="Y90" s="6">
        <f t="shared" si="7"/>
        <v>1</v>
      </c>
      <c r="Z90" s="6">
        <f t="shared" si="7"/>
        <v>0</v>
      </c>
      <c r="AA90" s="6">
        <f t="shared" si="7"/>
        <v>0</v>
      </c>
      <c r="AB90" s="6">
        <f t="shared" si="7"/>
        <v>0</v>
      </c>
      <c r="AC90" s="6" t="s">
        <v>25</v>
      </c>
      <c r="AD90" s="6" t="s">
        <v>23</v>
      </c>
      <c r="AE90" s="6" t="s">
        <v>54</v>
      </c>
      <c r="AF90" s="6" t="s">
        <v>25</v>
      </c>
    </row>
    <row r="91" spans="1:32" x14ac:dyDescent="0.3">
      <c r="A91" s="7">
        <v>90</v>
      </c>
      <c r="B91" s="7" t="s">
        <v>61</v>
      </c>
      <c r="C91" s="7">
        <f t="shared" si="6"/>
        <v>1</v>
      </c>
      <c r="D91" s="7">
        <f t="shared" si="6"/>
        <v>1</v>
      </c>
      <c r="E91" s="7">
        <f t="shared" si="6"/>
        <v>0</v>
      </c>
      <c r="F91" s="7">
        <f t="shared" si="6"/>
        <v>0</v>
      </c>
      <c r="G91" s="7">
        <f t="shared" si="6"/>
        <v>1</v>
      </c>
      <c r="H91" s="7">
        <f t="shared" si="6"/>
        <v>1</v>
      </c>
      <c r="I91" s="8" t="s">
        <v>15</v>
      </c>
      <c r="J91" s="8" t="s">
        <v>43</v>
      </c>
      <c r="K91" s="8" t="str">
        <f>_xlfn.XLOOKUP(J91,Worksheet!$F$1:$F$48,Worksheet!$G$1:$G$48,0)</f>
        <v>Lack of awareness</v>
      </c>
      <c r="L91" s="8" t="s">
        <v>29</v>
      </c>
      <c r="M91" s="8" t="s">
        <v>30</v>
      </c>
      <c r="N91" s="8" t="s">
        <v>51</v>
      </c>
      <c r="O91" s="8">
        <v>5</v>
      </c>
      <c r="P91" s="8" t="s">
        <v>45</v>
      </c>
      <c r="Q91" s="8" t="s">
        <v>63</v>
      </c>
      <c r="R91" s="8" t="s">
        <v>149</v>
      </c>
      <c r="S91" s="8">
        <f t="shared" si="7"/>
        <v>1</v>
      </c>
      <c r="T91" s="8">
        <f t="shared" si="7"/>
        <v>1</v>
      </c>
      <c r="U91" s="8">
        <f t="shared" si="7"/>
        <v>1</v>
      </c>
      <c r="V91" s="8">
        <f t="shared" si="7"/>
        <v>0</v>
      </c>
      <c r="W91" s="8">
        <f t="shared" si="7"/>
        <v>0</v>
      </c>
      <c r="X91" s="8">
        <f t="shared" si="7"/>
        <v>1</v>
      </c>
      <c r="Y91" s="8">
        <f t="shared" si="7"/>
        <v>1</v>
      </c>
      <c r="Z91" s="8">
        <f t="shared" si="7"/>
        <v>1</v>
      </c>
      <c r="AA91" s="8">
        <f t="shared" si="7"/>
        <v>0</v>
      </c>
      <c r="AB91" s="8">
        <f t="shared" si="7"/>
        <v>0</v>
      </c>
      <c r="AC91" s="8" t="s">
        <v>25</v>
      </c>
      <c r="AD91" s="8" t="s">
        <v>34</v>
      </c>
      <c r="AE91" s="8" t="s">
        <v>24</v>
      </c>
      <c r="AF91" s="8" t="s">
        <v>25</v>
      </c>
    </row>
    <row r="92" spans="1:32" x14ac:dyDescent="0.3">
      <c r="A92" s="5">
        <v>91</v>
      </c>
      <c r="B92" s="5" t="s">
        <v>340</v>
      </c>
      <c r="C92" s="5">
        <f t="shared" si="6"/>
        <v>0</v>
      </c>
      <c r="D92" s="5">
        <f t="shared" si="6"/>
        <v>0</v>
      </c>
      <c r="E92" s="5">
        <f t="shared" si="6"/>
        <v>1</v>
      </c>
      <c r="F92" s="5">
        <f t="shared" si="6"/>
        <v>0</v>
      </c>
      <c r="G92" s="5">
        <f t="shared" si="6"/>
        <v>0</v>
      </c>
      <c r="H92" s="5">
        <f t="shared" si="6"/>
        <v>0</v>
      </c>
      <c r="I92" s="6" t="s">
        <v>15</v>
      </c>
      <c r="J92" s="6" t="s">
        <v>16</v>
      </c>
      <c r="K92" s="6" t="str">
        <f>_xlfn.XLOOKUP(J92,Worksheet!$F$1:$F$48,Worksheet!$G$1:$G$48,0)</f>
        <v>Cost</v>
      </c>
      <c r="L92" s="6" t="s">
        <v>356</v>
      </c>
      <c r="M92" s="6" t="s">
        <v>15</v>
      </c>
      <c r="N92" s="6" t="s">
        <v>44</v>
      </c>
      <c r="O92" s="6">
        <v>4</v>
      </c>
      <c r="P92" s="6" t="s">
        <v>84</v>
      </c>
      <c r="Q92" s="6" t="s">
        <v>63</v>
      </c>
      <c r="R92" s="6" t="s">
        <v>39</v>
      </c>
      <c r="S92" s="6">
        <f t="shared" si="7"/>
        <v>0</v>
      </c>
      <c r="T92" s="6">
        <f t="shared" si="7"/>
        <v>0</v>
      </c>
      <c r="U92" s="6">
        <f t="shared" si="7"/>
        <v>0</v>
      </c>
      <c r="V92" s="6">
        <f t="shared" si="7"/>
        <v>0</v>
      </c>
      <c r="W92" s="6">
        <f t="shared" si="7"/>
        <v>1</v>
      </c>
      <c r="X92" s="6">
        <f t="shared" si="7"/>
        <v>0</v>
      </c>
      <c r="Y92" s="6">
        <f t="shared" si="7"/>
        <v>0</v>
      </c>
      <c r="Z92" s="6">
        <f t="shared" si="7"/>
        <v>0</v>
      </c>
      <c r="AA92" s="6">
        <f t="shared" si="7"/>
        <v>0</v>
      </c>
      <c r="AB92" s="6">
        <f t="shared" si="7"/>
        <v>0</v>
      </c>
      <c r="AC92" s="6" t="s">
        <v>21</v>
      </c>
      <c r="AD92" s="6" t="s">
        <v>23</v>
      </c>
      <c r="AE92" s="6" t="s">
        <v>24</v>
      </c>
      <c r="AF92" s="6" t="s">
        <v>48</v>
      </c>
    </row>
    <row r="93" spans="1:32" x14ac:dyDescent="0.3">
      <c r="A93" s="7">
        <v>92</v>
      </c>
      <c r="B93" s="7" t="s">
        <v>340</v>
      </c>
      <c r="C93" s="7">
        <f t="shared" si="6"/>
        <v>0</v>
      </c>
      <c r="D93" s="7">
        <f t="shared" si="6"/>
        <v>0</v>
      </c>
      <c r="E93" s="7">
        <f t="shared" si="6"/>
        <v>1</v>
      </c>
      <c r="F93" s="7">
        <f t="shared" si="6"/>
        <v>0</v>
      </c>
      <c r="G93" s="7">
        <f t="shared" si="6"/>
        <v>0</v>
      </c>
      <c r="H93" s="7">
        <f t="shared" si="6"/>
        <v>0</v>
      </c>
      <c r="I93" s="8" t="s">
        <v>49</v>
      </c>
      <c r="J93" s="8" t="s">
        <v>150</v>
      </c>
      <c r="K93" s="8" t="str">
        <f>_xlfn.XLOOKUP(J93,Worksheet!$F$1:$F$48,Worksheet!$G$1:$G$48,0)</f>
        <v>No need</v>
      </c>
      <c r="L93" s="8" t="s">
        <v>50</v>
      </c>
      <c r="M93" s="8" t="s">
        <v>49</v>
      </c>
      <c r="N93" s="8" t="s">
        <v>51</v>
      </c>
      <c r="O93" s="8">
        <v>4</v>
      </c>
      <c r="P93" s="8" t="s">
        <v>45</v>
      </c>
      <c r="Q93" s="8" t="s">
        <v>63</v>
      </c>
      <c r="R93" s="8" t="s">
        <v>151</v>
      </c>
      <c r="S93" s="8">
        <f t="shared" si="7"/>
        <v>1</v>
      </c>
      <c r="T93" s="8">
        <f t="shared" si="7"/>
        <v>1</v>
      </c>
      <c r="U93" s="8">
        <f t="shared" si="7"/>
        <v>0</v>
      </c>
      <c r="V93" s="8">
        <f t="shared" si="7"/>
        <v>1</v>
      </c>
      <c r="W93" s="8">
        <f t="shared" si="7"/>
        <v>1</v>
      </c>
      <c r="X93" s="8">
        <f t="shared" si="7"/>
        <v>1</v>
      </c>
      <c r="Y93" s="8">
        <f t="shared" si="7"/>
        <v>0</v>
      </c>
      <c r="Z93" s="8">
        <f t="shared" si="7"/>
        <v>0</v>
      </c>
      <c r="AA93" s="8">
        <f t="shared" si="7"/>
        <v>0</v>
      </c>
      <c r="AB93" s="8">
        <f t="shared" si="7"/>
        <v>1</v>
      </c>
      <c r="AC93" s="8" t="s">
        <v>21</v>
      </c>
      <c r="AD93" s="8" t="s">
        <v>23</v>
      </c>
      <c r="AE93" s="8" t="s">
        <v>24</v>
      </c>
      <c r="AF93" s="8" t="s">
        <v>25</v>
      </c>
    </row>
    <row r="94" spans="1:32" x14ac:dyDescent="0.3">
      <c r="A94" s="5">
        <v>93</v>
      </c>
      <c r="B94" s="5" t="s">
        <v>55</v>
      </c>
      <c r="C94" s="5">
        <f t="shared" si="6"/>
        <v>0</v>
      </c>
      <c r="D94" s="5">
        <f t="shared" si="6"/>
        <v>0</v>
      </c>
      <c r="E94" s="5">
        <f t="shared" si="6"/>
        <v>0</v>
      </c>
      <c r="F94" s="5">
        <f t="shared" si="6"/>
        <v>0</v>
      </c>
      <c r="G94" s="5">
        <f t="shared" si="6"/>
        <v>0</v>
      </c>
      <c r="H94" s="5">
        <f t="shared" si="6"/>
        <v>1</v>
      </c>
      <c r="I94" s="6" t="s">
        <v>42</v>
      </c>
      <c r="J94" s="6" t="s">
        <v>83</v>
      </c>
      <c r="K94" s="6" t="str">
        <f>_xlfn.XLOOKUP(J94,Worksheet!$F$1:$F$48,Worksheet!$G$1:$G$48,0)</f>
        <v>Fear</v>
      </c>
      <c r="L94" s="6" t="s">
        <v>17</v>
      </c>
      <c r="M94" s="6" t="s">
        <v>15</v>
      </c>
      <c r="N94" s="6" t="s">
        <v>70</v>
      </c>
      <c r="O94" s="6">
        <v>5</v>
      </c>
      <c r="P94" s="6" t="s">
        <v>45</v>
      </c>
      <c r="Q94" s="6" t="s">
        <v>52</v>
      </c>
      <c r="R94" s="6" t="s">
        <v>152</v>
      </c>
      <c r="S94" s="6">
        <f t="shared" si="7"/>
        <v>1</v>
      </c>
      <c r="T94" s="6">
        <f t="shared" si="7"/>
        <v>1</v>
      </c>
      <c r="U94" s="6">
        <f t="shared" si="7"/>
        <v>0</v>
      </c>
      <c r="V94" s="6">
        <f t="shared" si="7"/>
        <v>1</v>
      </c>
      <c r="W94" s="6">
        <f t="shared" si="7"/>
        <v>0</v>
      </c>
      <c r="X94" s="6">
        <f t="shared" si="7"/>
        <v>1</v>
      </c>
      <c r="Y94" s="6">
        <f t="shared" si="7"/>
        <v>0</v>
      </c>
      <c r="Z94" s="6">
        <f t="shared" si="7"/>
        <v>1</v>
      </c>
      <c r="AA94" s="6">
        <f t="shared" si="7"/>
        <v>1</v>
      </c>
      <c r="AB94" s="6">
        <f t="shared" si="7"/>
        <v>0</v>
      </c>
      <c r="AC94" s="6" t="s">
        <v>21</v>
      </c>
      <c r="AD94" s="6" t="s">
        <v>34</v>
      </c>
      <c r="AE94" s="6" t="s">
        <v>24</v>
      </c>
      <c r="AF94" s="6" t="s">
        <v>25</v>
      </c>
    </row>
    <row r="95" spans="1:32" x14ac:dyDescent="0.3">
      <c r="A95" s="7">
        <v>94</v>
      </c>
      <c r="B95" s="7" t="s">
        <v>41</v>
      </c>
      <c r="C95" s="7">
        <f t="shared" si="6"/>
        <v>0</v>
      </c>
      <c r="D95" s="7">
        <f t="shared" si="6"/>
        <v>0</v>
      </c>
      <c r="E95" s="7">
        <f t="shared" si="6"/>
        <v>0</v>
      </c>
      <c r="F95" s="7">
        <f t="shared" si="6"/>
        <v>0</v>
      </c>
      <c r="G95" s="7">
        <f t="shared" si="6"/>
        <v>1</v>
      </c>
      <c r="H95" s="7">
        <f t="shared" si="6"/>
        <v>0</v>
      </c>
      <c r="I95" s="8" t="s">
        <v>49</v>
      </c>
      <c r="J95" s="8" t="s">
        <v>153</v>
      </c>
      <c r="K95" s="8" t="str">
        <f>_xlfn.XLOOKUP(J95,Worksheet!$F$1:$F$48,Worksheet!$G$1:$G$48,0)</f>
        <v>No need</v>
      </c>
      <c r="L95" s="8" t="s">
        <v>50</v>
      </c>
      <c r="M95" s="8" t="s">
        <v>49</v>
      </c>
      <c r="N95" s="8" t="s">
        <v>58</v>
      </c>
      <c r="O95" s="8">
        <v>5</v>
      </c>
      <c r="P95" s="8" t="s">
        <v>45</v>
      </c>
      <c r="Q95" s="8" t="s">
        <v>52</v>
      </c>
      <c r="R95" s="8" t="s">
        <v>154</v>
      </c>
      <c r="S95" s="8">
        <f t="shared" si="7"/>
        <v>0</v>
      </c>
      <c r="T95" s="8">
        <f t="shared" si="7"/>
        <v>1</v>
      </c>
      <c r="U95" s="8">
        <f t="shared" si="7"/>
        <v>0</v>
      </c>
      <c r="V95" s="8">
        <f t="shared" si="7"/>
        <v>1</v>
      </c>
      <c r="W95" s="8">
        <f t="shared" si="7"/>
        <v>0</v>
      </c>
      <c r="X95" s="8">
        <f t="shared" si="7"/>
        <v>1</v>
      </c>
      <c r="Y95" s="8">
        <f t="shared" si="7"/>
        <v>1</v>
      </c>
      <c r="Z95" s="8">
        <f t="shared" si="7"/>
        <v>1</v>
      </c>
      <c r="AA95" s="8">
        <f t="shared" si="7"/>
        <v>0</v>
      </c>
      <c r="AB95" s="8">
        <f t="shared" si="7"/>
        <v>0</v>
      </c>
      <c r="AC95" s="8" t="s">
        <v>25</v>
      </c>
      <c r="AD95" s="8" t="s">
        <v>34</v>
      </c>
      <c r="AE95" s="8" t="s">
        <v>24</v>
      </c>
      <c r="AF95" s="8" t="s">
        <v>48</v>
      </c>
    </row>
    <row r="96" spans="1:32" x14ac:dyDescent="0.3">
      <c r="A96" s="5">
        <v>95</v>
      </c>
      <c r="B96" s="5" t="s">
        <v>41</v>
      </c>
      <c r="C96" s="5">
        <f t="shared" si="6"/>
        <v>0</v>
      </c>
      <c r="D96" s="5">
        <f t="shared" si="6"/>
        <v>0</v>
      </c>
      <c r="E96" s="5">
        <f t="shared" si="6"/>
        <v>0</v>
      </c>
      <c r="F96" s="5">
        <f t="shared" si="6"/>
        <v>0</v>
      </c>
      <c r="G96" s="5">
        <f t="shared" si="6"/>
        <v>1</v>
      </c>
      <c r="H96" s="5">
        <f t="shared" si="6"/>
        <v>0</v>
      </c>
      <c r="I96" s="6" t="s">
        <v>49</v>
      </c>
      <c r="J96" s="6" t="s">
        <v>43</v>
      </c>
      <c r="K96" s="6" t="str">
        <f>_xlfn.XLOOKUP(J96,Worksheet!$F$1:$F$48,Worksheet!$G$1:$G$48,0)</f>
        <v>Lack of awareness</v>
      </c>
      <c r="L96" s="6" t="s">
        <v>356</v>
      </c>
      <c r="M96" s="6" t="s">
        <v>30</v>
      </c>
      <c r="N96" s="6" t="s">
        <v>44</v>
      </c>
      <c r="O96" s="6">
        <v>4</v>
      </c>
      <c r="P96" s="6" t="s">
        <v>45</v>
      </c>
      <c r="Q96" s="6" t="s">
        <v>63</v>
      </c>
      <c r="R96" s="6" t="s">
        <v>155</v>
      </c>
      <c r="S96" s="6">
        <f t="shared" si="7"/>
        <v>1</v>
      </c>
      <c r="T96" s="6">
        <f t="shared" si="7"/>
        <v>1</v>
      </c>
      <c r="U96" s="6">
        <f t="shared" si="7"/>
        <v>0</v>
      </c>
      <c r="V96" s="6">
        <f t="shared" si="7"/>
        <v>1</v>
      </c>
      <c r="W96" s="6">
        <f t="shared" si="7"/>
        <v>1</v>
      </c>
      <c r="X96" s="6">
        <f t="shared" si="7"/>
        <v>1</v>
      </c>
      <c r="Y96" s="6">
        <f t="shared" si="7"/>
        <v>1</v>
      </c>
      <c r="Z96" s="6">
        <f t="shared" si="7"/>
        <v>0</v>
      </c>
      <c r="AA96" s="6">
        <f t="shared" si="7"/>
        <v>0</v>
      </c>
      <c r="AB96" s="6">
        <f t="shared" si="7"/>
        <v>1</v>
      </c>
      <c r="AC96" s="6" t="s">
        <v>25</v>
      </c>
      <c r="AD96" s="6" t="s">
        <v>34</v>
      </c>
      <c r="AE96" s="6" t="s">
        <v>24</v>
      </c>
      <c r="AF96" s="6" t="s">
        <v>82</v>
      </c>
    </row>
    <row r="97" spans="1:32" x14ac:dyDescent="0.3">
      <c r="A97" s="7">
        <v>96</v>
      </c>
      <c r="B97" s="7" t="s">
        <v>68</v>
      </c>
      <c r="C97" s="7">
        <f t="shared" si="6"/>
        <v>0</v>
      </c>
      <c r="D97" s="7">
        <f t="shared" si="6"/>
        <v>1</v>
      </c>
      <c r="E97" s="7">
        <f t="shared" si="6"/>
        <v>0</v>
      </c>
      <c r="F97" s="7">
        <f t="shared" si="6"/>
        <v>0</v>
      </c>
      <c r="G97" s="7">
        <f t="shared" si="6"/>
        <v>0</v>
      </c>
      <c r="H97" s="7">
        <f t="shared" si="6"/>
        <v>0</v>
      </c>
      <c r="I97" s="8" t="s">
        <v>15</v>
      </c>
      <c r="J97" s="8" t="s">
        <v>43</v>
      </c>
      <c r="K97" s="8" t="str">
        <f>_xlfn.XLOOKUP(J97,Worksheet!$F$1:$F$48,Worksheet!$G$1:$G$48,0)</f>
        <v>Lack of awareness</v>
      </c>
      <c r="L97" s="8" t="s">
        <v>29</v>
      </c>
      <c r="M97" s="8" t="s">
        <v>15</v>
      </c>
      <c r="N97" s="8" t="s">
        <v>44</v>
      </c>
      <c r="O97" s="8">
        <v>5</v>
      </c>
      <c r="P97" s="8" t="s">
        <v>45</v>
      </c>
      <c r="Q97" s="8" t="s">
        <v>63</v>
      </c>
      <c r="R97" s="8" t="s">
        <v>156</v>
      </c>
      <c r="S97" s="8">
        <f t="shared" ref="S97:AB122" si="8">IFERROR(IF(SEARCH(S$1,$R97)&gt;0,1,0),0)</f>
        <v>1</v>
      </c>
      <c r="T97" s="8">
        <f t="shared" si="8"/>
        <v>1</v>
      </c>
      <c r="U97" s="8">
        <f t="shared" si="8"/>
        <v>0</v>
      </c>
      <c r="V97" s="8">
        <f t="shared" si="8"/>
        <v>0</v>
      </c>
      <c r="W97" s="8">
        <f t="shared" si="8"/>
        <v>0</v>
      </c>
      <c r="X97" s="8">
        <f t="shared" si="8"/>
        <v>0</v>
      </c>
      <c r="Y97" s="8">
        <f t="shared" si="8"/>
        <v>0</v>
      </c>
      <c r="Z97" s="8">
        <f t="shared" si="8"/>
        <v>1</v>
      </c>
      <c r="AA97" s="8">
        <f t="shared" si="8"/>
        <v>0</v>
      </c>
      <c r="AB97" s="8">
        <f t="shared" si="8"/>
        <v>0</v>
      </c>
      <c r="AC97" s="8" t="s">
        <v>25</v>
      </c>
      <c r="AD97" s="8" t="s">
        <v>23</v>
      </c>
      <c r="AE97" s="8" t="s">
        <v>24</v>
      </c>
      <c r="AF97" s="8" t="s">
        <v>48</v>
      </c>
    </row>
    <row r="98" spans="1:32" x14ac:dyDescent="0.3">
      <c r="A98" s="5">
        <v>97</v>
      </c>
      <c r="B98" s="5" t="s">
        <v>57</v>
      </c>
      <c r="C98" s="5">
        <f t="shared" si="6"/>
        <v>1</v>
      </c>
      <c r="D98" s="5">
        <f t="shared" si="6"/>
        <v>0</v>
      </c>
      <c r="E98" s="5">
        <f t="shared" si="6"/>
        <v>0</v>
      </c>
      <c r="F98" s="5">
        <f t="shared" si="6"/>
        <v>0</v>
      </c>
      <c r="G98" s="5">
        <f t="shared" si="6"/>
        <v>1</v>
      </c>
      <c r="H98" s="5">
        <f t="shared" si="6"/>
        <v>0</v>
      </c>
      <c r="I98" s="6" t="s">
        <v>49</v>
      </c>
      <c r="J98" s="6" t="s">
        <v>16</v>
      </c>
      <c r="K98" s="6" t="str">
        <f>_xlfn.XLOOKUP(J98,Worksheet!$F$1:$F$48,Worksheet!$G$1:$G$48,0)</f>
        <v>Cost</v>
      </c>
      <c r="L98" s="6" t="s">
        <v>37</v>
      </c>
      <c r="M98" s="6" t="s">
        <v>18</v>
      </c>
      <c r="N98" s="6" t="s">
        <v>58</v>
      </c>
      <c r="O98" s="6">
        <v>2</v>
      </c>
      <c r="P98" s="6" t="s">
        <v>45</v>
      </c>
      <c r="Q98" s="6" t="s">
        <v>46</v>
      </c>
      <c r="R98" s="6" t="s">
        <v>56</v>
      </c>
      <c r="S98" s="6">
        <f t="shared" si="8"/>
        <v>1</v>
      </c>
      <c r="T98" s="6">
        <f t="shared" si="8"/>
        <v>0</v>
      </c>
      <c r="U98" s="6">
        <f t="shared" si="8"/>
        <v>0</v>
      </c>
      <c r="V98" s="6">
        <f t="shared" si="8"/>
        <v>0</v>
      </c>
      <c r="W98" s="6">
        <f t="shared" si="8"/>
        <v>0</v>
      </c>
      <c r="X98" s="6">
        <f t="shared" si="8"/>
        <v>0</v>
      </c>
      <c r="Y98" s="6">
        <f t="shared" si="8"/>
        <v>0</v>
      </c>
      <c r="Z98" s="6">
        <f t="shared" si="8"/>
        <v>0</v>
      </c>
      <c r="AA98" s="6">
        <f t="shared" si="8"/>
        <v>0</v>
      </c>
      <c r="AB98" s="6">
        <f t="shared" si="8"/>
        <v>0</v>
      </c>
      <c r="AC98" s="6" t="s">
        <v>21</v>
      </c>
      <c r="AD98" s="6" t="s">
        <v>23</v>
      </c>
      <c r="AE98" s="6" t="s">
        <v>24</v>
      </c>
      <c r="AF98" s="6" t="s">
        <v>48</v>
      </c>
    </row>
    <row r="99" spans="1:32" x14ac:dyDescent="0.3">
      <c r="A99" s="7">
        <v>98</v>
      </c>
      <c r="B99" s="7" t="s">
        <v>100</v>
      </c>
      <c r="C99" s="7">
        <f t="shared" si="6"/>
        <v>1</v>
      </c>
      <c r="D99" s="7">
        <f t="shared" si="6"/>
        <v>0</v>
      </c>
      <c r="E99" s="7">
        <f t="shared" si="6"/>
        <v>0</v>
      </c>
      <c r="F99" s="7">
        <f t="shared" si="6"/>
        <v>0</v>
      </c>
      <c r="G99" s="7">
        <f t="shared" si="6"/>
        <v>0</v>
      </c>
      <c r="H99" s="7">
        <f t="shared" si="6"/>
        <v>0</v>
      </c>
      <c r="I99" s="8" t="s">
        <v>42</v>
      </c>
      <c r="J99" s="8" t="s">
        <v>36</v>
      </c>
      <c r="K99" s="8" t="str">
        <f>_xlfn.XLOOKUP(J99,Worksheet!$F$1:$F$48,Worksheet!$G$1:$G$48,0)</f>
        <v>Shame</v>
      </c>
      <c r="L99" s="8" t="s">
        <v>29</v>
      </c>
      <c r="M99" s="8" t="s">
        <v>18</v>
      </c>
      <c r="N99" s="8" t="s">
        <v>51</v>
      </c>
      <c r="O99" s="8">
        <v>2</v>
      </c>
      <c r="P99" s="8" t="s">
        <v>84</v>
      </c>
      <c r="Q99" s="8" t="s">
        <v>63</v>
      </c>
      <c r="R99" s="8" t="s">
        <v>157</v>
      </c>
      <c r="S99" s="8">
        <f t="shared" si="8"/>
        <v>0</v>
      </c>
      <c r="T99" s="8">
        <f t="shared" si="8"/>
        <v>0</v>
      </c>
      <c r="U99" s="8">
        <f t="shared" si="8"/>
        <v>0</v>
      </c>
      <c r="V99" s="8">
        <f t="shared" si="8"/>
        <v>0</v>
      </c>
      <c r="W99" s="8">
        <f t="shared" si="8"/>
        <v>0</v>
      </c>
      <c r="X99" s="8">
        <f t="shared" si="8"/>
        <v>0</v>
      </c>
      <c r="Y99" s="8">
        <f t="shared" si="8"/>
        <v>0</v>
      </c>
      <c r="Z99" s="8">
        <f t="shared" si="8"/>
        <v>1</v>
      </c>
      <c r="AA99" s="8">
        <f t="shared" si="8"/>
        <v>0</v>
      </c>
      <c r="AB99" s="8">
        <f t="shared" si="8"/>
        <v>0</v>
      </c>
      <c r="AC99" s="8" t="s">
        <v>21</v>
      </c>
      <c r="AD99" s="8" t="s">
        <v>34</v>
      </c>
      <c r="AE99" s="8" t="s">
        <v>24</v>
      </c>
      <c r="AF99" s="8" t="s">
        <v>25</v>
      </c>
    </row>
    <row r="100" spans="1:32" x14ac:dyDescent="0.3">
      <c r="A100" s="5">
        <v>99</v>
      </c>
      <c r="B100" s="5" t="s">
        <v>68</v>
      </c>
      <c r="C100" s="5">
        <f t="shared" si="6"/>
        <v>0</v>
      </c>
      <c r="D100" s="5">
        <f t="shared" si="6"/>
        <v>1</v>
      </c>
      <c r="E100" s="5">
        <f t="shared" si="6"/>
        <v>0</v>
      </c>
      <c r="F100" s="5">
        <f t="shared" ref="D100:H151" si="9">IFERROR(IF(SEARCH(F$1,$B100)&gt;0,1,0),0)</f>
        <v>0</v>
      </c>
      <c r="G100" s="5">
        <f t="shared" si="9"/>
        <v>0</v>
      </c>
      <c r="H100" s="5">
        <f t="shared" si="9"/>
        <v>0</v>
      </c>
      <c r="I100" s="6" t="s">
        <v>27</v>
      </c>
      <c r="J100" s="6" t="s">
        <v>43</v>
      </c>
      <c r="K100" s="6" t="str">
        <f>_xlfn.XLOOKUP(J100,Worksheet!$F$1:$F$48,Worksheet!$G$1:$G$48,0)</f>
        <v>Lack of awareness</v>
      </c>
      <c r="L100" s="6" t="s">
        <v>356</v>
      </c>
      <c r="M100" s="6" t="s">
        <v>30</v>
      </c>
      <c r="N100" s="6" t="s">
        <v>58</v>
      </c>
      <c r="O100" s="6">
        <v>4</v>
      </c>
      <c r="P100" s="6" t="s">
        <v>45</v>
      </c>
      <c r="Q100" s="6" t="s">
        <v>63</v>
      </c>
      <c r="R100" s="6" t="s">
        <v>158</v>
      </c>
      <c r="S100" s="6">
        <f t="shared" si="8"/>
        <v>0</v>
      </c>
      <c r="T100" s="6">
        <f t="shared" si="8"/>
        <v>1</v>
      </c>
      <c r="U100" s="6">
        <f t="shared" si="8"/>
        <v>1</v>
      </c>
      <c r="V100" s="6">
        <f t="shared" si="8"/>
        <v>0</v>
      </c>
      <c r="W100" s="6">
        <f t="shared" si="8"/>
        <v>1</v>
      </c>
      <c r="X100" s="6">
        <f t="shared" si="8"/>
        <v>0</v>
      </c>
      <c r="Y100" s="6">
        <f t="shared" si="8"/>
        <v>0</v>
      </c>
      <c r="Z100" s="6">
        <f t="shared" si="8"/>
        <v>0</v>
      </c>
      <c r="AA100" s="6">
        <f t="shared" si="8"/>
        <v>0</v>
      </c>
      <c r="AB100" s="6">
        <f t="shared" si="8"/>
        <v>0</v>
      </c>
      <c r="AC100" s="6" t="s">
        <v>25</v>
      </c>
      <c r="AD100" s="6" t="s">
        <v>23</v>
      </c>
      <c r="AE100" s="6" t="s">
        <v>24</v>
      </c>
      <c r="AF100" s="6" t="s">
        <v>82</v>
      </c>
    </row>
    <row r="101" spans="1:32" x14ac:dyDescent="0.3">
      <c r="A101" s="7">
        <v>100</v>
      </c>
      <c r="B101" s="7" t="s">
        <v>55</v>
      </c>
      <c r="C101" s="7">
        <f t="shared" ref="C101:C164" si="10">IFERROR(IF(SEARCH(C$1,$B101)&gt;0,1,0),0)</f>
        <v>0</v>
      </c>
      <c r="D101" s="7">
        <f t="shared" si="9"/>
        <v>0</v>
      </c>
      <c r="E101" s="7">
        <f t="shared" si="9"/>
        <v>0</v>
      </c>
      <c r="F101" s="7">
        <f t="shared" si="9"/>
        <v>0</v>
      </c>
      <c r="G101" s="7">
        <f t="shared" si="9"/>
        <v>0</v>
      </c>
      <c r="H101" s="7">
        <f t="shared" si="9"/>
        <v>1</v>
      </c>
      <c r="I101" s="8" t="s">
        <v>27</v>
      </c>
      <c r="J101" s="8" t="s">
        <v>159</v>
      </c>
      <c r="K101" s="8" t="str">
        <f>_xlfn.XLOOKUP(J101,Worksheet!$F$1:$F$48,Worksheet!$G$1:$G$48,0)</f>
        <v>NA</v>
      </c>
      <c r="L101" s="8" t="s">
        <v>17</v>
      </c>
      <c r="M101" s="8" t="s">
        <v>49</v>
      </c>
      <c r="N101" s="8" t="s">
        <v>51</v>
      </c>
      <c r="O101" s="8">
        <v>5</v>
      </c>
      <c r="P101" s="8" t="s">
        <v>45</v>
      </c>
      <c r="Q101" s="8" t="s">
        <v>63</v>
      </c>
      <c r="R101" s="8" t="s">
        <v>139</v>
      </c>
      <c r="S101" s="8">
        <f t="shared" si="8"/>
        <v>0</v>
      </c>
      <c r="T101" s="8">
        <f t="shared" si="8"/>
        <v>1</v>
      </c>
      <c r="U101" s="8">
        <f t="shared" si="8"/>
        <v>0</v>
      </c>
      <c r="V101" s="8">
        <f t="shared" si="8"/>
        <v>0</v>
      </c>
      <c r="W101" s="8">
        <f t="shared" si="8"/>
        <v>0</v>
      </c>
      <c r="X101" s="8">
        <f t="shared" si="8"/>
        <v>0</v>
      </c>
      <c r="Y101" s="8">
        <f t="shared" si="8"/>
        <v>0</v>
      </c>
      <c r="Z101" s="8">
        <f t="shared" si="8"/>
        <v>0</v>
      </c>
      <c r="AA101" s="8">
        <f t="shared" si="8"/>
        <v>0</v>
      </c>
      <c r="AB101" s="8">
        <f t="shared" si="8"/>
        <v>0</v>
      </c>
      <c r="AC101" s="8" t="s">
        <v>21</v>
      </c>
      <c r="AD101" s="8" t="s">
        <v>34</v>
      </c>
      <c r="AE101" s="8" t="s">
        <v>24</v>
      </c>
      <c r="AF101" s="8" t="s">
        <v>82</v>
      </c>
    </row>
    <row r="102" spans="1:32" x14ac:dyDescent="0.3">
      <c r="A102" s="5">
        <v>101</v>
      </c>
      <c r="B102" s="5" t="s">
        <v>61</v>
      </c>
      <c r="C102" s="5">
        <f t="shared" si="10"/>
        <v>1</v>
      </c>
      <c r="D102" s="5">
        <f t="shared" si="9"/>
        <v>1</v>
      </c>
      <c r="E102" s="5">
        <f t="shared" si="9"/>
        <v>0</v>
      </c>
      <c r="F102" s="5">
        <f t="shared" si="9"/>
        <v>0</v>
      </c>
      <c r="G102" s="5">
        <f t="shared" si="9"/>
        <v>1</v>
      </c>
      <c r="H102" s="5">
        <f t="shared" si="9"/>
        <v>1</v>
      </c>
      <c r="I102" s="6" t="s">
        <v>15</v>
      </c>
      <c r="J102" s="6" t="s">
        <v>43</v>
      </c>
      <c r="K102" s="6" t="str">
        <f>_xlfn.XLOOKUP(J102,Worksheet!$F$1:$F$48,Worksheet!$G$1:$G$48,0)</f>
        <v>Lack of awareness</v>
      </c>
      <c r="L102" s="6" t="s">
        <v>17</v>
      </c>
      <c r="M102" s="6" t="s">
        <v>15</v>
      </c>
      <c r="N102" s="6" t="s">
        <v>44</v>
      </c>
      <c r="O102" s="6">
        <v>3</v>
      </c>
      <c r="P102" s="6" t="s">
        <v>45</v>
      </c>
      <c r="Q102" s="6" t="s">
        <v>46</v>
      </c>
      <c r="R102" s="6" t="s">
        <v>160</v>
      </c>
      <c r="S102" s="6">
        <f t="shared" si="8"/>
        <v>0</v>
      </c>
      <c r="T102" s="6">
        <f t="shared" si="8"/>
        <v>0</v>
      </c>
      <c r="U102" s="6">
        <f t="shared" si="8"/>
        <v>1</v>
      </c>
      <c r="V102" s="6">
        <f t="shared" si="8"/>
        <v>1</v>
      </c>
      <c r="W102" s="6">
        <f t="shared" si="8"/>
        <v>0</v>
      </c>
      <c r="X102" s="6">
        <f t="shared" si="8"/>
        <v>1</v>
      </c>
      <c r="Y102" s="6">
        <f t="shared" si="8"/>
        <v>0</v>
      </c>
      <c r="Z102" s="6">
        <f t="shared" si="8"/>
        <v>0</v>
      </c>
      <c r="AA102" s="6">
        <f t="shared" si="8"/>
        <v>0</v>
      </c>
      <c r="AB102" s="6">
        <f t="shared" si="8"/>
        <v>0</v>
      </c>
      <c r="AC102" s="6" t="s">
        <v>25</v>
      </c>
      <c r="AD102" s="6" t="s">
        <v>23</v>
      </c>
      <c r="AE102" s="6" t="s">
        <v>24</v>
      </c>
      <c r="AF102" s="6" t="s">
        <v>82</v>
      </c>
    </row>
    <row r="103" spans="1:32" x14ac:dyDescent="0.3">
      <c r="A103" s="7">
        <v>102</v>
      </c>
      <c r="B103" s="7" t="s">
        <v>340</v>
      </c>
      <c r="C103" s="7">
        <f t="shared" si="10"/>
        <v>0</v>
      </c>
      <c r="D103" s="7">
        <f t="shared" si="9"/>
        <v>0</v>
      </c>
      <c r="E103" s="7">
        <f t="shared" si="9"/>
        <v>1</v>
      </c>
      <c r="F103" s="7">
        <f t="shared" si="9"/>
        <v>0</v>
      </c>
      <c r="G103" s="7">
        <f t="shared" si="9"/>
        <v>0</v>
      </c>
      <c r="H103" s="7">
        <f t="shared" si="9"/>
        <v>0</v>
      </c>
      <c r="I103" s="8" t="s">
        <v>49</v>
      </c>
      <c r="J103" s="8" t="s">
        <v>43</v>
      </c>
      <c r="K103" s="8" t="str">
        <f>_xlfn.XLOOKUP(J103,Worksheet!$F$1:$F$48,Worksheet!$G$1:$G$48,0)</f>
        <v>Lack of awareness</v>
      </c>
      <c r="L103" s="8" t="s">
        <v>50</v>
      </c>
      <c r="M103" s="8" t="s">
        <v>49</v>
      </c>
      <c r="N103" s="8" t="s">
        <v>51</v>
      </c>
      <c r="O103" s="8">
        <v>4</v>
      </c>
      <c r="P103" s="8" t="s">
        <v>45</v>
      </c>
      <c r="Q103" s="8" t="s">
        <v>46</v>
      </c>
      <c r="R103" s="8" t="s">
        <v>158</v>
      </c>
      <c r="S103" s="8">
        <f t="shared" si="8"/>
        <v>0</v>
      </c>
      <c r="T103" s="8">
        <f t="shared" si="8"/>
        <v>1</v>
      </c>
      <c r="U103" s="8">
        <f t="shared" si="8"/>
        <v>1</v>
      </c>
      <c r="V103" s="8">
        <f t="shared" si="8"/>
        <v>0</v>
      </c>
      <c r="W103" s="8">
        <f t="shared" si="8"/>
        <v>1</v>
      </c>
      <c r="X103" s="8">
        <f t="shared" si="8"/>
        <v>0</v>
      </c>
      <c r="Y103" s="8">
        <f t="shared" si="8"/>
        <v>0</v>
      </c>
      <c r="Z103" s="8">
        <f t="shared" si="8"/>
        <v>0</v>
      </c>
      <c r="AA103" s="8">
        <f t="shared" si="8"/>
        <v>0</v>
      </c>
      <c r="AB103" s="8">
        <f t="shared" si="8"/>
        <v>0</v>
      </c>
      <c r="AC103" s="8" t="s">
        <v>25</v>
      </c>
      <c r="AD103" s="8" t="s">
        <v>23</v>
      </c>
      <c r="AE103" s="8" t="s">
        <v>24</v>
      </c>
      <c r="AF103" s="8" t="s">
        <v>25</v>
      </c>
    </row>
    <row r="104" spans="1:32" x14ac:dyDescent="0.3">
      <c r="A104" s="5">
        <v>103</v>
      </c>
      <c r="B104" s="5" t="s">
        <v>55</v>
      </c>
      <c r="C104" s="5">
        <f t="shared" si="10"/>
        <v>0</v>
      </c>
      <c r="D104" s="5">
        <f t="shared" si="9"/>
        <v>0</v>
      </c>
      <c r="E104" s="5">
        <f t="shared" si="9"/>
        <v>0</v>
      </c>
      <c r="F104" s="5">
        <f t="shared" si="9"/>
        <v>0</v>
      </c>
      <c r="G104" s="5">
        <f t="shared" si="9"/>
        <v>0</v>
      </c>
      <c r="H104" s="5">
        <f t="shared" si="9"/>
        <v>1</v>
      </c>
      <c r="I104" s="6" t="s">
        <v>27</v>
      </c>
      <c r="J104" s="6" t="s">
        <v>43</v>
      </c>
      <c r="K104" s="6" t="str">
        <f>_xlfn.XLOOKUP(J104,Worksheet!$F$1:$F$48,Worksheet!$G$1:$G$48,0)</f>
        <v>Lack of awareness</v>
      </c>
      <c r="L104" s="6" t="s">
        <v>29</v>
      </c>
      <c r="M104" s="6" t="s">
        <v>30</v>
      </c>
      <c r="N104" s="6" t="s">
        <v>51</v>
      </c>
      <c r="O104" s="6">
        <v>3</v>
      </c>
      <c r="P104" s="6" t="s">
        <v>45</v>
      </c>
      <c r="Q104" s="6" t="s">
        <v>52</v>
      </c>
      <c r="R104" s="6" t="s">
        <v>161</v>
      </c>
      <c r="S104" s="6">
        <f t="shared" si="8"/>
        <v>0</v>
      </c>
      <c r="T104" s="6">
        <f t="shared" si="8"/>
        <v>0</v>
      </c>
      <c r="U104" s="6">
        <f t="shared" si="8"/>
        <v>0</v>
      </c>
      <c r="V104" s="6">
        <f t="shared" si="8"/>
        <v>0</v>
      </c>
      <c r="W104" s="6">
        <f t="shared" si="8"/>
        <v>0</v>
      </c>
      <c r="X104" s="6">
        <f t="shared" si="8"/>
        <v>0</v>
      </c>
      <c r="Y104" s="6">
        <f t="shared" si="8"/>
        <v>0</v>
      </c>
      <c r="Z104" s="6">
        <f t="shared" si="8"/>
        <v>0</v>
      </c>
      <c r="AA104" s="6">
        <f t="shared" si="8"/>
        <v>0</v>
      </c>
      <c r="AB104" s="6">
        <f t="shared" si="8"/>
        <v>1</v>
      </c>
      <c r="AC104" s="6" t="s">
        <v>25</v>
      </c>
      <c r="AD104" s="6" t="s">
        <v>34</v>
      </c>
      <c r="AE104" s="6" t="s">
        <v>88</v>
      </c>
      <c r="AF104" s="6" t="s">
        <v>25</v>
      </c>
    </row>
    <row r="105" spans="1:32" x14ac:dyDescent="0.3">
      <c r="A105" s="7">
        <v>104</v>
      </c>
      <c r="B105" s="7" t="s">
        <v>162</v>
      </c>
      <c r="C105" s="7">
        <f t="shared" si="10"/>
        <v>1</v>
      </c>
      <c r="D105" s="7">
        <f t="shared" si="9"/>
        <v>0</v>
      </c>
      <c r="E105" s="7">
        <f t="shared" si="9"/>
        <v>0</v>
      </c>
      <c r="F105" s="7">
        <f t="shared" si="9"/>
        <v>0</v>
      </c>
      <c r="G105" s="7">
        <f t="shared" si="9"/>
        <v>0</v>
      </c>
      <c r="H105" s="7">
        <f t="shared" si="9"/>
        <v>1</v>
      </c>
      <c r="I105" s="8" t="s">
        <v>15</v>
      </c>
      <c r="J105" s="8" t="s">
        <v>43</v>
      </c>
      <c r="K105" s="8" t="str">
        <f>_xlfn.XLOOKUP(J105,Worksheet!$F$1:$F$48,Worksheet!$G$1:$G$48,0)</f>
        <v>Lack of awareness</v>
      </c>
      <c r="L105" s="8" t="s">
        <v>29</v>
      </c>
      <c r="M105" s="8" t="s">
        <v>30</v>
      </c>
      <c r="N105" s="8" t="s">
        <v>44</v>
      </c>
      <c r="O105" s="8">
        <v>5</v>
      </c>
      <c r="P105" s="8" t="s">
        <v>45</v>
      </c>
      <c r="Q105" s="8" t="s">
        <v>63</v>
      </c>
      <c r="R105" s="8" t="s">
        <v>163</v>
      </c>
      <c r="S105" s="8">
        <f t="shared" si="8"/>
        <v>1</v>
      </c>
      <c r="T105" s="8">
        <f t="shared" si="8"/>
        <v>0</v>
      </c>
      <c r="U105" s="8">
        <f t="shared" si="8"/>
        <v>1</v>
      </c>
      <c r="V105" s="8">
        <f t="shared" si="8"/>
        <v>0</v>
      </c>
      <c r="W105" s="8">
        <f t="shared" si="8"/>
        <v>1</v>
      </c>
      <c r="X105" s="8">
        <f t="shared" si="8"/>
        <v>0</v>
      </c>
      <c r="Y105" s="8">
        <f t="shared" si="8"/>
        <v>1</v>
      </c>
      <c r="Z105" s="8">
        <f t="shared" si="8"/>
        <v>0</v>
      </c>
      <c r="AA105" s="8">
        <f t="shared" si="8"/>
        <v>0</v>
      </c>
      <c r="AB105" s="8">
        <f t="shared" si="8"/>
        <v>0</v>
      </c>
      <c r="AC105" s="8" t="s">
        <v>21</v>
      </c>
      <c r="AD105" s="8" t="s">
        <v>34</v>
      </c>
      <c r="AE105" s="8" t="s">
        <v>24</v>
      </c>
      <c r="AF105" s="8" t="s">
        <v>48</v>
      </c>
    </row>
    <row r="106" spans="1:32" x14ac:dyDescent="0.3">
      <c r="A106" s="5">
        <v>105</v>
      </c>
      <c r="B106" s="5" t="s">
        <v>75</v>
      </c>
      <c r="C106" s="5">
        <f t="shared" si="10"/>
        <v>1</v>
      </c>
      <c r="D106" s="5">
        <f t="shared" si="9"/>
        <v>1</v>
      </c>
      <c r="E106" s="5">
        <f t="shared" si="9"/>
        <v>0</v>
      </c>
      <c r="F106" s="5">
        <f t="shared" si="9"/>
        <v>0</v>
      </c>
      <c r="G106" s="5">
        <f t="shared" si="9"/>
        <v>0</v>
      </c>
      <c r="H106" s="5">
        <f t="shared" si="9"/>
        <v>1</v>
      </c>
      <c r="I106" s="6" t="s">
        <v>15</v>
      </c>
      <c r="J106" s="6" t="s">
        <v>62</v>
      </c>
      <c r="K106" s="6" t="str">
        <f>_xlfn.XLOOKUP(J106,Worksheet!$F$1:$F$48,Worksheet!$G$1:$G$48,0)</f>
        <v>Cost</v>
      </c>
      <c r="L106" s="6" t="s">
        <v>356</v>
      </c>
      <c r="M106" s="6" t="s">
        <v>30</v>
      </c>
      <c r="N106" s="6" t="s">
        <v>44</v>
      </c>
      <c r="O106" s="6">
        <v>5</v>
      </c>
      <c r="P106" s="6" t="s">
        <v>45</v>
      </c>
      <c r="Q106" s="6" t="s">
        <v>63</v>
      </c>
      <c r="R106" s="6" t="s">
        <v>164</v>
      </c>
      <c r="S106" s="6">
        <f t="shared" si="8"/>
        <v>1</v>
      </c>
      <c r="T106" s="6">
        <f t="shared" si="8"/>
        <v>1</v>
      </c>
      <c r="U106" s="6">
        <f t="shared" si="8"/>
        <v>1</v>
      </c>
      <c r="V106" s="6">
        <f t="shared" si="8"/>
        <v>0</v>
      </c>
      <c r="W106" s="6">
        <f t="shared" si="8"/>
        <v>1</v>
      </c>
      <c r="X106" s="6">
        <f t="shared" si="8"/>
        <v>0</v>
      </c>
      <c r="Y106" s="6">
        <f t="shared" si="8"/>
        <v>1</v>
      </c>
      <c r="Z106" s="6">
        <f t="shared" si="8"/>
        <v>1</v>
      </c>
      <c r="AA106" s="6">
        <f t="shared" si="8"/>
        <v>0</v>
      </c>
      <c r="AB106" s="6">
        <f t="shared" si="8"/>
        <v>0</v>
      </c>
      <c r="AC106" s="6" t="s">
        <v>21</v>
      </c>
      <c r="AD106" s="6" t="s">
        <v>23</v>
      </c>
      <c r="AE106" s="6" t="s">
        <v>24</v>
      </c>
      <c r="AF106" s="6" t="s">
        <v>82</v>
      </c>
    </row>
    <row r="107" spans="1:32" x14ac:dyDescent="0.3">
      <c r="A107" s="7">
        <v>106</v>
      </c>
      <c r="B107" s="7" t="s">
        <v>75</v>
      </c>
      <c r="C107" s="7">
        <f t="shared" si="10"/>
        <v>1</v>
      </c>
      <c r="D107" s="7">
        <f t="shared" si="9"/>
        <v>1</v>
      </c>
      <c r="E107" s="7">
        <f t="shared" si="9"/>
        <v>0</v>
      </c>
      <c r="F107" s="7">
        <f t="shared" si="9"/>
        <v>0</v>
      </c>
      <c r="G107" s="7">
        <f t="shared" si="9"/>
        <v>0</v>
      </c>
      <c r="H107" s="7">
        <f t="shared" si="9"/>
        <v>1</v>
      </c>
      <c r="I107" s="8" t="s">
        <v>49</v>
      </c>
      <c r="J107" s="8" t="s">
        <v>43</v>
      </c>
      <c r="K107" s="8" t="str">
        <f>_xlfn.XLOOKUP(J107,Worksheet!$F$1:$F$48,Worksheet!$G$1:$G$48,0)</f>
        <v>Lack of awareness</v>
      </c>
      <c r="L107" s="8" t="s">
        <v>17</v>
      </c>
      <c r="M107" s="8" t="s">
        <v>49</v>
      </c>
      <c r="N107" s="8" t="s">
        <v>44</v>
      </c>
      <c r="O107" s="8">
        <v>3</v>
      </c>
      <c r="P107" s="8" t="s">
        <v>45</v>
      </c>
      <c r="Q107" s="8" t="s">
        <v>52</v>
      </c>
      <c r="R107" s="8" t="s">
        <v>165</v>
      </c>
      <c r="S107" s="8">
        <f t="shared" si="8"/>
        <v>0</v>
      </c>
      <c r="T107" s="8">
        <f t="shared" si="8"/>
        <v>0</v>
      </c>
      <c r="U107" s="8">
        <f t="shared" si="8"/>
        <v>0</v>
      </c>
      <c r="V107" s="8">
        <f t="shared" si="8"/>
        <v>0</v>
      </c>
      <c r="W107" s="8">
        <f t="shared" si="8"/>
        <v>0</v>
      </c>
      <c r="X107" s="8">
        <f t="shared" si="8"/>
        <v>0</v>
      </c>
      <c r="Y107" s="8">
        <f t="shared" si="8"/>
        <v>0</v>
      </c>
      <c r="Z107" s="8">
        <f t="shared" si="8"/>
        <v>0</v>
      </c>
      <c r="AA107" s="8">
        <f t="shared" si="8"/>
        <v>0</v>
      </c>
      <c r="AB107" s="8">
        <f t="shared" si="8"/>
        <v>0</v>
      </c>
      <c r="AC107" s="8" t="s">
        <v>21</v>
      </c>
      <c r="AD107" s="8" t="s">
        <v>34</v>
      </c>
      <c r="AE107" s="8" t="s">
        <v>24</v>
      </c>
      <c r="AF107" s="8" t="s">
        <v>25</v>
      </c>
    </row>
    <row r="108" spans="1:32" x14ac:dyDescent="0.3">
      <c r="A108" s="5">
        <v>107</v>
      </c>
      <c r="B108" s="5" t="s">
        <v>340</v>
      </c>
      <c r="C108" s="5">
        <f t="shared" si="10"/>
        <v>0</v>
      </c>
      <c r="D108" s="5">
        <f t="shared" si="9"/>
        <v>0</v>
      </c>
      <c r="E108" s="5">
        <f t="shared" si="9"/>
        <v>1</v>
      </c>
      <c r="F108" s="5">
        <f t="shared" si="9"/>
        <v>0</v>
      </c>
      <c r="G108" s="5">
        <f t="shared" si="9"/>
        <v>0</v>
      </c>
      <c r="H108" s="5">
        <f t="shared" si="9"/>
        <v>0</v>
      </c>
      <c r="I108" s="6" t="s">
        <v>49</v>
      </c>
      <c r="J108" s="6" t="s">
        <v>43</v>
      </c>
      <c r="K108" s="6" t="str">
        <f>_xlfn.XLOOKUP(J108,Worksheet!$F$1:$F$48,Worksheet!$G$1:$G$48,0)</f>
        <v>Lack of awareness</v>
      </c>
      <c r="L108" s="6" t="s">
        <v>17</v>
      </c>
      <c r="M108" s="6" t="s">
        <v>49</v>
      </c>
      <c r="N108" s="6" t="s">
        <v>44</v>
      </c>
      <c r="O108" s="6">
        <v>5</v>
      </c>
      <c r="P108" s="6" t="s">
        <v>45</v>
      </c>
      <c r="Q108" s="6" t="s">
        <v>63</v>
      </c>
      <c r="R108" s="6" t="s">
        <v>166</v>
      </c>
      <c r="S108" s="6">
        <f t="shared" si="8"/>
        <v>1</v>
      </c>
      <c r="T108" s="6">
        <f t="shared" si="8"/>
        <v>1</v>
      </c>
      <c r="U108" s="6">
        <f t="shared" si="8"/>
        <v>0</v>
      </c>
      <c r="V108" s="6">
        <f t="shared" si="8"/>
        <v>1</v>
      </c>
      <c r="W108" s="6">
        <f t="shared" si="8"/>
        <v>0</v>
      </c>
      <c r="X108" s="6">
        <f t="shared" si="8"/>
        <v>0</v>
      </c>
      <c r="Y108" s="6">
        <f t="shared" si="8"/>
        <v>0</v>
      </c>
      <c r="Z108" s="6">
        <f t="shared" si="8"/>
        <v>1</v>
      </c>
      <c r="AA108" s="6">
        <f t="shared" si="8"/>
        <v>0</v>
      </c>
      <c r="AB108" s="6">
        <f t="shared" si="8"/>
        <v>0</v>
      </c>
      <c r="AC108" s="6" t="s">
        <v>25</v>
      </c>
      <c r="AD108" s="6" t="s">
        <v>23</v>
      </c>
      <c r="AE108" s="6" t="s">
        <v>54</v>
      </c>
      <c r="AF108" s="6" t="s">
        <v>48</v>
      </c>
    </row>
    <row r="109" spans="1:32" x14ac:dyDescent="0.3">
      <c r="A109" s="7">
        <v>108</v>
      </c>
      <c r="B109" s="7" t="s">
        <v>55</v>
      </c>
      <c r="C109" s="7">
        <f t="shared" si="10"/>
        <v>0</v>
      </c>
      <c r="D109" s="7">
        <f t="shared" si="9"/>
        <v>0</v>
      </c>
      <c r="E109" s="7">
        <f t="shared" si="9"/>
        <v>0</v>
      </c>
      <c r="F109" s="7">
        <f t="shared" si="9"/>
        <v>0</v>
      </c>
      <c r="G109" s="7">
        <f t="shared" si="9"/>
        <v>0</v>
      </c>
      <c r="H109" s="7">
        <f t="shared" si="9"/>
        <v>1</v>
      </c>
      <c r="I109" s="8" t="s">
        <v>42</v>
      </c>
      <c r="J109" s="8" t="s">
        <v>83</v>
      </c>
      <c r="K109" s="8" t="str">
        <f>_xlfn.XLOOKUP(J109,Worksheet!$F$1:$F$48,Worksheet!$G$1:$G$48,0)</f>
        <v>Fear</v>
      </c>
      <c r="L109" s="8" t="s">
        <v>37</v>
      </c>
      <c r="M109" s="8" t="s">
        <v>15</v>
      </c>
      <c r="N109" s="8" t="s">
        <v>51</v>
      </c>
      <c r="O109" s="8">
        <v>5</v>
      </c>
      <c r="P109" s="8" t="s">
        <v>45</v>
      </c>
      <c r="Q109" s="8" t="s">
        <v>46</v>
      </c>
      <c r="R109" s="8" t="s">
        <v>56</v>
      </c>
      <c r="S109" s="8">
        <f t="shared" si="8"/>
        <v>1</v>
      </c>
      <c r="T109" s="8">
        <f t="shared" si="8"/>
        <v>0</v>
      </c>
      <c r="U109" s="8">
        <f t="shared" si="8"/>
        <v>0</v>
      </c>
      <c r="V109" s="8">
        <f t="shared" si="8"/>
        <v>0</v>
      </c>
      <c r="W109" s="8">
        <f t="shared" si="8"/>
        <v>0</v>
      </c>
      <c r="X109" s="8">
        <f t="shared" si="8"/>
        <v>0</v>
      </c>
      <c r="Y109" s="8">
        <f t="shared" si="8"/>
        <v>0</v>
      </c>
      <c r="Z109" s="8">
        <f t="shared" si="8"/>
        <v>0</v>
      </c>
      <c r="AA109" s="8">
        <f t="shared" si="8"/>
        <v>0</v>
      </c>
      <c r="AB109" s="8">
        <f t="shared" si="8"/>
        <v>0</v>
      </c>
      <c r="AC109" s="8" t="s">
        <v>21</v>
      </c>
      <c r="AD109" s="8" t="s">
        <v>34</v>
      </c>
      <c r="AE109" s="8" t="s">
        <v>24</v>
      </c>
      <c r="AF109" s="8" t="s">
        <v>25</v>
      </c>
    </row>
    <row r="110" spans="1:32" x14ac:dyDescent="0.3">
      <c r="A110" s="5">
        <v>109</v>
      </c>
      <c r="B110" s="5" t="s">
        <v>68</v>
      </c>
      <c r="C110" s="5">
        <f t="shared" si="10"/>
        <v>0</v>
      </c>
      <c r="D110" s="5">
        <f t="shared" si="9"/>
        <v>1</v>
      </c>
      <c r="E110" s="5">
        <f t="shared" si="9"/>
        <v>0</v>
      </c>
      <c r="F110" s="5">
        <f t="shared" si="9"/>
        <v>0</v>
      </c>
      <c r="G110" s="5">
        <f t="shared" si="9"/>
        <v>0</v>
      </c>
      <c r="H110" s="5">
        <f t="shared" si="9"/>
        <v>0</v>
      </c>
      <c r="I110" s="6" t="s">
        <v>27</v>
      </c>
      <c r="J110" s="6" t="s">
        <v>43</v>
      </c>
      <c r="K110" s="6" t="str">
        <f>_xlfn.XLOOKUP(J110,Worksheet!$F$1:$F$48,Worksheet!$G$1:$G$48,0)</f>
        <v>Lack of awareness</v>
      </c>
      <c r="L110" s="6" t="s">
        <v>356</v>
      </c>
      <c r="M110" s="6" t="s">
        <v>15</v>
      </c>
      <c r="N110" s="6" t="s">
        <v>58</v>
      </c>
      <c r="O110" s="6">
        <v>4</v>
      </c>
      <c r="P110" s="6" t="s">
        <v>45</v>
      </c>
      <c r="Q110" s="6" t="s">
        <v>63</v>
      </c>
      <c r="R110" s="6" t="s">
        <v>92</v>
      </c>
      <c r="S110" s="6">
        <f t="shared" si="8"/>
        <v>1</v>
      </c>
      <c r="T110" s="6">
        <f t="shared" si="8"/>
        <v>1</v>
      </c>
      <c r="U110" s="6">
        <f t="shared" si="8"/>
        <v>1</v>
      </c>
      <c r="V110" s="6">
        <f t="shared" si="8"/>
        <v>0</v>
      </c>
      <c r="W110" s="6">
        <f t="shared" si="8"/>
        <v>1</v>
      </c>
      <c r="X110" s="6">
        <f t="shared" si="8"/>
        <v>0</v>
      </c>
      <c r="Y110" s="6">
        <f t="shared" si="8"/>
        <v>1</v>
      </c>
      <c r="Z110" s="6">
        <f t="shared" si="8"/>
        <v>0</v>
      </c>
      <c r="AA110" s="6">
        <f t="shared" si="8"/>
        <v>0</v>
      </c>
      <c r="AB110" s="6">
        <f t="shared" si="8"/>
        <v>1</v>
      </c>
      <c r="AC110" s="6" t="s">
        <v>21</v>
      </c>
      <c r="AD110" s="6" t="s">
        <v>23</v>
      </c>
      <c r="AE110" s="6" t="s">
        <v>24</v>
      </c>
      <c r="AF110" s="6" t="s">
        <v>48</v>
      </c>
    </row>
    <row r="111" spans="1:32" x14ac:dyDescent="0.3">
      <c r="A111" s="7">
        <v>110</v>
      </c>
      <c r="B111" s="7" t="s">
        <v>55</v>
      </c>
      <c r="C111" s="7">
        <f t="shared" si="10"/>
        <v>0</v>
      </c>
      <c r="D111" s="7">
        <f t="shared" si="9"/>
        <v>0</v>
      </c>
      <c r="E111" s="7">
        <f t="shared" si="9"/>
        <v>0</v>
      </c>
      <c r="F111" s="7">
        <f t="shared" si="9"/>
        <v>0</v>
      </c>
      <c r="G111" s="7">
        <f t="shared" si="9"/>
        <v>0</v>
      </c>
      <c r="H111" s="7">
        <f t="shared" si="9"/>
        <v>1</v>
      </c>
      <c r="I111" s="8" t="s">
        <v>27</v>
      </c>
      <c r="J111" s="8" t="s">
        <v>36</v>
      </c>
      <c r="K111" s="8" t="str">
        <f>_xlfn.XLOOKUP(J111,Worksheet!$F$1:$F$48,Worksheet!$G$1:$G$48,0)</f>
        <v>Shame</v>
      </c>
      <c r="L111" s="8" t="s">
        <v>37</v>
      </c>
      <c r="M111" s="8" t="s">
        <v>30</v>
      </c>
      <c r="N111" s="8" t="s">
        <v>44</v>
      </c>
      <c r="O111" s="8">
        <v>5</v>
      </c>
      <c r="P111" s="8" t="s">
        <v>45</v>
      </c>
      <c r="Q111" s="8" t="s">
        <v>63</v>
      </c>
      <c r="R111" s="8" t="s">
        <v>167</v>
      </c>
      <c r="S111" s="8">
        <f t="shared" si="8"/>
        <v>0</v>
      </c>
      <c r="T111" s="8">
        <f t="shared" si="8"/>
        <v>1</v>
      </c>
      <c r="U111" s="8">
        <f t="shared" si="8"/>
        <v>1</v>
      </c>
      <c r="V111" s="8">
        <f t="shared" si="8"/>
        <v>0</v>
      </c>
      <c r="W111" s="8">
        <f t="shared" si="8"/>
        <v>0</v>
      </c>
      <c r="X111" s="8">
        <f t="shared" si="8"/>
        <v>1</v>
      </c>
      <c r="Y111" s="8">
        <f t="shared" si="8"/>
        <v>0</v>
      </c>
      <c r="Z111" s="8">
        <f t="shared" si="8"/>
        <v>0</v>
      </c>
      <c r="AA111" s="8">
        <f t="shared" si="8"/>
        <v>0</v>
      </c>
      <c r="AB111" s="8">
        <f t="shared" si="8"/>
        <v>1</v>
      </c>
      <c r="AC111" s="8" t="s">
        <v>21</v>
      </c>
      <c r="AD111" s="8" t="s">
        <v>23</v>
      </c>
      <c r="AE111" s="8" t="s">
        <v>24</v>
      </c>
      <c r="AF111" s="8" t="s">
        <v>25</v>
      </c>
    </row>
    <row r="112" spans="1:32" x14ac:dyDescent="0.3">
      <c r="A112" s="5">
        <v>111</v>
      </c>
      <c r="B112" s="5" t="s">
        <v>68</v>
      </c>
      <c r="C112" s="5">
        <f t="shared" si="10"/>
        <v>0</v>
      </c>
      <c r="D112" s="5">
        <f t="shared" si="9"/>
        <v>1</v>
      </c>
      <c r="E112" s="5">
        <f t="shared" si="9"/>
        <v>0</v>
      </c>
      <c r="F112" s="5">
        <f t="shared" si="9"/>
        <v>0</v>
      </c>
      <c r="G112" s="5">
        <f t="shared" si="9"/>
        <v>0</v>
      </c>
      <c r="H112" s="5">
        <f t="shared" si="9"/>
        <v>0</v>
      </c>
      <c r="I112" s="6" t="s">
        <v>15</v>
      </c>
      <c r="J112" s="6" t="s">
        <v>43</v>
      </c>
      <c r="K112" s="6" t="str">
        <f>_xlfn.XLOOKUP(J112,Worksheet!$F$1:$F$48,Worksheet!$G$1:$G$48,0)</f>
        <v>Lack of awareness</v>
      </c>
      <c r="L112" s="6" t="s">
        <v>356</v>
      </c>
      <c r="M112" s="6" t="s">
        <v>30</v>
      </c>
      <c r="N112" s="6" t="s">
        <v>58</v>
      </c>
      <c r="O112" s="6">
        <v>5</v>
      </c>
      <c r="P112" s="6" t="s">
        <v>45</v>
      </c>
      <c r="Q112" s="6" t="s">
        <v>46</v>
      </c>
      <c r="R112" s="6" t="s">
        <v>168</v>
      </c>
      <c r="S112" s="6">
        <f t="shared" si="8"/>
        <v>1</v>
      </c>
      <c r="T112" s="6">
        <f t="shared" si="8"/>
        <v>1</v>
      </c>
      <c r="U112" s="6">
        <f t="shared" si="8"/>
        <v>1</v>
      </c>
      <c r="V112" s="6">
        <f t="shared" si="8"/>
        <v>1</v>
      </c>
      <c r="W112" s="6">
        <f t="shared" si="8"/>
        <v>0</v>
      </c>
      <c r="X112" s="6">
        <f t="shared" si="8"/>
        <v>1</v>
      </c>
      <c r="Y112" s="6">
        <f t="shared" si="8"/>
        <v>1</v>
      </c>
      <c r="Z112" s="6">
        <f t="shared" si="8"/>
        <v>1</v>
      </c>
      <c r="AA112" s="6">
        <f t="shared" si="8"/>
        <v>0</v>
      </c>
      <c r="AB112" s="6">
        <f t="shared" si="8"/>
        <v>1</v>
      </c>
      <c r="AC112" s="6" t="s">
        <v>21</v>
      </c>
      <c r="AD112" s="6" t="s">
        <v>23</v>
      </c>
      <c r="AE112" s="6" t="s">
        <v>24</v>
      </c>
      <c r="AF112" s="6" t="s">
        <v>48</v>
      </c>
    </row>
    <row r="113" spans="1:32" x14ac:dyDescent="0.3">
      <c r="A113" s="7">
        <v>112</v>
      </c>
      <c r="B113" s="7" t="s">
        <v>41</v>
      </c>
      <c r="C113" s="7">
        <f t="shared" si="10"/>
        <v>0</v>
      </c>
      <c r="D113" s="7">
        <f t="shared" si="9"/>
        <v>0</v>
      </c>
      <c r="E113" s="7">
        <f t="shared" si="9"/>
        <v>0</v>
      </c>
      <c r="F113" s="7">
        <f t="shared" si="9"/>
        <v>0</v>
      </c>
      <c r="G113" s="7">
        <f t="shared" si="9"/>
        <v>1</v>
      </c>
      <c r="H113" s="7">
        <f t="shared" si="9"/>
        <v>0</v>
      </c>
      <c r="I113" s="8" t="s">
        <v>15</v>
      </c>
      <c r="J113" s="8" t="s">
        <v>36</v>
      </c>
      <c r="K113" s="8" t="str">
        <f>_xlfn.XLOOKUP(J113,Worksheet!$F$1:$F$48,Worksheet!$G$1:$G$48,0)</f>
        <v>Shame</v>
      </c>
      <c r="L113" s="8" t="s">
        <v>29</v>
      </c>
      <c r="M113" s="8" t="s">
        <v>15</v>
      </c>
      <c r="N113" s="8" t="s">
        <v>44</v>
      </c>
      <c r="O113" s="8">
        <v>5</v>
      </c>
      <c r="P113" s="8" t="s">
        <v>72</v>
      </c>
      <c r="Q113" s="8" t="s">
        <v>63</v>
      </c>
      <c r="R113" s="8" t="s">
        <v>139</v>
      </c>
      <c r="S113" s="8">
        <f t="shared" si="8"/>
        <v>0</v>
      </c>
      <c r="T113" s="8">
        <f t="shared" si="8"/>
        <v>1</v>
      </c>
      <c r="U113" s="8">
        <f t="shared" si="8"/>
        <v>0</v>
      </c>
      <c r="V113" s="8">
        <f t="shared" si="8"/>
        <v>0</v>
      </c>
      <c r="W113" s="8">
        <f t="shared" si="8"/>
        <v>0</v>
      </c>
      <c r="X113" s="8">
        <f t="shared" si="8"/>
        <v>0</v>
      </c>
      <c r="Y113" s="8">
        <f t="shared" si="8"/>
        <v>0</v>
      </c>
      <c r="Z113" s="8">
        <f t="shared" si="8"/>
        <v>0</v>
      </c>
      <c r="AA113" s="8">
        <f t="shared" si="8"/>
        <v>0</v>
      </c>
      <c r="AB113" s="8">
        <f t="shared" si="8"/>
        <v>0</v>
      </c>
      <c r="AC113" s="8" t="s">
        <v>25</v>
      </c>
      <c r="AD113" s="8" t="s">
        <v>23</v>
      </c>
      <c r="AE113" s="8" t="s">
        <v>24</v>
      </c>
      <c r="AF113" s="8" t="s">
        <v>48</v>
      </c>
    </row>
    <row r="114" spans="1:32" x14ac:dyDescent="0.3">
      <c r="A114" s="5">
        <v>113</v>
      </c>
      <c r="B114" s="5" t="s">
        <v>41</v>
      </c>
      <c r="C114" s="5">
        <f t="shared" si="10"/>
        <v>0</v>
      </c>
      <c r="D114" s="5">
        <f t="shared" si="9"/>
        <v>0</v>
      </c>
      <c r="E114" s="5">
        <f t="shared" si="9"/>
        <v>0</v>
      </c>
      <c r="F114" s="5">
        <f t="shared" si="9"/>
        <v>0</v>
      </c>
      <c r="G114" s="5">
        <f t="shared" si="9"/>
        <v>1</v>
      </c>
      <c r="H114" s="5">
        <f t="shared" si="9"/>
        <v>0</v>
      </c>
      <c r="I114" s="6" t="s">
        <v>42</v>
      </c>
      <c r="J114" s="6" t="s">
        <v>43</v>
      </c>
      <c r="K114" s="6" t="str">
        <f>_xlfn.XLOOKUP(J114,Worksheet!$F$1:$F$48,Worksheet!$G$1:$G$48,0)</f>
        <v>Lack of awareness</v>
      </c>
      <c r="L114" s="6" t="s">
        <v>37</v>
      </c>
      <c r="M114" s="6" t="s">
        <v>15</v>
      </c>
      <c r="N114" s="6" t="s">
        <v>51</v>
      </c>
      <c r="O114" s="6">
        <v>5</v>
      </c>
      <c r="P114" s="6" t="s">
        <v>45</v>
      </c>
      <c r="Q114" s="6" t="s">
        <v>46</v>
      </c>
      <c r="R114" s="6" t="s">
        <v>169</v>
      </c>
      <c r="S114" s="6">
        <f t="shared" si="8"/>
        <v>1</v>
      </c>
      <c r="T114" s="6">
        <f t="shared" si="8"/>
        <v>1</v>
      </c>
      <c r="U114" s="6">
        <f t="shared" si="8"/>
        <v>1</v>
      </c>
      <c r="V114" s="6">
        <f t="shared" si="8"/>
        <v>0</v>
      </c>
      <c r="W114" s="6">
        <f t="shared" si="8"/>
        <v>1</v>
      </c>
      <c r="X114" s="6">
        <f t="shared" si="8"/>
        <v>1</v>
      </c>
      <c r="Y114" s="6">
        <f t="shared" si="8"/>
        <v>0</v>
      </c>
      <c r="Z114" s="6">
        <f t="shared" si="8"/>
        <v>0</v>
      </c>
      <c r="AA114" s="6">
        <f t="shared" si="8"/>
        <v>0</v>
      </c>
      <c r="AB114" s="6">
        <f t="shared" si="8"/>
        <v>0</v>
      </c>
      <c r="AC114" s="6" t="s">
        <v>21</v>
      </c>
      <c r="AD114" s="6" t="s">
        <v>23</v>
      </c>
      <c r="AE114" s="6" t="s">
        <v>24</v>
      </c>
      <c r="AF114" s="6" t="s">
        <v>25</v>
      </c>
    </row>
    <row r="115" spans="1:32" x14ac:dyDescent="0.3">
      <c r="A115" s="7">
        <v>114</v>
      </c>
      <c r="B115" s="7" t="s">
        <v>340</v>
      </c>
      <c r="C115" s="7">
        <f t="shared" si="10"/>
        <v>0</v>
      </c>
      <c r="D115" s="7">
        <f t="shared" si="9"/>
        <v>0</v>
      </c>
      <c r="E115" s="7">
        <f t="shared" si="9"/>
        <v>1</v>
      </c>
      <c r="F115" s="7">
        <f t="shared" si="9"/>
        <v>0</v>
      </c>
      <c r="G115" s="7">
        <f t="shared" si="9"/>
        <v>0</v>
      </c>
      <c r="H115" s="7">
        <f t="shared" si="9"/>
        <v>0</v>
      </c>
      <c r="I115" s="8" t="s">
        <v>15</v>
      </c>
      <c r="J115" s="8" t="s">
        <v>43</v>
      </c>
      <c r="K115" s="8" t="str">
        <f>_xlfn.XLOOKUP(J115,Worksheet!$F$1:$F$48,Worksheet!$G$1:$G$48,0)</f>
        <v>Lack of awareness</v>
      </c>
      <c r="L115" s="8" t="s">
        <v>356</v>
      </c>
      <c r="M115" s="8" t="s">
        <v>102</v>
      </c>
      <c r="N115" s="8" t="s">
        <v>44</v>
      </c>
      <c r="O115" s="8">
        <v>3</v>
      </c>
      <c r="P115" s="8" t="s">
        <v>45</v>
      </c>
      <c r="Q115" s="8" t="s">
        <v>63</v>
      </c>
      <c r="R115" s="8" t="s">
        <v>170</v>
      </c>
      <c r="S115" s="8">
        <f t="shared" si="8"/>
        <v>0</v>
      </c>
      <c r="T115" s="8">
        <f t="shared" si="8"/>
        <v>1</v>
      </c>
      <c r="U115" s="8">
        <f t="shared" si="8"/>
        <v>0</v>
      </c>
      <c r="V115" s="8">
        <f t="shared" si="8"/>
        <v>0</v>
      </c>
      <c r="W115" s="8">
        <f t="shared" si="8"/>
        <v>1</v>
      </c>
      <c r="X115" s="8">
        <f t="shared" si="8"/>
        <v>0</v>
      </c>
      <c r="Y115" s="8">
        <f t="shared" si="8"/>
        <v>0</v>
      </c>
      <c r="Z115" s="8">
        <f t="shared" si="8"/>
        <v>0</v>
      </c>
      <c r="AA115" s="8">
        <f t="shared" si="8"/>
        <v>0</v>
      </c>
      <c r="AB115" s="8">
        <f t="shared" si="8"/>
        <v>0</v>
      </c>
      <c r="AC115" s="8" t="s">
        <v>21</v>
      </c>
      <c r="AD115" s="8" t="s">
        <v>23</v>
      </c>
      <c r="AE115" s="8" t="s">
        <v>24</v>
      </c>
      <c r="AF115" s="8" t="s">
        <v>25</v>
      </c>
    </row>
    <row r="116" spans="1:32" x14ac:dyDescent="0.3">
      <c r="A116" s="5">
        <v>115</v>
      </c>
      <c r="B116" s="5" t="s">
        <v>61</v>
      </c>
      <c r="C116" s="5">
        <f t="shared" si="10"/>
        <v>1</v>
      </c>
      <c r="D116" s="5">
        <f t="shared" si="9"/>
        <v>1</v>
      </c>
      <c r="E116" s="5">
        <f t="shared" si="9"/>
        <v>0</v>
      </c>
      <c r="F116" s="5">
        <f t="shared" si="9"/>
        <v>0</v>
      </c>
      <c r="G116" s="5">
        <f t="shared" si="9"/>
        <v>1</v>
      </c>
      <c r="H116" s="5">
        <f t="shared" si="9"/>
        <v>1</v>
      </c>
      <c r="I116" s="6" t="s">
        <v>27</v>
      </c>
      <c r="J116" s="6" t="s">
        <v>36</v>
      </c>
      <c r="K116" s="6" t="str">
        <f>_xlfn.XLOOKUP(J116,Worksheet!$F$1:$F$48,Worksheet!$G$1:$G$48,0)</f>
        <v>Shame</v>
      </c>
      <c r="L116" s="6" t="s">
        <v>37</v>
      </c>
      <c r="M116" s="6" t="s">
        <v>30</v>
      </c>
      <c r="N116" s="6" t="s">
        <v>44</v>
      </c>
      <c r="O116" s="6">
        <v>4</v>
      </c>
      <c r="P116" s="6" t="s">
        <v>45</v>
      </c>
      <c r="Q116" s="6" t="s">
        <v>63</v>
      </c>
      <c r="R116" s="6" t="s">
        <v>171</v>
      </c>
      <c r="S116" s="6">
        <f t="shared" si="8"/>
        <v>0</v>
      </c>
      <c r="T116" s="6">
        <f t="shared" si="8"/>
        <v>1</v>
      </c>
      <c r="U116" s="6">
        <f t="shared" si="8"/>
        <v>1</v>
      </c>
      <c r="V116" s="6">
        <f t="shared" si="8"/>
        <v>0</v>
      </c>
      <c r="W116" s="6">
        <f t="shared" si="8"/>
        <v>1</v>
      </c>
      <c r="X116" s="6">
        <f t="shared" si="8"/>
        <v>0</v>
      </c>
      <c r="Y116" s="6">
        <f t="shared" si="8"/>
        <v>0</v>
      </c>
      <c r="Z116" s="6">
        <f t="shared" si="8"/>
        <v>1</v>
      </c>
      <c r="AA116" s="6">
        <f t="shared" si="8"/>
        <v>0</v>
      </c>
      <c r="AB116" s="6">
        <f t="shared" si="8"/>
        <v>1</v>
      </c>
      <c r="AC116" s="6" t="s">
        <v>21</v>
      </c>
      <c r="AD116" s="6" t="s">
        <v>23</v>
      </c>
      <c r="AE116" s="6" t="s">
        <v>24</v>
      </c>
      <c r="AF116" s="6" t="s">
        <v>25</v>
      </c>
    </row>
    <row r="117" spans="1:32" x14ac:dyDescent="0.3">
      <c r="A117" s="7">
        <v>116</v>
      </c>
      <c r="B117" s="7" t="s">
        <v>340</v>
      </c>
      <c r="C117" s="7">
        <f t="shared" si="10"/>
        <v>0</v>
      </c>
      <c r="D117" s="7">
        <f t="shared" si="9"/>
        <v>0</v>
      </c>
      <c r="E117" s="7">
        <f t="shared" si="9"/>
        <v>1</v>
      </c>
      <c r="F117" s="7">
        <f t="shared" si="9"/>
        <v>0</v>
      </c>
      <c r="G117" s="7">
        <f t="shared" si="9"/>
        <v>0</v>
      </c>
      <c r="H117" s="7">
        <f t="shared" si="9"/>
        <v>0</v>
      </c>
      <c r="I117" s="8" t="s">
        <v>49</v>
      </c>
      <c r="J117" s="8" t="s">
        <v>43</v>
      </c>
      <c r="K117" s="8" t="str">
        <f>_xlfn.XLOOKUP(J117,Worksheet!$F$1:$F$48,Worksheet!$G$1:$G$48,0)</f>
        <v>Lack of awareness</v>
      </c>
      <c r="L117" s="8" t="s">
        <v>50</v>
      </c>
      <c r="M117" s="8" t="s">
        <v>102</v>
      </c>
      <c r="N117" s="8" t="s">
        <v>70</v>
      </c>
      <c r="O117" s="8">
        <v>3</v>
      </c>
      <c r="P117" s="8" t="s">
        <v>45</v>
      </c>
      <c r="Q117" s="8" t="s">
        <v>63</v>
      </c>
      <c r="R117" s="8" t="s">
        <v>53</v>
      </c>
      <c r="S117" s="8">
        <f t="shared" si="8"/>
        <v>1</v>
      </c>
      <c r="T117" s="8">
        <f t="shared" si="8"/>
        <v>0</v>
      </c>
      <c r="U117" s="8">
        <f t="shared" si="8"/>
        <v>1</v>
      </c>
      <c r="V117" s="8">
        <f t="shared" si="8"/>
        <v>0</v>
      </c>
      <c r="W117" s="8">
        <f t="shared" si="8"/>
        <v>0</v>
      </c>
      <c r="X117" s="8">
        <f t="shared" si="8"/>
        <v>0</v>
      </c>
      <c r="Y117" s="8">
        <f t="shared" si="8"/>
        <v>1</v>
      </c>
      <c r="Z117" s="8">
        <f t="shared" si="8"/>
        <v>0</v>
      </c>
      <c r="AA117" s="8">
        <f t="shared" si="8"/>
        <v>0</v>
      </c>
      <c r="AB117" s="8">
        <f t="shared" si="8"/>
        <v>0</v>
      </c>
      <c r="AC117" s="8" t="s">
        <v>21</v>
      </c>
      <c r="AD117" s="8" t="s">
        <v>34</v>
      </c>
      <c r="AE117" s="8" t="s">
        <v>24</v>
      </c>
      <c r="AF117" s="8" t="s">
        <v>48</v>
      </c>
    </row>
    <row r="118" spans="1:32" x14ac:dyDescent="0.3">
      <c r="A118" s="5">
        <v>117</v>
      </c>
      <c r="B118" s="5" t="s">
        <v>68</v>
      </c>
      <c r="C118" s="5">
        <f t="shared" si="10"/>
        <v>0</v>
      </c>
      <c r="D118" s="5">
        <f t="shared" si="9"/>
        <v>1</v>
      </c>
      <c r="E118" s="5">
        <f t="shared" si="9"/>
        <v>0</v>
      </c>
      <c r="F118" s="5">
        <f t="shared" si="9"/>
        <v>0</v>
      </c>
      <c r="G118" s="5">
        <f t="shared" si="9"/>
        <v>0</v>
      </c>
      <c r="H118" s="5">
        <f t="shared" si="9"/>
        <v>0</v>
      </c>
      <c r="I118" s="6" t="s">
        <v>49</v>
      </c>
      <c r="J118" s="6" t="s">
        <v>43</v>
      </c>
      <c r="K118" s="6" t="str">
        <f>_xlfn.XLOOKUP(J118,Worksheet!$F$1:$F$48,Worksheet!$G$1:$G$48,0)</f>
        <v>Lack of awareness</v>
      </c>
      <c r="L118" s="6" t="s">
        <v>50</v>
      </c>
      <c r="M118" s="6" t="s">
        <v>30</v>
      </c>
      <c r="N118" s="6" t="s">
        <v>70</v>
      </c>
      <c r="O118" s="6">
        <v>5</v>
      </c>
      <c r="P118" s="6" t="s">
        <v>45</v>
      </c>
      <c r="Q118" s="6" t="s">
        <v>46</v>
      </c>
      <c r="R118" s="6" t="s">
        <v>172</v>
      </c>
      <c r="S118" s="6">
        <f t="shared" si="8"/>
        <v>1</v>
      </c>
      <c r="T118" s="6">
        <f t="shared" si="8"/>
        <v>1</v>
      </c>
      <c r="U118" s="6">
        <f t="shared" si="8"/>
        <v>0</v>
      </c>
      <c r="V118" s="6">
        <f t="shared" si="8"/>
        <v>1</v>
      </c>
      <c r="W118" s="6">
        <f t="shared" si="8"/>
        <v>0</v>
      </c>
      <c r="X118" s="6">
        <f t="shared" si="8"/>
        <v>0</v>
      </c>
      <c r="Y118" s="6">
        <f t="shared" si="8"/>
        <v>0</v>
      </c>
      <c r="Z118" s="6">
        <f t="shared" si="8"/>
        <v>0</v>
      </c>
      <c r="AA118" s="6">
        <f t="shared" si="8"/>
        <v>1</v>
      </c>
      <c r="AB118" s="6">
        <f t="shared" si="8"/>
        <v>0</v>
      </c>
      <c r="AC118" s="6" t="s">
        <v>21</v>
      </c>
      <c r="AD118" s="6" t="s">
        <v>40</v>
      </c>
      <c r="AE118" s="6" t="s">
        <v>24</v>
      </c>
      <c r="AF118" s="6" t="s">
        <v>21</v>
      </c>
    </row>
    <row r="119" spans="1:32" x14ac:dyDescent="0.3">
      <c r="A119" s="7">
        <v>118</v>
      </c>
      <c r="B119" s="7" t="s">
        <v>61</v>
      </c>
      <c r="C119" s="7">
        <f t="shared" si="10"/>
        <v>1</v>
      </c>
      <c r="D119" s="7">
        <f t="shared" si="9"/>
        <v>1</v>
      </c>
      <c r="E119" s="7">
        <f t="shared" si="9"/>
        <v>0</v>
      </c>
      <c r="F119" s="7">
        <f t="shared" si="9"/>
        <v>0</v>
      </c>
      <c r="G119" s="7">
        <f t="shared" si="9"/>
        <v>1</v>
      </c>
      <c r="H119" s="7">
        <f t="shared" si="9"/>
        <v>1</v>
      </c>
      <c r="I119" s="8" t="s">
        <v>27</v>
      </c>
      <c r="J119" s="8" t="s">
        <v>173</v>
      </c>
      <c r="K119" s="8" t="str">
        <f>_xlfn.XLOOKUP(J119,Worksheet!$F$1:$F$48,Worksheet!$G$1:$G$48,0)</f>
        <v>Lack of awareness</v>
      </c>
      <c r="L119" s="8" t="s">
        <v>174</v>
      </c>
      <c r="M119" s="8" t="s">
        <v>30</v>
      </c>
      <c r="N119" s="8" t="s">
        <v>70</v>
      </c>
      <c r="O119" s="8">
        <v>5</v>
      </c>
      <c r="P119" s="8" t="s">
        <v>45</v>
      </c>
      <c r="Q119" s="8" t="s">
        <v>46</v>
      </c>
      <c r="R119" s="8" t="s">
        <v>67</v>
      </c>
      <c r="S119" s="8">
        <f t="shared" si="8"/>
        <v>1</v>
      </c>
      <c r="T119" s="8">
        <f t="shared" si="8"/>
        <v>1</v>
      </c>
      <c r="U119" s="8">
        <f t="shared" si="8"/>
        <v>1</v>
      </c>
      <c r="V119" s="8">
        <f t="shared" si="8"/>
        <v>1</v>
      </c>
      <c r="W119" s="8">
        <f t="shared" si="8"/>
        <v>1</v>
      </c>
      <c r="X119" s="8">
        <f t="shared" si="8"/>
        <v>1</v>
      </c>
      <c r="Y119" s="8">
        <f t="shared" si="8"/>
        <v>1</v>
      </c>
      <c r="Z119" s="8">
        <f t="shared" si="8"/>
        <v>1</v>
      </c>
      <c r="AA119" s="8">
        <f t="shared" si="8"/>
        <v>1</v>
      </c>
      <c r="AB119" s="8">
        <f t="shared" si="8"/>
        <v>1</v>
      </c>
      <c r="AC119" s="8" t="s">
        <v>21</v>
      </c>
      <c r="AD119" s="8" t="s">
        <v>23</v>
      </c>
      <c r="AE119" s="8" t="s">
        <v>24</v>
      </c>
      <c r="AF119" s="8" t="s">
        <v>48</v>
      </c>
    </row>
    <row r="120" spans="1:32" x14ac:dyDescent="0.3">
      <c r="A120" s="5">
        <v>119</v>
      </c>
      <c r="B120" s="5" t="s">
        <v>66</v>
      </c>
      <c r="C120" s="5">
        <f t="shared" si="10"/>
        <v>0</v>
      </c>
      <c r="D120" s="5">
        <f t="shared" si="9"/>
        <v>1</v>
      </c>
      <c r="E120" s="5">
        <f t="shared" si="9"/>
        <v>0</v>
      </c>
      <c r="F120" s="5">
        <f t="shared" si="9"/>
        <v>0</v>
      </c>
      <c r="G120" s="5">
        <f t="shared" si="9"/>
        <v>0</v>
      </c>
      <c r="H120" s="5">
        <f t="shared" si="9"/>
        <v>1</v>
      </c>
      <c r="I120" s="6" t="s">
        <v>27</v>
      </c>
      <c r="J120" s="6" t="s">
        <v>43</v>
      </c>
      <c r="K120" s="6" t="str">
        <f>_xlfn.XLOOKUP(J120,Worksheet!$F$1:$F$48,Worksheet!$G$1:$G$48,0)</f>
        <v>Lack of awareness</v>
      </c>
      <c r="L120" s="6" t="s">
        <v>50</v>
      </c>
      <c r="M120" s="6" t="s">
        <v>30</v>
      </c>
      <c r="N120" s="6" t="s">
        <v>44</v>
      </c>
      <c r="O120" s="6">
        <v>5</v>
      </c>
      <c r="P120" s="6" t="s">
        <v>45</v>
      </c>
      <c r="Q120" s="6" t="s">
        <v>46</v>
      </c>
      <c r="R120" s="6" t="s">
        <v>67</v>
      </c>
      <c r="S120" s="6">
        <f t="shared" si="8"/>
        <v>1</v>
      </c>
      <c r="T120" s="6">
        <f t="shared" si="8"/>
        <v>1</v>
      </c>
      <c r="U120" s="6">
        <f t="shared" si="8"/>
        <v>1</v>
      </c>
      <c r="V120" s="6">
        <f t="shared" si="8"/>
        <v>1</v>
      </c>
      <c r="W120" s="6">
        <f t="shared" si="8"/>
        <v>1</v>
      </c>
      <c r="X120" s="6">
        <f t="shared" si="8"/>
        <v>1</v>
      </c>
      <c r="Y120" s="6">
        <f t="shared" si="8"/>
        <v>1</v>
      </c>
      <c r="Z120" s="6">
        <f t="shared" si="8"/>
        <v>1</v>
      </c>
      <c r="AA120" s="6">
        <f t="shared" si="8"/>
        <v>1</v>
      </c>
      <c r="AB120" s="6">
        <f t="shared" si="8"/>
        <v>1</v>
      </c>
      <c r="AC120" s="6" t="s">
        <v>21</v>
      </c>
      <c r="AD120" s="6" t="s">
        <v>34</v>
      </c>
      <c r="AE120" s="6" t="s">
        <v>136</v>
      </c>
      <c r="AF120" s="6" t="s">
        <v>21</v>
      </c>
    </row>
    <row r="121" spans="1:32" x14ac:dyDescent="0.3">
      <c r="A121" s="7">
        <v>120</v>
      </c>
      <c r="B121" s="7" t="s">
        <v>162</v>
      </c>
      <c r="C121" s="7">
        <f t="shared" si="10"/>
        <v>1</v>
      </c>
      <c r="D121" s="7">
        <f t="shared" si="9"/>
        <v>0</v>
      </c>
      <c r="E121" s="7">
        <f t="shared" si="9"/>
        <v>0</v>
      </c>
      <c r="F121" s="7">
        <f t="shared" si="9"/>
        <v>0</v>
      </c>
      <c r="G121" s="7">
        <f t="shared" si="9"/>
        <v>0</v>
      </c>
      <c r="H121" s="7">
        <f t="shared" si="9"/>
        <v>1</v>
      </c>
      <c r="I121" s="8" t="s">
        <v>15</v>
      </c>
      <c r="J121" s="8" t="s">
        <v>43</v>
      </c>
      <c r="K121" s="8" t="str">
        <f>_xlfn.XLOOKUP(J121,Worksheet!$F$1:$F$48,Worksheet!$G$1:$G$48,0)</f>
        <v>Lack of awareness</v>
      </c>
      <c r="L121" s="8" t="s">
        <v>50</v>
      </c>
      <c r="M121" s="8" t="s">
        <v>15</v>
      </c>
      <c r="N121" s="8" t="s">
        <v>70</v>
      </c>
      <c r="O121" s="8">
        <v>4</v>
      </c>
      <c r="P121" s="8" t="s">
        <v>45</v>
      </c>
      <c r="Q121" s="8" t="s">
        <v>63</v>
      </c>
      <c r="R121" s="8" t="s">
        <v>175</v>
      </c>
      <c r="S121" s="8">
        <f t="shared" si="8"/>
        <v>1</v>
      </c>
      <c r="T121" s="8">
        <f t="shared" si="8"/>
        <v>0</v>
      </c>
      <c r="U121" s="8">
        <f t="shared" si="8"/>
        <v>1</v>
      </c>
      <c r="V121" s="8">
        <f t="shared" si="8"/>
        <v>1</v>
      </c>
      <c r="W121" s="8">
        <f t="shared" si="8"/>
        <v>0</v>
      </c>
      <c r="X121" s="8">
        <f t="shared" si="8"/>
        <v>0</v>
      </c>
      <c r="Y121" s="8">
        <f t="shared" si="8"/>
        <v>0</v>
      </c>
      <c r="Z121" s="8">
        <f t="shared" si="8"/>
        <v>0</v>
      </c>
      <c r="AA121" s="8">
        <f t="shared" si="8"/>
        <v>0</v>
      </c>
      <c r="AB121" s="8">
        <f t="shared" si="8"/>
        <v>0</v>
      </c>
      <c r="AC121" s="8" t="s">
        <v>21</v>
      </c>
      <c r="AD121" s="8" t="s">
        <v>23</v>
      </c>
      <c r="AE121" s="8" t="s">
        <v>24</v>
      </c>
      <c r="AF121" s="8" t="s">
        <v>48</v>
      </c>
    </row>
    <row r="122" spans="1:32" x14ac:dyDescent="0.3">
      <c r="A122" s="5">
        <v>121</v>
      </c>
      <c r="B122" s="5" t="s">
        <v>340</v>
      </c>
      <c r="C122" s="5">
        <f t="shared" si="10"/>
        <v>0</v>
      </c>
      <c r="D122" s="5">
        <f t="shared" si="9"/>
        <v>0</v>
      </c>
      <c r="E122" s="5">
        <f t="shared" si="9"/>
        <v>1</v>
      </c>
      <c r="F122" s="5">
        <f t="shared" si="9"/>
        <v>0</v>
      </c>
      <c r="G122" s="5">
        <f t="shared" si="9"/>
        <v>0</v>
      </c>
      <c r="H122" s="5">
        <f t="shared" si="9"/>
        <v>0</v>
      </c>
      <c r="I122" s="6" t="s">
        <v>42</v>
      </c>
      <c r="J122" s="6" t="s">
        <v>43</v>
      </c>
      <c r="K122" s="6" t="str">
        <f>_xlfn.XLOOKUP(J122,Worksheet!$F$1:$F$48,Worksheet!$G$1:$G$48,0)</f>
        <v>Lack of awareness</v>
      </c>
      <c r="L122" s="6" t="s">
        <v>356</v>
      </c>
      <c r="M122" s="6" t="s">
        <v>15</v>
      </c>
      <c r="N122" s="6" t="s">
        <v>58</v>
      </c>
      <c r="O122" s="6">
        <v>3</v>
      </c>
      <c r="P122" s="6" t="s">
        <v>45</v>
      </c>
      <c r="Q122" s="6" t="s">
        <v>52</v>
      </c>
      <c r="R122" s="6" t="s">
        <v>145</v>
      </c>
      <c r="S122" s="6">
        <f t="shared" si="8"/>
        <v>1</v>
      </c>
      <c r="T122" s="6">
        <f t="shared" si="8"/>
        <v>0</v>
      </c>
      <c r="U122" s="6">
        <f t="shared" si="8"/>
        <v>1</v>
      </c>
      <c r="V122" s="6">
        <f t="shared" si="8"/>
        <v>0</v>
      </c>
      <c r="W122" s="6">
        <f t="shared" si="8"/>
        <v>1</v>
      </c>
      <c r="X122" s="6">
        <f t="shared" ref="T122:AB150" si="11">IFERROR(IF(SEARCH(X$1,$R122)&gt;0,1,0),0)</f>
        <v>0</v>
      </c>
      <c r="Y122" s="6">
        <f t="shared" si="11"/>
        <v>0</v>
      </c>
      <c r="Z122" s="6">
        <f t="shared" si="11"/>
        <v>0</v>
      </c>
      <c r="AA122" s="6">
        <f t="shared" si="11"/>
        <v>0</v>
      </c>
      <c r="AB122" s="6">
        <f t="shared" si="11"/>
        <v>0</v>
      </c>
      <c r="AC122" s="6" t="s">
        <v>25</v>
      </c>
      <c r="AD122" s="6" t="s">
        <v>23</v>
      </c>
      <c r="AE122" s="6" t="s">
        <v>24</v>
      </c>
      <c r="AF122" s="6" t="s">
        <v>25</v>
      </c>
    </row>
    <row r="123" spans="1:32" x14ac:dyDescent="0.3">
      <c r="A123" s="7">
        <v>122</v>
      </c>
      <c r="B123" s="7" t="s">
        <v>340</v>
      </c>
      <c r="C123" s="7">
        <f t="shared" si="10"/>
        <v>0</v>
      </c>
      <c r="D123" s="7">
        <f t="shared" si="9"/>
        <v>0</v>
      </c>
      <c r="E123" s="7">
        <f t="shared" si="9"/>
        <v>1</v>
      </c>
      <c r="F123" s="7">
        <f t="shared" si="9"/>
        <v>0</v>
      </c>
      <c r="G123" s="7">
        <f t="shared" si="9"/>
        <v>0</v>
      </c>
      <c r="H123" s="7">
        <f t="shared" si="9"/>
        <v>0</v>
      </c>
      <c r="I123" s="8" t="s">
        <v>27</v>
      </c>
      <c r="J123" s="8" t="s">
        <v>43</v>
      </c>
      <c r="K123" s="8" t="str">
        <f>_xlfn.XLOOKUP(J123,Worksheet!$F$1:$F$48,Worksheet!$G$1:$G$48,0)</f>
        <v>Lack of awareness</v>
      </c>
      <c r="L123" s="8" t="s">
        <v>50</v>
      </c>
      <c r="M123" s="8" t="s">
        <v>30</v>
      </c>
      <c r="N123" s="8" t="s">
        <v>51</v>
      </c>
      <c r="O123" s="8">
        <v>5</v>
      </c>
      <c r="P123" s="8" t="s">
        <v>45</v>
      </c>
      <c r="Q123" s="8" t="s">
        <v>63</v>
      </c>
      <c r="R123" s="8" t="s">
        <v>176</v>
      </c>
      <c r="S123" s="8">
        <f t="shared" ref="S123:S186" si="12">IFERROR(IF(SEARCH(S$1,$R123)&gt;0,1,0),0)</f>
        <v>1</v>
      </c>
      <c r="T123" s="8">
        <f t="shared" si="11"/>
        <v>1</v>
      </c>
      <c r="U123" s="8">
        <f t="shared" si="11"/>
        <v>0</v>
      </c>
      <c r="V123" s="8">
        <f t="shared" si="11"/>
        <v>0</v>
      </c>
      <c r="W123" s="8">
        <f t="shared" si="11"/>
        <v>0</v>
      </c>
      <c r="X123" s="8">
        <f t="shared" si="11"/>
        <v>1</v>
      </c>
      <c r="Y123" s="8">
        <f t="shared" si="11"/>
        <v>0</v>
      </c>
      <c r="Z123" s="8">
        <f t="shared" si="11"/>
        <v>0</v>
      </c>
      <c r="AA123" s="8">
        <f t="shared" si="11"/>
        <v>0</v>
      </c>
      <c r="AB123" s="8">
        <f t="shared" si="11"/>
        <v>0</v>
      </c>
      <c r="AC123" s="8" t="s">
        <v>21</v>
      </c>
      <c r="AD123" s="8" t="s">
        <v>23</v>
      </c>
      <c r="AE123" s="8" t="s">
        <v>24</v>
      </c>
      <c r="AF123" s="8" t="s">
        <v>48</v>
      </c>
    </row>
    <row r="124" spans="1:32" x14ac:dyDescent="0.3">
      <c r="A124" s="5">
        <v>123</v>
      </c>
      <c r="B124" s="5" t="s">
        <v>55</v>
      </c>
      <c r="C124" s="5">
        <f t="shared" si="10"/>
        <v>0</v>
      </c>
      <c r="D124" s="5">
        <f t="shared" si="9"/>
        <v>0</v>
      </c>
      <c r="E124" s="5">
        <f t="shared" si="9"/>
        <v>0</v>
      </c>
      <c r="F124" s="5">
        <f t="shared" si="9"/>
        <v>0</v>
      </c>
      <c r="G124" s="5">
        <f t="shared" si="9"/>
        <v>0</v>
      </c>
      <c r="H124" s="5">
        <f t="shared" si="9"/>
        <v>1</v>
      </c>
      <c r="I124" s="6" t="s">
        <v>27</v>
      </c>
      <c r="J124" s="6" t="s">
        <v>43</v>
      </c>
      <c r="K124" s="6" t="str">
        <f>_xlfn.XLOOKUP(J124,Worksheet!$F$1:$F$48,Worksheet!$G$1:$G$48,0)</f>
        <v>Lack of awareness</v>
      </c>
      <c r="L124" s="6" t="s">
        <v>17</v>
      </c>
      <c r="M124" s="6" t="s">
        <v>30</v>
      </c>
      <c r="N124" s="6" t="s">
        <v>58</v>
      </c>
      <c r="O124" s="6">
        <v>5</v>
      </c>
      <c r="P124" s="6" t="s">
        <v>45</v>
      </c>
      <c r="Q124" s="6" t="s">
        <v>63</v>
      </c>
      <c r="R124" s="6" t="s">
        <v>177</v>
      </c>
      <c r="S124" s="6">
        <f t="shared" si="12"/>
        <v>1</v>
      </c>
      <c r="T124" s="6">
        <f t="shared" si="11"/>
        <v>1</v>
      </c>
      <c r="U124" s="6">
        <f t="shared" si="11"/>
        <v>0</v>
      </c>
      <c r="V124" s="6">
        <f t="shared" si="11"/>
        <v>1</v>
      </c>
      <c r="W124" s="6">
        <f t="shared" si="11"/>
        <v>1</v>
      </c>
      <c r="X124" s="6">
        <f t="shared" si="11"/>
        <v>1</v>
      </c>
      <c r="Y124" s="6">
        <f t="shared" si="11"/>
        <v>0</v>
      </c>
      <c r="Z124" s="6">
        <f t="shared" si="11"/>
        <v>1</v>
      </c>
      <c r="AA124" s="6">
        <f t="shared" si="11"/>
        <v>1</v>
      </c>
      <c r="AB124" s="6">
        <f t="shared" si="11"/>
        <v>1</v>
      </c>
      <c r="AC124" s="6" t="s">
        <v>21</v>
      </c>
      <c r="AD124" s="6" t="s">
        <v>23</v>
      </c>
      <c r="AE124" s="6" t="s">
        <v>24</v>
      </c>
      <c r="AF124" s="6" t="s">
        <v>48</v>
      </c>
    </row>
    <row r="125" spans="1:32" x14ac:dyDescent="0.3">
      <c r="A125" s="7">
        <v>124</v>
      </c>
      <c r="B125" s="7" t="s">
        <v>26</v>
      </c>
      <c r="C125" s="7">
        <f t="shared" si="10"/>
        <v>0</v>
      </c>
      <c r="D125" s="7">
        <f t="shared" si="9"/>
        <v>1</v>
      </c>
      <c r="E125" s="7">
        <f t="shared" si="9"/>
        <v>0</v>
      </c>
      <c r="F125" s="7">
        <f t="shared" si="9"/>
        <v>0</v>
      </c>
      <c r="G125" s="7">
        <f t="shared" si="9"/>
        <v>1</v>
      </c>
      <c r="H125" s="7">
        <f t="shared" si="9"/>
        <v>0</v>
      </c>
      <c r="I125" s="8" t="s">
        <v>49</v>
      </c>
      <c r="J125" s="8" t="s">
        <v>43</v>
      </c>
      <c r="K125" s="8" t="str">
        <f>_xlfn.XLOOKUP(J125,Worksheet!$F$1:$F$48,Worksheet!$G$1:$G$48,0)</f>
        <v>Lack of awareness</v>
      </c>
      <c r="L125" s="8" t="s">
        <v>50</v>
      </c>
      <c r="M125" s="8" t="s">
        <v>49</v>
      </c>
      <c r="N125" s="8" t="s">
        <v>58</v>
      </c>
      <c r="O125" s="8">
        <v>5</v>
      </c>
      <c r="P125" s="8" t="s">
        <v>45</v>
      </c>
      <c r="Q125" s="8" t="s">
        <v>63</v>
      </c>
      <c r="R125" s="8" t="s">
        <v>178</v>
      </c>
      <c r="S125" s="8">
        <f t="shared" si="12"/>
        <v>0</v>
      </c>
      <c r="T125" s="8">
        <f t="shared" si="11"/>
        <v>0</v>
      </c>
      <c r="U125" s="8">
        <f t="shared" si="11"/>
        <v>1</v>
      </c>
      <c r="V125" s="8">
        <f t="shared" si="11"/>
        <v>1</v>
      </c>
      <c r="W125" s="8">
        <f t="shared" si="11"/>
        <v>1</v>
      </c>
      <c r="X125" s="8">
        <f t="shared" si="11"/>
        <v>0</v>
      </c>
      <c r="Y125" s="8">
        <f t="shared" si="11"/>
        <v>1</v>
      </c>
      <c r="Z125" s="8">
        <f t="shared" si="11"/>
        <v>1</v>
      </c>
      <c r="AA125" s="8">
        <f t="shared" si="11"/>
        <v>1</v>
      </c>
      <c r="AB125" s="8">
        <f t="shared" si="11"/>
        <v>1</v>
      </c>
      <c r="AC125" s="8" t="s">
        <v>21</v>
      </c>
      <c r="AD125" s="8" t="s">
        <v>23</v>
      </c>
      <c r="AE125" s="8" t="s">
        <v>24</v>
      </c>
      <c r="AF125" s="8" t="s">
        <v>48</v>
      </c>
    </row>
    <row r="126" spans="1:32" x14ac:dyDescent="0.3">
      <c r="A126" s="5">
        <v>125</v>
      </c>
      <c r="B126" s="5" t="s">
        <v>26</v>
      </c>
      <c r="C126" s="5">
        <f t="shared" si="10"/>
        <v>0</v>
      </c>
      <c r="D126" s="5">
        <f t="shared" si="9"/>
        <v>1</v>
      </c>
      <c r="E126" s="5">
        <f t="shared" si="9"/>
        <v>0</v>
      </c>
      <c r="F126" s="5">
        <f t="shared" si="9"/>
        <v>0</v>
      </c>
      <c r="G126" s="5">
        <f t="shared" si="9"/>
        <v>1</v>
      </c>
      <c r="H126" s="5">
        <f t="shared" si="9"/>
        <v>0</v>
      </c>
      <c r="I126" s="6" t="s">
        <v>42</v>
      </c>
      <c r="J126" s="6" t="s">
        <v>62</v>
      </c>
      <c r="K126" s="6" t="str">
        <f>_xlfn.XLOOKUP(J126,Worksheet!$F$1:$F$48,Worksheet!$G$1:$G$48,0)</f>
        <v>Cost</v>
      </c>
      <c r="L126" s="6" t="s">
        <v>356</v>
      </c>
      <c r="M126" s="6" t="s">
        <v>15</v>
      </c>
      <c r="N126" s="6" t="s">
        <v>58</v>
      </c>
      <c r="O126" s="6">
        <v>4</v>
      </c>
      <c r="P126" s="6" t="s">
        <v>45</v>
      </c>
      <c r="Q126" s="6" t="s">
        <v>46</v>
      </c>
      <c r="R126" s="6" t="s">
        <v>67</v>
      </c>
      <c r="S126" s="6">
        <f t="shared" si="12"/>
        <v>1</v>
      </c>
      <c r="T126" s="6">
        <f t="shared" si="11"/>
        <v>1</v>
      </c>
      <c r="U126" s="6">
        <f t="shared" si="11"/>
        <v>1</v>
      </c>
      <c r="V126" s="6">
        <f t="shared" si="11"/>
        <v>1</v>
      </c>
      <c r="W126" s="6">
        <f t="shared" si="11"/>
        <v>1</v>
      </c>
      <c r="X126" s="6">
        <f t="shared" si="11"/>
        <v>1</v>
      </c>
      <c r="Y126" s="6">
        <f t="shared" si="11"/>
        <v>1</v>
      </c>
      <c r="Z126" s="6">
        <f t="shared" si="11"/>
        <v>1</v>
      </c>
      <c r="AA126" s="6">
        <f t="shared" si="11"/>
        <v>1</v>
      </c>
      <c r="AB126" s="6">
        <f t="shared" si="11"/>
        <v>1</v>
      </c>
      <c r="AC126" s="6" t="s">
        <v>21</v>
      </c>
      <c r="AD126" s="6" t="s">
        <v>23</v>
      </c>
      <c r="AE126" s="6" t="s">
        <v>24</v>
      </c>
      <c r="AF126" s="6" t="s">
        <v>25</v>
      </c>
    </row>
    <row r="127" spans="1:32" x14ac:dyDescent="0.3">
      <c r="A127" s="7">
        <v>126</v>
      </c>
      <c r="B127" s="7" t="s">
        <v>100</v>
      </c>
      <c r="C127" s="7">
        <f t="shared" si="10"/>
        <v>1</v>
      </c>
      <c r="D127" s="7">
        <f t="shared" si="9"/>
        <v>0</v>
      </c>
      <c r="E127" s="7">
        <f t="shared" si="9"/>
        <v>0</v>
      </c>
      <c r="F127" s="7">
        <f t="shared" si="9"/>
        <v>0</v>
      </c>
      <c r="G127" s="7">
        <f t="shared" si="9"/>
        <v>0</v>
      </c>
      <c r="H127" s="7">
        <f t="shared" si="9"/>
        <v>0</v>
      </c>
      <c r="I127" s="8" t="s">
        <v>15</v>
      </c>
      <c r="J127" s="8" t="s">
        <v>43</v>
      </c>
      <c r="K127" s="8" t="str">
        <f>_xlfn.XLOOKUP(J127,Worksheet!$F$1:$F$48,Worksheet!$G$1:$G$48,0)</f>
        <v>Lack of awareness</v>
      </c>
      <c r="L127" s="8" t="s">
        <v>356</v>
      </c>
      <c r="M127" s="8" t="s">
        <v>49</v>
      </c>
      <c r="N127" s="8" t="s">
        <v>51</v>
      </c>
      <c r="O127" s="8">
        <v>5</v>
      </c>
      <c r="P127" s="8" t="s">
        <v>45</v>
      </c>
      <c r="Q127" s="8" t="s">
        <v>46</v>
      </c>
      <c r="R127" s="8" t="s">
        <v>179</v>
      </c>
      <c r="S127" s="8">
        <f t="shared" si="12"/>
        <v>1</v>
      </c>
      <c r="T127" s="8">
        <f t="shared" si="11"/>
        <v>0</v>
      </c>
      <c r="U127" s="8">
        <f t="shared" si="11"/>
        <v>0</v>
      </c>
      <c r="V127" s="8">
        <f t="shared" si="11"/>
        <v>0</v>
      </c>
      <c r="W127" s="8">
        <f t="shared" si="11"/>
        <v>1</v>
      </c>
      <c r="X127" s="8">
        <f t="shared" si="11"/>
        <v>0</v>
      </c>
      <c r="Y127" s="8">
        <f t="shared" si="11"/>
        <v>1</v>
      </c>
      <c r="Z127" s="8">
        <f t="shared" si="11"/>
        <v>0</v>
      </c>
      <c r="AA127" s="8">
        <f t="shared" si="11"/>
        <v>0</v>
      </c>
      <c r="AB127" s="8">
        <f t="shared" si="11"/>
        <v>0</v>
      </c>
      <c r="AC127" s="8" t="s">
        <v>21</v>
      </c>
      <c r="AD127" s="8" t="s">
        <v>23</v>
      </c>
      <c r="AE127" s="8" t="s">
        <v>24</v>
      </c>
      <c r="AF127" s="8" t="s">
        <v>48</v>
      </c>
    </row>
    <row r="128" spans="1:32" x14ac:dyDescent="0.3">
      <c r="A128" s="5">
        <v>127</v>
      </c>
      <c r="B128" s="5" t="s">
        <v>68</v>
      </c>
      <c r="C128" s="5">
        <f t="shared" si="10"/>
        <v>0</v>
      </c>
      <c r="D128" s="5">
        <f t="shared" si="9"/>
        <v>1</v>
      </c>
      <c r="E128" s="5">
        <f t="shared" si="9"/>
        <v>0</v>
      </c>
      <c r="F128" s="5">
        <f t="shared" si="9"/>
        <v>0</v>
      </c>
      <c r="G128" s="5">
        <f t="shared" si="9"/>
        <v>0</v>
      </c>
      <c r="H128" s="5">
        <f t="shared" si="9"/>
        <v>0</v>
      </c>
      <c r="I128" s="6" t="s">
        <v>27</v>
      </c>
      <c r="J128" s="6" t="s">
        <v>180</v>
      </c>
      <c r="K128" s="6" t="str">
        <f>_xlfn.XLOOKUP(J128,Worksheet!$F$1:$F$48,Worksheet!$G$1:$G$48,0)</f>
        <v>No need</v>
      </c>
      <c r="L128" s="6" t="s">
        <v>50</v>
      </c>
      <c r="M128" s="6" t="s">
        <v>49</v>
      </c>
      <c r="N128" s="6" t="s">
        <v>51</v>
      </c>
      <c r="O128" s="6">
        <v>5</v>
      </c>
      <c r="P128" s="6" t="s">
        <v>45</v>
      </c>
      <c r="Q128" s="6" t="s">
        <v>63</v>
      </c>
      <c r="R128" s="6" t="s">
        <v>181</v>
      </c>
      <c r="S128" s="6">
        <f t="shared" si="12"/>
        <v>1</v>
      </c>
      <c r="T128" s="6">
        <f t="shared" si="11"/>
        <v>0</v>
      </c>
      <c r="U128" s="6">
        <f t="shared" si="11"/>
        <v>0</v>
      </c>
      <c r="V128" s="6">
        <f t="shared" si="11"/>
        <v>0</v>
      </c>
      <c r="W128" s="6">
        <f t="shared" si="11"/>
        <v>1</v>
      </c>
      <c r="X128" s="6">
        <f t="shared" si="11"/>
        <v>1</v>
      </c>
      <c r="Y128" s="6">
        <f t="shared" si="11"/>
        <v>0</v>
      </c>
      <c r="Z128" s="6">
        <f t="shared" si="11"/>
        <v>1</v>
      </c>
      <c r="AA128" s="6">
        <f t="shared" si="11"/>
        <v>0</v>
      </c>
      <c r="AB128" s="6">
        <f t="shared" si="11"/>
        <v>1</v>
      </c>
      <c r="AC128" s="6" t="s">
        <v>25</v>
      </c>
      <c r="AD128" s="6" t="s">
        <v>34</v>
      </c>
      <c r="AE128" s="6" t="s">
        <v>88</v>
      </c>
      <c r="AF128" s="6" t="s">
        <v>48</v>
      </c>
    </row>
    <row r="129" spans="1:32" x14ac:dyDescent="0.3">
      <c r="A129" s="7">
        <v>128</v>
      </c>
      <c r="B129" s="7" t="s">
        <v>340</v>
      </c>
      <c r="C129" s="7">
        <f t="shared" si="10"/>
        <v>0</v>
      </c>
      <c r="D129" s="7">
        <f t="shared" si="9"/>
        <v>0</v>
      </c>
      <c r="E129" s="7">
        <f t="shared" si="9"/>
        <v>1</v>
      </c>
      <c r="F129" s="7">
        <f t="shared" si="9"/>
        <v>0</v>
      </c>
      <c r="G129" s="7">
        <f t="shared" si="9"/>
        <v>0</v>
      </c>
      <c r="H129" s="7">
        <f t="shared" si="9"/>
        <v>0</v>
      </c>
      <c r="I129" s="8" t="s">
        <v>27</v>
      </c>
      <c r="J129" s="8" t="s">
        <v>43</v>
      </c>
      <c r="K129" s="8" t="str">
        <f>_xlfn.XLOOKUP(J129,Worksheet!$F$1:$F$48,Worksheet!$G$1:$G$48,0)</f>
        <v>Lack of awareness</v>
      </c>
      <c r="L129" s="8" t="s">
        <v>50</v>
      </c>
      <c r="M129" s="8" t="s">
        <v>49</v>
      </c>
      <c r="N129" s="8" t="s">
        <v>58</v>
      </c>
      <c r="O129" s="8">
        <v>1</v>
      </c>
      <c r="P129" s="8" t="s">
        <v>45</v>
      </c>
      <c r="Q129" s="8" t="s">
        <v>52</v>
      </c>
      <c r="R129" s="8" t="s">
        <v>182</v>
      </c>
      <c r="S129" s="8">
        <f t="shared" si="12"/>
        <v>0</v>
      </c>
      <c r="T129" s="8">
        <f t="shared" si="11"/>
        <v>1</v>
      </c>
      <c r="U129" s="8">
        <f t="shared" si="11"/>
        <v>1</v>
      </c>
      <c r="V129" s="8">
        <f t="shared" si="11"/>
        <v>0</v>
      </c>
      <c r="W129" s="8">
        <f t="shared" si="11"/>
        <v>1</v>
      </c>
      <c r="X129" s="8">
        <f t="shared" si="11"/>
        <v>1</v>
      </c>
      <c r="Y129" s="8">
        <f t="shared" si="11"/>
        <v>0</v>
      </c>
      <c r="Z129" s="8">
        <f t="shared" si="11"/>
        <v>0</v>
      </c>
      <c r="AA129" s="8">
        <f t="shared" si="11"/>
        <v>0</v>
      </c>
      <c r="AB129" s="8">
        <f t="shared" si="11"/>
        <v>0</v>
      </c>
      <c r="AC129" s="8" t="s">
        <v>25</v>
      </c>
      <c r="AD129" s="8" t="s">
        <v>34</v>
      </c>
      <c r="AE129" s="8" t="s">
        <v>24</v>
      </c>
      <c r="AF129" s="8" t="s">
        <v>25</v>
      </c>
    </row>
    <row r="130" spans="1:32" x14ac:dyDescent="0.3">
      <c r="A130" s="5">
        <v>129</v>
      </c>
      <c r="B130" s="5" t="s">
        <v>55</v>
      </c>
      <c r="C130" s="5">
        <f t="shared" si="10"/>
        <v>0</v>
      </c>
      <c r="D130" s="5">
        <f t="shared" si="9"/>
        <v>0</v>
      </c>
      <c r="E130" s="5">
        <f t="shared" si="9"/>
        <v>0</v>
      </c>
      <c r="F130" s="5">
        <f t="shared" si="9"/>
        <v>0</v>
      </c>
      <c r="G130" s="5">
        <f t="shared" si="9"/>
        <v>0</v>
      </c>
      <c r="H130" s="5">
        <f t="shared" si="9"/>
        <v>1</v>
      </c>
      <c r="I130" s="6" t="s">
        <v>42</v>
      </c>
      <c r="J130" s="6" t="s">
        <v>43</v>
      </c>
      <c r="K130" s="6" t="str">
        <f>_xlfn.XLOOKUP(J130,Worksheet!$F$1:$F$48,Worksheet!$G$1:$G$48,0)</f>
        <v>Lack of awareness</v>
      </c>
      <c r="L130" s="6" t="s">
        <v>50</v>
      </c>
      <c r="M130" s="6" t="s">
        <v>30</v>
      </c>
      <c r="N130" s="6" t="s">
        <v>58</v>
      </c>
      <c r="O130" s="6">
        <v>5</v>
      </c>
      <c r="P130" s="6" t="s">
        <v>45</v>
      </c>
      <c r="Q130" s="6" t="s">
        <v>63</v>
      </c>
      <c r="R130" s="6" t="s">
        <v>111</v>
      </c>
      <c r="S130" s="6">
        <f t="shared" si="12"/>
        <v>0</v>
      </c>
      <c r="T130" s="6">
        <f t="shared" si="11"/>
        <v>0</v>
      </c>
      <c r="U130" s="6">
        <f t="shared" si="11"/>
        <v>0</v>
      </c>
      <c r="V130" s="6">
        <f t="shared" si="11"/>
        <v>0</v>
      </c>
      <c r="W130" s="6">
        <f t="shared" si="11"/>
        <v>0</v>
      </c>
      <c r="X130" s="6">
        <f t="shared" si="11"/>
        <v>0</v>
      </c>
      <c r="Y130" s="6">
        <f t="shared" si="11"/>
        <v>1</v>
      </c>
      <c r="Z130" s="6">
        <f t="shared" si="11"/>
        <v>0</v>
      </c>
      <c r="AA130" s="6">
        <f t="shared" si="11"/>
        <v>0</v>
      </c>
      <c r="AB130" s="6">
        <f t="shared" si="11"/>
        <v>0</v>
      </c>
      <c r="AC130" s="6" t="s">
        <v>21</v>
      </c>
      <c r="AD130" s="6" t="s">
        <v>34</v>
      </c>
      <c r="AE130" s="6" t="s">
        <v>24</v>
      </c>
      <c r="AF130" s="6" t="s">
        <v>25</v>
      </c>
    </row>
    <row r="131" spans="1:32" x14ac:dyDescent="0.3">
      <c r="A131" s="7">
        <v>130</v>
      </c>
      <c r="B131" s="7" t="s">
        <v>68</v>
      </c>
      <c r="C131" s="7">
        <f t="shared" si="10"/>
        <v>0</v>
      </c>
      <c r="D131" s="7">
        <f t="shared" si="9"/>
        <v>1</v>
      </c>
      <c r="E131" s="7">
        <f t="shared" si="9"/>
        <v>0</v>
      </c>
      <c r="F131" s="7">
        <f t="shared" si="9"/>
        <v>0</v>
      </c>
      <c r="G131" s="7">
        <f t="shared" si="9"/>
        <v>0</v>
      </c>
      <c r="H131" s="7">
        <f t="shared" si="9"/>
        <v>0</v>
      </c>
      <c r="I131" s="8" t="s">
        <v>15</v>
      </c>
      <c r="J131" s="8" t="s">
        <v>144</v>
      </c>
      <c r="K131" s="8" t="str">
        <f>_xlfn.XLOOKUP(J131,Worksheet!$F$1:$F$48,Worksheet!$G$1:$G$48,0)</f>
        <v>Lack of awareness</v>
      </c>
      <c r="L131" s="8" t="s">
        <v>37</v>
      </c>
      <c r="M131" s="8" t="s">
        <v>15</v>
      </c>
      <c r="N131" s="8" t="s">
        <v>58</v>
      </c>
      <c r="O131" s="8">
        <v>4</v>
      </c>
      <c r="P131" s="8" t="s">
        <v>45</v>
      </c>
      <c r="Q131" s="8" t="s">
        <v>63</v>
      </c>
      <c r="R131" s="8" t="s">
        <v>39</v>
      </c>
      <c r="S131" s="8">
        <f t="shared" si="12"/>
        <v>0</v>
      </c>
      <c r="T131" s="8">
        <f t="shared" si="11"/>
        <v>0</v>
      </c>
      <c r="U131" s="8">
        <f t="shared" si="11"/>
        <v>0</v>
      </c>
      <c r="V131" s="8">
        <f t="shared" si="11"/>
        <v>0</v>
      </c>
      <c r="W131" s="8">
        <f t="shared" si="11"/>
        <v>1</v>
      </c>
      <c r="X131" s="8">
        <f t="shared" si="11"/>
        <v>0</v>
      </c>
      <c r="Y131" s="8">
        <f t="shared" si="11"/>
        <v>0</v>
      </c>
      <c r="Z131" s="8">
        <f t="shared" si="11"/>
        <v>0</v>
      </c>
      <c r="AA131" s="8">
        <f t="shared" si="11"/>
        <v>0</v>
      </c>
      <c r="AB131" s="8">
        <f t="shared" si="11"/>
        <v>0</v>
      </c>
      <c r="AC131" s="8" t="s">
        <v>21</v>
      </c>
      <c r="AD131" s="8" t="s">
        <v>34</v>
      </c>
      <c r="AE131" s="8" t="s">
        <v>24</v>
      </c>
      <c r="AF131" s="8" t="s">
        <v>25</v>
      </c>
    </row>
    <row r="132" spans="1:32" x14ac:dyDescent="0.3">
      <c r="A132" s="5">
        <v>131</v>
      </c>
      <c r="B132" s="5" t="s">
        <v>100</v>
      </c>
      <c r="C132" s="5">
        <f t="shared" si="10"/>
        <v>1</v>
      </c>
      <c r="D132" s="5">
        <f t="shared" si="9"/>
        <v>0</v>
      </c>
      <c r="E132" s="5">
        <f t="shared" si="9"/>
        <v>0</v>
      </c>
      <c r="F132" s="5">
        <f t="shared" si="9"/>
        <v>0</v>
      </c>
      <c r="G132" s="5">
        <f t="shared" si="9"/>
        <v>0</v>
      </c>
      <c r="H132" s="5">
        <f t="shared" si="9"/>
        <v>0</v>
      </c>
      <c r="I132" s="6" t="s">
        <v>49</v>
      </c>
      <c r="J132" s="6" t="s">
        <v>183</v>
      </c>
      <c r="K132" s="6" t="str">
        <f>_xlfn.XLOOKUP(J132,Worksheet!$F$1:$F$48,Worksheet!$G$1:$G$48,0)</f>
        <v>NA</v>
      </c>
      <c r="L132" s="6" t="s">
        <v>29</v>
      </c>
      <c r="M132" s="6" t="s">
        <v>49</v>
      </c>
      <c r="N132" s="6" t="s">
        <v>51</v>
      </c>
      <c r="O132" s="6">
        <v>5</v>
      </c>
      <c r="P132" s="6" t="s">
        <v>59</v>
      </c>
      <c r="Q132" s="6" t="s">
        <v>63</v>
      </c>
      <c r="R132" s="6" t="s">
        <v>184</v>
      </c>
      <c r="S132" s="6">
        <f t="shared" si="12"/>
        <v>1</v>
      </c>
      <c r="T132" s="6">
        <f t="shared" si="11"/>
        <v>0</v>
      </c>
      <c r="U132" s="6">
        <f t="shared" si="11"/>
        <v>1</v>
      </c>
      <c r="V132" s="6">
        <f t="shared" si="11"/>
        <v>1</v>
      </c>
      <c r="W132" s="6">
        <f t="shared" si="11"/>
        <v>0</v>
      </c>
      <c r="X132" s="6">
        <f t="shared" si="11"/>
        <v>0</v>
      </c>
      <c r="Y132" s="6">
        <f t="shared" si="11"/>
        <v>1</v>
      </c>
      <c r="Z132" s="6">
        <f t="shared" si="11"/>
        <v>0</v>
      </c>
      <c r="AA132" s="6">
        <f t="shared" si="11"/>
        <v>1</v>
      </c>
      <c r="AB132" s="6">
        <f t="shared" si="11"/>
        <v>0</v>
      </c>
      <c r="AC132" s="6" t="s">
        <v>25</v>
      </c>
      <c r="AD132" s="6" t="s">
        <v>34</v>
      </c>
      <c r="AE132" s="6" t="s">
        <v>24</v>
      </c>
      <c r="AF132" s="6" t="s">
        <v>25</v>
      </c>
    </row>
    <row r="133" spans="1:32" x14ac:dyDescent="0.3">
      <c r="A133" s="7">
        <v>132</v>
      </c>
      <c r="B133" s="7" t="s">
        <v>68</v>
      </c>
      <c r="C133" s="7">
        <f t="shared" si="10"/>
        <v>0</v>
      </c>
      <c r="D133" s="7">
        <f t="shared" si="9"/>
        <v>1</v>
      </c>
      <c r="E133" s="7">
        <f t="shared" si="9"/>
        <v>0</v>
      </c>
      <c r="F133" s="7">
        <f t="shared" si="9"/>
        <v>0</v>
      </c>
      <c r="G133" s="7">
        <f t="shared" si="9"/>
        <v>0</v>
      </c>
      <c r="H133" s="7">
        <f t="shared" si="9"/>
        <v>0</v>
      </c>
      <c r="I133" s="8" t="s">
        <v>27</v>
      </c>
      <c r="J133" s="8" t="s">
        <v>43</v>
      </c>
      <c r="K133" s="8" t="str">
        <f>_xlfn.XLOOKUP(J133,Worksheet!$F$1:$F$48,Worksheet!$G$1:$G$48,0)</f>
        <v>Lack of awareness</v>
      </c>
      <c r="L133" s="8" t="s">
        <v>356</v>
      </c>
      <c r="M133" s="8" t="s">
        <v>30</v>
      </c>
      <c r="N133" s="8" t="s">
        <v>58</v>
      </c>
      <c r="O133" s="8">
        <v>3</v>
      </c>
      <c r="P133" s="8" t="s">
        <v>45</v>
      </c>
      <c r="Q133" s="8" t="s">
        <v>63</v>
      </c>
      <c r="R133" s="8" t="s">
        <v>185</v>
      </c>
      <c r="S133" s="8">
        <f t="shared" si="12"/>
        <v>1</v>
      </c>
      <c r="T133" s="8">
        <f t="shared" si="11"/>
        <v>1</v>
      </c>
      <c r="U133" s="8">
        <f t="shared" si="11"/>
        <v>0</v>
      </c>
      <c r="V133" s="8">
        <f t="shared" si="11"/>
        <v>1</v>
      </c>
      <c r="W133" s="8">
        <f t="shared" si="11"/>
        <v>1</v>
      </c>
      <c r="X133" s="8">
        <f t="shared" si="11"/>
        <v>0</v>
      </c>
      <c r="Y133" s="8">
        <f t="shared" si="11"/>
        <v>0</v>
      </c>
      <c r="Z133" s="8">
        <f t="shared" si="11"/>
        <v>0</v>
      </c>
      <c r="AA133" s="8">
        <f t="shared" si="11"/>
        <v>0</v>
      </c>
      <c r="AB133" s="8">
        <f t="shared" si="11"/>
        <v>0</v>
      </c>
      <c r="AC133" s="8" t="s">
        <v>21</v>
      </c>
      <c r="AD133" s="8" t="s">
        <v>23</v>
      </c>
      <c r="AE133" s="8" t="s">
        <v>24</v>
      </c>
      <c r="AF133" s="8" t="s">
        <v>21</v>
      </c>
    </row>
    <row r="134" spans="1:32" x14ac:dyDescent="0.3">
      <c r="A134" s="5">
        <v>133</v>
      </c>
      <c r="B134" s="5" t="s">
        <v>55</v>
      </c>
      <c r="C134" s="5">
        <f t="shared" si="10"/>
        <v>0</v>
      </c>
      <c r="D134" s="5">
        <f t="shared" si="9"/>
        <v>0</v>
      </c>
      <c r="E134" s="5">
        <f t="shared" si="9"/>
        <v>0</v>
      </c>
      <c r="F134" s="5">
        <f t="shared" si="9"/>
        <v>0</v>
      </c>
      <c r="G134" s="5">
        <f t="shared" si="9"/>
        <v>0</v>
      </c>
      <c r="H134" s="5">
        <f t="shared" si="9"/>
        <v>1</v>
      </c>
      <c r="I134" s="6" t="s">
        <v>49</v>
      </c>
      <c r="J134" s="6" t="s">
        <v>186</v>
      </c>
      <c r="K134" s="6" t="str">
        <f>_xlfn.XLOOKUP(J134,Worksheet!$F$1:$F$48,Worksheet!$G$1:$G$48,0)</f>
        <v>No need</v>
      </c>
      <c r="L134" s="6" t="s">
        <v>50</v>
      </c>
      <c r="M134" s="6" t="s">
        <v>49</v>
      </c>
      <c r="N134" s="6" t="s">
        <v>51</v>
      </c>
      <c r="O134" s="6">
        <v>5</v>
      </c>
      <c r="P134" s="6" t="s">
        <v>45</v>
      </c>
      <c r="Q134" s="6" t="s">
        <v>46</v>
      </c>
      <c r="R134" s="6" t="s">
        <v>56</v>
      </c>
      <c r="S134" s="6">
        <f t="shared" si="12"/>
        <v>1</v>
      </c>
      <c r="T134" s="6">
        <f t="shared" si="11"/>
        <v>0</v>
      </c>
      <c r="U134" s="6">
        <f t="shared" si="11"/>
        <v>0</v>
      </c>
      <c r="V134" s="6">
        <f t="shared" si="11"/>
        <v>0</v>
      </c>
      <c r="W134" s="6">
        <f t="shared" si="11"/>
        <v>0</v>
      </c>
      <c r="X134" s="6">
        <f t="shared" si="11"/>
        <v>0</v>
      </c>
      <c r="Y134" s="6">
        <f t="shared" si="11"/>
        <v>0</v>
      </c>
      <c r="Z134" s="6">
        <f t="shared" si="11"/>
        <v>0</v>
      </c>
      <c r="AA134" s="6">
        <f t="shared" si="11"/>
        <v>0</v>
      </c>
      <c r="AB134" s="6">
        <f t="shared" si="11"/>
        <v>0</v>
      </c>
      <c r="AC134" s="6" t="s">
        <v>21</v>
      </c>
      <c r="AD134" s="6" t="s">
        <v>40</v>
      </c>
      <c r="AE134" s="6" t="s">
        <v>187</v>
      </c>
      <c r="AF134" s="6" t="s">
        <v>25</v>
      </c>
    </row>
    <row r="135" spans="1:32" x14ac:dyDescent="0.3">
      <c r="A135" s="7">
        <v>134</v>
      </c>
      <c r="B135" s="7" t="s">
        <v>66</v>
      </c>
      <c r="C135" s="7">
        <f t="shared" si="10"/>
        <v>0</v>
      </c>
      <c r="D135" s="7">
        <f t="shared" si="9"/>
        <v>1</v>
      </c>
      <c r="E135" s="7">
        <f t="shared" si="9"/>
        <v>0</v>
      </c>
      <c r="F135" s="7">
        <f t="shared" si="9"/>
        <v>0</v>
      </c>
      <c r="G135" s="7">
        <f t="shared" si="9"/>
        <v>0</v>
      </c>
      <c r="H135" s="7">
        <f t="shared" si="9"/>
        <v>1</v>
      </c>
      <c r="I135" s="8" t="s">
        <v>15</v>
      </c>
      <c r="J135" s="8" t="s">
        <v>43</v>
      </c>
      <c r="K135" s="8" t="str">
        <f>_xlfn.XLOOKUP(J135,Worksheet!$F$1:$F$48,Worksheet!$G$1:$G$48,0)</f>
        <v>Lack of awareness</v>
      </c>
      <c r="L135" s="8" t="s">
        <v>50</v>
      </c>
      <c r="M135" s="8" t="s">
        <v>49</v>
      </c>
      <c r="N135" s="8" t="s">
        <v>51</v>
      </c>
      <c r="O135" s="8">
        <v>5</v>
      </c>
      <c r="P135" s="8" t="s">
        <v>45</v>
      </c>
      <c r="Q135" s="8" t="s">
        <v>63</v>
      </c>
      <c r="R135" s="8" t="s">
        <v>188</v>
      </c>
      <c r="S135" s="8">
        <f t="shared" si="12"/>
        <v>1</v>
      </c>
      <c r="T135" s="8">
        <f t="shared" si="11"/>
        <v>1</v>
      </c>
      <c r="U135" s="8">
        <f t="shared" si="11"/>
        <v>0</v>
      </c>
      <c r="V135" s="8">
        <f t="shared" si="11"/>
        <v>1</v>
      </c>
      <c r="W135" s="8">
        <f t="shared" si="11"/>
        <v>1</v>
      </c>
      <c r="X135" s="8">
        <f t="shared" si="11"/>
        <v>1</v>
      </c>
      <c r="Y135" s="8">
        <f t="shared" si="11"/>
        <v>0</v>
      </c>
      <c r="Z135" s="8">
        <f t="shared" si="11"/>
        <v>0</v>
      </c>
      <c r="AA135" s="8">
        <f t="shared" si="11"/>
        <v>1</v>
      </c>
      <c r="AB135" s="8">
        <f t="shared" si="11"/>
        <v>0</v>
      </c>
      <c r="AC135" s="8" t="s">
        <v>21</v>
      </c>
      <c r="AD135" s="8" t="s">
        <v>34</v>
      </c>
      <c r="AE135" s="8" t="s">
        <v>24</v>
      </c>
      <c r="AF135" s="8" t="s">
        <v>48</v>
      </c>
    </row>
    <row r="136" spans="1:32" x14ac:dyDescent="0.3">
      <c r="A136" s="5">
        <v>135</v>
      </c>
      <c r="B136" s="5" t="s">
        <v>75</v>
      </c>
      <c r="C136" s="5">
        <f t="shared" si="10"/>
        <v>1</v>
      </c>
      <c r="D136" s="5">
        <f t="shared" si="9"/>
        <v>1</v>
      </c>
      <c r="E136" s="5">
        <f t="shared" si="9"/>
        <v>0</v>
      </c>
      <c r="F136" s="5">
        <f t="shared" si="9"/>
        <v>0</v>
      </c>
      <c r="G136" s="5">
        <f t="shared" si="9"/>
        <v>0</v>
      </c>
      <c r="H136" s="5">
        <f t="shared" si="9"/>
        <v>1</v>
      </c>
      <c r="I136" s="6" t="s">
        <v>49</v>
      </c>
      <c r="J136" s="6" t="s">
        <v>62</v>
      </c>
      <c r="K136" s="6" t="str">
        <f>_xlfn.XLOOKUP(J136,Worksheet!$F$1:$F$48,Worksheet!$G$1:$G$48,0)</f>
        <v>Cost</v>
      </c>
      <c r="L136" s="6" t="s">
        <v>356</v>
      </c>
      <c r="M136" s="6" t="s">
        <v>30</v>
      </c>
      <c r="N136" s="6" t="s">
        <v>70</v>
      </c>
      <c r="O136" s="6">
        <v>4</v>
      </c>
      <c r="P136" s="6" t="s">
        <v>45</v>
      </c>
      <c r="Q136" s="6" t="s">
        <v>46</v>
      </c>
      <c r="R136" s="6" t="s">
        <v>189</v>
      </c>
      <c r="S136" s="6">
        <f t="shared" si="12"/>
        <v>1</v>
      </c>
      <c r="T136" s="6">
        <f t="shared" si="11"/>
        <v>0</v>
      </c>
      <c r="U136" s="6">
        <f t="shared" si="11"/>
        <v>1</v>
      </c>
      <c r="V136" s="6">
        <f t="shared" si="11"/>
        <v>1</v>
      </c>
      <c r="W136" s="6">
        <f t="shared" si="11"/>
        <v>0</v>
      </c>
      <c r="X136" s="6">
        <f t="shared" si="11"/>
        <v>0</v>
      </c>
      <c r="Y136" s="6">
        <f t="shared" si="11"/>
        <v>1</v>
      </c>
      <c r="Z136" s="6">
        <f t="shared" si="11"/>
        <v>1</v>
      </c>
      <c r="AA136" s="6">
        <f t="shared" si="11"/>
        <v>1</v>
      </c>
      <c r="AB136" s="6">
        <f t="shared" si="11"/>
        <v>1</v>
      </c>
      <c r="AC136" s="6" t="s">
        <v>25</v>
      </c>
      <c r="AD136" s="6" t="s">
        <v>23</v>
      </c>
      <c r="AE136" s="6" t="s">
        <v>24</v>
      </c>
      <c r="AF136" s="6" t="s">
        <v>25</v>
      </c>
    </row>
    <row r="137" spans="1:32" x14ac:dyDescent="0.3">
      <c r="A137" s="7">
        <v>136</v>
      </c>
      <c r="B137" s="7" t="s">
        <v>55</v>
      </c>
      <c r="C137" s="7">
        <f t="shared" si="10"/>
        <v>0</v>
      </c>
      <c r="D137" s="7">
        <f t="shared" si="9"/>
        <v>0</v>
      </c>
      <c r="E137" s="7">
        <f t="shared" si="9"/>
        <v>0</v>
      </c>
      <c r="F137" s="7">
        <f t="shared" si="9"/>
        <v>0</v>
      </c>
      <c r="G137" s="7">
        <f t="shared" si="9"/>
        <v>0</v>
      </c>
      <c r="H137" s="7">
        <f t="shared" si="9"/>
        <v>1</v>
      </c>
      <c r="I137" s="8" t="s">
        <v>27</v>
      </c>
      <c r="J137" s="8" t="s">
        <v>43</v>
      </c>
      <c r="K137" s="8" t="str">
        <f>_xlfn.XLOOKUP(J137,Worksheet!$F$1:$F$48,Worksheet!$G$1:$G$48,0)</f>
        <v>Lack of awareness</v>
      </c>
      <c r="L137" s="8" t="s">
        <v>37</v>
      </c>
      <c r="M137" s="8" t="s">
        <v>49</v>
      </c>
      <c r="N137" s="8" t="s">
        <v>44</v>
      </c>
      <c r="O137" s="8">
        <v>5</v>
      </c>
      <c r="P137" s="8" t="s">
        <v>45</v>
      </c>
      <c r="Q137" s="8" t="s">
        <v>63</v>
      </c>
      <c r="R137" s="8" t="s">
        <v>74</v>
      </c>
      <c r="S137" s="8">
        <f t="shared" si="12"/>
        <v>1</v>
      </c>
      <c r="T137" s="8">
        <f t="shared" si="11"/>
        <v>1</v>
      </c>
      <c r="U137" s="8">
        <f t="shared" si="11"/>
        <v>1</v>
      </c>
      <c r="V137" s="8">
        <f t="shared" si="11"/>
        <v>0</v>
      </c>
      <c r="W137" s="8">
        <f t="shared" si="11"/>
        <v>0</v>
      </c>
      <c r="X137" s="8">
        <f t="shared" si="11"/>
        <v>0</v>
      </c>
      <c r="Y137" s="8">
        <f t="shared" si="11"/>
        <v>0</v>
      </c>
      <c r="Z137" s="8">
        <f t="shared" si="11"/>
        <v>0</v>
      </c>
      <c r="AA137" s="8">
        <f t="shared" si="11"/>
        <v>0</v>
      </c>
      <c r="AB137" s="8">
        <f t="shared" si="11"/>
        <v>0</v>
      </c>
      <c r="AC137" s="8" t="s">
        <v>21</v>
      </c>
      <c r="AD137" s="8" t="s">
        <v>23</v>
      </c>
      <c r="AE137" s="8" t="s">
        <v>24</v>
      </c>
      <c r="AF137" s="8" t="s">
        <v>25</v>
      </c>
    </row>
    <row r="138" spans="1:32" x14ac:dyDescent="0.3">
      <c r="A138" s="5">
        <v>137</v>
      </c>
      <c r="B138" s="5" t="s">
        <v>41</v>
      </c>
      <c r="C138" s="5">
        <f t="shared" si="10"/>
        <v>0</v>
      </c>
      <c r="D138" s="5">
        <f t="shared" si="9"/>
        <v>0</v>
      </c>
      <c r="E138" s="5">
        <f t="shared" si="9"/>
        <v>0</v>
      </c>
      <c r="F138" s="5">
        <f t="shared" si="9"/>
        <v>0</v>
      </c>
      <c r="G138" s="5">
        <f t="shared" si="9"/>
        <v>1</v>
      </c>
      <c r="H138" s="5">
        <f t="shared" si="9"/>
        <v>0</v>
      </c>
      <c r="I138" s="6" t="s">
        <v>27</v>
      </c>
      <c r="J138" s="6" t="s">
        <v>43</v>
      </c>
      <c r="K138" s="6" t="str">
        <f>_xlfn.XLOOKUP(J138,Worksheet!$F$1:$F$48,Worksheet!$G$1:$G$48,0)</f>
        <v>Lack of awareness</v>
      </c>
      <c r="L138" s="6" t="s">
        <v>356</v>
      </c>
      <c r="M138" s="6" t="s">
        <v>30</v>
      </c>
      <c r="N138" s="6" t="s">
        <v>58</v>
      </c>
      <c r="O138" s="6">
        <v>3</v>
      </c>
      <c r="P138" s="6" t="s">
        <v>45</v>
      </c>
      <c r="Q138" s="6" t="s">
        <v>63</v>
      </c>
      <c r="R138" s="6" t="s">
        <v>190</v>
      </c>
      <c r="S138" s="6">
        <f t="shared" si="12"/>
        <v>0</v>
      </c>
      <c r="T138" s="6">
        <f t="shared" si="11"/>
        <v>0</v>
      </c>
      <c r="U138" s="6">
        <f t="shared" si="11"/>
        <v>1</v>
      </c>
      <c r="V138" s="6">
        <f t="shared" si="11"/>
        <v>1</v>
      </c>
      <c r="W138" s="6">
        <f t="shared" si="11"/>
        <v>0</v>
      </c>
      <c r="X138" s="6">
        <f t="shared" si="11"/>
        <v>0</v>
      </c>
      <c r="Y138" s="6">
        <f t="shared" si="11"/>
        <v>0</v>
      </c>
      <c r="Z138" s="6">
        <f t="shared" si="11"/>
        <v>0</v>
      </c>
      <c r="AA138" s="6">
        <f t="shared" si="11"/>
        <v>0</v>
      </c>
      <c r="AB138" s="6">
        <f t="shared" si="11"/>
        <v>0</v>
      </c>
      <c r="AC138" s="6" t="s">
        <v>21</v>
      </c>
      <c r="AD138" s="6" t="s">
        <v>34</v>
      </c>
      <c r="AE138" s="6" t="s">
        <v>24</v>
      </c>
      <c r="AF138" s="6" t="s">
        <v>21</v>
      </c>
    </row>
    <row r="139" spans="1:32" x14ac:dyDescent="0.3">
      <c r="A139" s="7">
        <v>138</v>
      </c>
      <c r="B139" s="7" t="s">
        <v>55</v>
      </c>
      <c r="C139" s="7">
        <f t="shared" si="10"/>
        <v>0</v>
      </c>
      <c r="D139" s="7">
        <f t="shared" si="9"/>
        <v>0</v>
      </c>
      <c r="E139" s="7">
        <f t="shared" si="9"/>
        <v>0</v>
      </c>
      <c r="F139" s="7">
        <f t="shared" si="9"/>
        <v>0</v>
      </c>
      <c r="G139" s="7">
        <f t="shared" si="9"/>
        <v>0</v>
      </c>
      <c r="H139" s="7">
        <f t="shared" si="9"/>
        <v>1</v>
      </c>
      <c r="I139" s="8" t="s">
        <v>15</v>
      </c>
      <c r="J139" s="8" t="s">
        <v>83</v>
      </c>
      <c r="K139" s="8" t="str">
        <f>_xlfn.XLOOKUP(J139,Worksheet!$F$1:$F$48,Worksheet!$G$1:$G$48,0)</f>
        <v>Fear</v>
      </c>
      <c r="L139" s="8" t="s">
        <v>37</v>
      </c>
      <c r="M139" s="8" t="s">
        <v>30</v>
      </c>
      <c r="N139" s="8" t="s">
        <v>70</v>
      </c>
      <c r="O139" s="8">
        <v>5</v>
      </c>
      <c r="P139" s="8" t="s">
        <v>45</v>
      </c>
      <c r="Q139" s="8" t="s">
        <v>46</v>
      </c>
      <c r="R139" s="8" t="s">
        <v>67</v>
      </c>
      <c r="S139" s="8">
        <f t="shared" si="12"/>
        <v>1</v>
      </c>
      <c r="T139" s="8">
        <f t="shared" si="11"/>
        <v>1</v>
      </c>
      <c r="U139" s="8">
        <f t="shared" si="11"/>
        <v>1</v>
      </c>
      <c r="V139" s="8">
        <f t="shared" si="11"/>
        <v>1</v>
      </c>
      <c r="W139" s="8">
        <f t="shared" si="11"/>
        <v>1</v>
      </c>
      <c r="X139" s="8">
        <f t="shared" si="11"/>
        <v>1</v>
      </c>
      <c r="Y139" s="8">
        <f t="shared" si="11"/>
        <v>1</v>
      </c>
      <c r="Z139" s="8">
        <f t="shared" si="11"/>
        <v>1</v>
      </c>
      <c r="AA139" s="8">
        <f t="shared" si="11"/>
        <v>1</v>
      </c>
      <c r="AB139" s="8">
        <f t="shared" si="11"/>
        <v>1</v>
      </c>
      <c r="AC139" s="8" t="s">
        <v>21</v>
      </c>
      <c r="AD139" s="8" t="s">
        <v>23</v>
      </c>
      <c r="AE139" s="8" t="s">
        <v>24</v>
      </c>
      <c r="AF139" s="8" t="s">
        <v>48</v>
      </c>
    </row>
    <row r="140" spans="1:32" x14ac:dyDescent="0.3">
      <c r="A140" s="5">
        <v>139</v>
      </c>
      <c r="B140" s="5" t="s">
        <v>75</v>
      </c>
      <c r="C140" s="5">
        <f t="shared" si="10"/>
        <v>1</v>
      </c>
      <c r="D140" s="5">
        <f t="shared" si="9"/>
        <v>1</v>
      </c>
      <c r="E140" s="5">
        <f t="shared" si="9"/>
        <v>0</v>
      </c>
      <c r="F140" s="5">
        <f t="shared" si="9"/>
        <v>0</v>
      </c>
      <c r="G140" s="5">
        <f t="shared" si="9"/>
        <v>0</v>
      </c>
      <c r="H140" s="5">
        <f t="shared" si="9"/>
        <v>1</v>
      </c>
      <c r="I140" s="6" t="s">
        <v>49</v>
      </c>
      <c r="J140" s="6" t="s">
        <v>191</v>
      </c>
      <c r="K140" s="6" t="str">
        <f>_xlfn.XLOOKUP(J140,Worksheet!$F$1:$F$48,Worksheet!$G$1:$G$48,0)</f>
        <v>No need</v>
      </c>
      <c r="L140" s="6" t="s">
        <v>50</v>
      </c>
      <c r="M140" s="6" t="s">
        <v>49</v>
      </c>
      <c r="N140" s="6" t="s">
        <v>70</v>
      </c>
      <c r="O140" s="6">
        <v>5</v>
      </c>
      <c r="P140" s="6" t="s">
        <v>45</v>
      </c>
      <c r="Q140" s="6" t="s">
        <v>63</v>
      </c>
      <c r="R140" s="6" t="s">
        <v>192</v>
      </c>
      <c r="S140" s="6">
        <f t="shared" si="12"/>
        <v>0</v>
      </c>
      <c r="T140" s="6">
        <f t="shared" si="11"/>
        <v>0</v>
      </c>
      <c r="U140" s="6">
        <f t="shared" si="11"/>
        <v>1</v>
      </c>
      <c r="V140" s="6">
        <f t="shared" si="11"/>
        <v>1</v>
      </c>
      <c r="W140" s="6">
        <f t="shared" si="11"/>
        <v>0</v>
      </c>
      <c r="X140" s="6">
        <f t="shared" si="11"/>
        <v>0</v>
      </c>
      <c r="Y140" s="6">
        <f t="shared" si="11"/>
        <v>1</v>
      </c>
      <c r="Z140" s="6">
        <f t="shared" si="11"/>
        <v>1</v>
      </c>
      <c r="AA140" s="6">
        <f t="shared" si="11"/>
        <v>1</v>
      </c>
      <c r="AB140" s="6">
        <f t="shared" si="11"/>
        <v>0</v>
      </c>
      <c r="AC140" s="6" t="s">
        <v>25</v>
      </c>
      <c r="AD140" s="6" t="s">
        <v>23</v>
      </c>
      <c r="AE140" s="6" t="s">
        <v>24</v>
      </c>
      <c r="AF140" s="6" t="s">
        <v>48</v>
      </c>
    </row>
    <row r="141" spans="1:32" x14ac:dyDescent="0.3">
      <c r="A141" s="7">
        <v>140</v>
      </c>
      <c r="B141" s="7" t="s">
        <v>14</v>
      </c>
      <c r="C141" s="7">
        <f t="shared" si="10"/>
        <v>0</v>
      </c>
      <c r="D141" s="7">
        <f t="shared" si="9"/>
        <v>1</v>
      </c>
      <c r="E141" s="7">
        <f t="shared" si="9"/>
        <v>0</v>
      </c>
      <c r="F141" s="7">
        <f t="shared" si="9"/>
        <v>0</v>
      </c>
      <c r="G141" s="7">
        <f t="shared" si="9"/>
        <v>1</v>
      </c>
      <c r="H141" s="7">
        <f t="shared" si="9"/>
        <v>1</v>
      </c>
      <c r="I141" s="8" t="s">
        <v>49</v>
      </c>
      <c r="J141" s="8" t="s">
        <v>43</v>
      </c>
      <c r="K141" s="8" t="str">
        <f>_xlfn.XLOOKUP(J141,Worksheet!$F$1:$F$48,Worksheet!$G$1:$G$48,0)</f>
        <v>Lack of awareness</v>
      </c>
      <c r="L141" s="8" t="s">
        <v>50</v>
      </c>
      <c r="M141" s="8" t="s">
        <v>102</v>
      </c>
      <c r="N141" s="8" t="s">
        <v>44</v>
      </c>
      <c r="O141" s="8">
        <v>4</v>
      </c>
      <c r="P141" s="8" t="s">
        <v>45</v>
      </c>
      <c r="Q141" s="8" t="s">
        <v>52</v>
      </c>
      <c r="R141" s="8" t="s">
        <v>193</v>
      </c>
      <c r="S141" s="8">
        <f t="shared" si="12"/>
        <v>1</v>
      </c>
      <c r="T141" s="8">
        <f t="shared" si="11"/>
        <v>1</v>
      </c>
      <c r="U141" s="8">
        <f t="shared" si="11"/>
        <v>0</v>
      </c>
      <c r="V141" s="8">
        <f t="shared" si="11"/>
        <v>0</v>
      </c>
      <c r="W141" s="8">
        <f t="shared" si="11"/>
        <v>0</v>
      </c>
      <c r="X141" s="8">
        <f t="shared" si="11"/>
        <v>1</v>
      </c>
      <c r="Y141" s="8">
        <f t="shared" si="11"/>
        <v>0</v>
      </c>
      <c r="Z141" s="8">
        <f t="shared" si="11"/>
        <v>0</v>
      </c>
      <c r="AA141" s="8">
        <f t="shared" si="11"/>
        <v>0</v>
      </c>
      <c r="AB141" s="8">
        <f t="shared" si="11"/>
        <v>1</v>
      </c>
      <c r="AC141" s="8" t="s">
        <v>21</v>
      </c>
      <c r="AD141" s="8" t="s">
        <v>23</v>
      </c>
      <c r="AE141" s="8" t="s">
        <v>24</v>
      </c>
      <c r="AF141" s="8" t="s">
        <v>82</v>
      </c>
    </row>
    <row r="142" spans="1:32" x14ac:dyDescent="0.3">
      <c r="A142" s="5">
        <v>141</v>
      </c>
      <c r="B142" s="5" t="s">
        <v>68</v>
      </c>
      <c r="C142" s="5">
        <f t="shared" si="10"/>
        <v>0</v>
      </c>
      <c r="D142" s="5">
        <f t="shared" si="9"/>
        <v>1</v>
      </c>
      <c r="E142" s="5">
        <f t="shared" si="9"/>
        <v>0</v>
      </c>
      <c r="F142" s="5">
        <f t="shared" si="9"/>
        <v>0</v>
      </c>
      <c r="G142" s="5">
        <f t="shared" si="9"/>
        <v>0</v>
      </c>
      <c r="H142" s="5">
        <f t="shared" si="9"/>
        <v>0</v>
      </c>
      <c r="I142" s="6" t="s">
        <v>15</v>
      </c>
      <c r="J142" s="6" t="s">
        <v>36</v>
      </c>
      <c r="K142" s="6" t="str">
        <f>_xlfn.XLOOKUP(J142,Worksheet!$F$1:$F$48,Worksheet!$G$1:$G$48,0)</f>
        <v>Shame</v>
      </c>
      <c r="L142" s="6" t="s">
        <v>37</v>
      </c>
      <c r="M142" s="6" t="s">
        <v>15</v>
      </c>
      <c r="N142" s="6" t="s">
        <v>51</v>
      </c>
      <c r="O142" s="6">
        <v>5</v>
      </c>
      <c r="P142" s="6" t="s">
        <v>45</v>
      </c>
      <c r="Q142" s="6" t="s">
        <v>63</v>
      </c>
      <c r="R142" s="6" t="s">
        <v>56</v>
      </c>
      <c r="S142" s="6">
        <f t="shared" si="12"/>
        <v>1</v>
      </c>
      <c r="T142" s="6">
        <f t="shared" si="11"/>
        <v>0</v>
      </c>
      <c r="U142" s="6">
        <f t="shared" si="11"/>
        <v>0</v>
      </c>
      <c r="V142" s="6">
        <f t="shared" si="11"/>
        <v>0</v>
      </c>
      <c r="W142" s="6">
        <f t="shared" si="11"/>
        <v>0</v>
      </c>
      <c r="X142" s="6">
        <f t="shared" si="11"/>
        <v>0</v>
      </c>
      <c r="Y142" s="6">
        <f t="shared" si="11"/>
        <v>0</v>
      </c>
      <c r="Z142" s="6">
        <f t="shared" si="11"/>
        <v>0</v>
      </c>
      <c r="AA142" s="6">
        <f t="shared" si="11"/>
        <v>0</v>
      </c>
      <c r="AB142" s="6">
        <f t="shared" si="11"/>
        <v>0</v>
      </c>
      <c r="AC142" s="6" t="s">
        <v>21</v>
      </c>
      <c r="AD142" s="6" t="s">
        <v>40</v>
      </c>
      <c r="AE142" s="6" t="s">
        <v>24</v>
      </c>
      <c r="AF142" s="6" t="s">
        <v>48</v>
      </c>
    </row>
    <row r="143" spans="1:32" x14ac:dyDescent="0.3">
      <c r="A143" s="7">
        <v>142</v>
      </c>
      <c r="B143" s="7" t="s">
        <v>55</v>
      </c>
      <c r="C143" s="7">
        <f t="shared" si="10"/>
        <v>0</v>
      </c>
      <c r="D143" s="7">
        <f t="shared" si="9"/>
        <v>0</v>
      </c>
      <c r="E143" s="7">
        <f t="shared" si="9"/>
        <v>0</v>
      </c>
      <c r="F143" s="7">
        <f t="shared" si="9"/>
        <v>0</v>
      </c>
      <c r="G143" s="7">
        <f t="shared" si="9"/>
        <v>0</v>
      </c>
      <c r="H143" s="7">
        <f t="shared" si="9"/>
        <v>1</v>
      </c>
      <c r="I143" s="8" t="s">
        <v>49</v>
      </c>
      <c r="J143" s="8" t="s">
        <v>43</v>
      </c>
      <c r="K143" s="8" t="str">
        <f>_xlfn.XLOOKUP(J143,Worksheet!$F$1:$F$48,Worksheet!$G$1:$G$48,0)</f>
        <v>Lack of awareness</v>
      </c>
      <c r="L143" s="8" t="s">
        <v>50</v>
      </c>
      <c r="M143" s="8" t="s">
        <v>49</v>
      </c>
      <c r="N143" s="8" t="s">
        <v>51</v>
      </c>
      <c r="O143" s="8">
        <v>1</v>
      </c>
      <c r="P143" s="8" t="s">
        <v>45</v>
      </c>
      <c r="Q143" s="8" t="s">
        <v>52</v>
      </c>
      <c r="R143" s="8" t="s">
        <v>131</v>
      </c>
      <c r="S143" s="8">
        <f t="shared" si="12"/>
        <v>0</v>
      </c>
      <c r="T143" s="8">
        <f t="shared" si="11"/>
        <v>0</v>
      </c>
      <c r="U143" s="8">
        <f t="shared" si="11"/>
        <v>0</v>
      </c>
      <c r="V143" s="8">
        <f t="shared" si="11"/>
        <v>0</v>
      </c>
      <c r="W143" s="8">
        <f t="shared" si="11"/>
        <v>0</v>
      </c>
      <c r="X143" s="8">
        <f t="shared" si="11"/>
        <v>1</v>
      </c>
      <c r="Y143" s="8">
        <f t="shared" si="11"/>
        <v>0</v>
      </c>
      <c r="Z143" s="8">
        <f t="shared" si="11"/>
        <v>0</v>
      </c>
      <c r="AA143" s="8">
        <f t="shared" si="11"/>
        <v>0</v>
      </c>
      <c r="AB143" s="8">
        <f t="shared" si="11"/>
        <v>0</v>
      </c>
      <c r="AC143" s="8" t="s">
        <v>21</v>
      </c>
      <c r="AD143" s="8" t="s">
        <v>23</v>
      </c>
      <c r="AE143" s="8" t="s">
        <v>187</v>
      </c>
      <c r="AF143" s="8" t="s">
        <v>25</v>
      </c>
    </row>
    <row r="144" spans="1:32" x14ac:dyDescent="0.3">
      <c r="A144" s="5">
        <v>143</v>
      </c>
      <c r="B144" s="5" t="s">
        <v>55</v>
      </c>
      <c r="C144" s="5">
        <f t="shared" si="10"/>
        <v>0</v>
      </c>
      <c r="D144" s="5">
        <f t="shared" si="9"/>
        <v>0</v>
      </c>
      <c r="E144" s="5">
        <f t="shared" si="9"/>
        <v>0</v>
      </c>
      <c r="F144" s="5">
        <f t="shared" si="9"/>
        <v>0</v>
      </c>
      <c r="G144" s="5">
        <f t="shared" si="9"/>
        <v>0</v>
      </c>
      <c r="H144" s="5">
        <f t="shared" si="9"/>
        <v>1</v>
      </c>
      <c r="I144" s="6" t="s">
        <v>15</v>
      </c>
      <c r="J144" s="6" t="s">
        <v>124</v>
      </c>
      <c r="K144" s="6" t="str">
        <f>_xlfn.XLOOKUP(J144,Worksheet!$F$1:$F$48,Worksheet!$G$1:$G$48,0)</f>
        <v>Fear</v>
      </c>
      <c r="L144" s="6" t="s">
        <v>17</v>
      </c>
      <c r="M144" s="6" t="s">
        <v>15</v>
      </c>
      <c r="N144" s="6" t="s">
        <v>51</v>
      </c>
      <c r="O144" s="6">
        <v>5</v>
      </c>
      <c r="P144" s="6" t="s">
        <v>45</v>
      </c>
      <c r="Q144" s="6" t="s">
        <v>46</v>
      </c>
      <c r="R144" s="6" t="s">
        <v>60</v>
      </c>
      <c r="S144" s="6">
        <f t="shared" si="12"/>
        <v>1</v>
      </c>
      <c r="T144" s="6">
        <f t="shared" si="11"/>
        <v>0</v>
      </c>
      <c r="U144" s="6">
        <f t="shared" si="11"/>
        <v>1</v>
      </c>
      <c r="V144" s="6">
        <f t="shared" si="11"/>
        <v>0</v>
      </c>
      <c r="W144" s="6">
        <f t="shared" si="11"/>
        <v>0</v>
      </c>
      <c r="X144" s="6">
        <f t="shared" si="11"/>
        <v>0</v>
      </c>
      <c r="Y144" s="6">
        <f t="shared" si="11"/>
        <v>0</v>
      </c>
      <c r="Z144" s="6">
        <f t="shared" si="11"/>
        <v>0</v>
      </c>
      <c r="AA144" s="6">
        <f t="shared" si="11"/>
        <v>0</v>
      </c>
      <c r="AB144" s="6">
        <f t="shared" si="11"/>
        <v>0</v>
      </c>
      <c r="AC144" s="6" t="s">
        <v>21</v>
      </c>
      <c r="AD144" s="6" t="s">
        <v>23</v>
      </c>
      <c r="AE144" s="6" t="s">
        <v>113</v>
      </c>
      <c r="AF144" s="6" t="s">
        <v>25</v>
      </c>
    </row>
    <row r="145" spans="1:32" x14ac:dyDescent="0.3">
      <c r="A145" s="7">
        <v>144</v>
      </c>
      <c r="B145" s="7" t="s">
        <v>68</v>
      </c>
      <c r="C145" s="7">
        <f t="shared" si="10"/>
        <v>0</v>
      </c>
      <c r="D145" s="7">
        <f t="shared" si="9"/>
        <v>1</v>
      </c>
      <c r="E145" s="7">
        <f t="shared" si="9"/>
        <v>0</v>
      </c>
      <c r="F145" s="7">
        <f t="shared" si="9"/>
        <v>0</v>
      </c>
      <c r="G145" s="7">
        <f t="shared" si="9"/>
        <v>0</v>
      </c>
      <c r="H145" s="7">
        <f t="shared" si="9"/>
        <v>0</v>
      </c>
      <c r="I145" s="8" t="s">
        <v>49</v>
      </c>
      <c r="J145" s="8" t="s">
        <v>194</v>
      </c>
      <c r="K145" s="8" t="str">
        <f>_xlfn.XLOOKUP(J145,Worksheet!$F$1:$F$48,Worksheet!$G$1:$G$48,0)</f>
        <v>No need</v>
      </c>
      <c r="L145" s="8" t="s">
        <v>50</v>
      </c>
      <c r="M145" s="8" t="s">
        <v>49</v>
      </c>
      <c r="N145" s="8" t="s">
        <v>51</v>
      </c>
      <c r="O145" s="8">
        <v>3</v>
      </c>
      <c r="P145" s="8" t="s">
        <v>45</v>
      </c>
      <c r="Q145" s="8" t="s">
        <v>52</v>
      </c>
      <c r="R145" s="8" t="s">
        <v>39</v>
      </c>
      <c r="S145" s="8">
        <f t="shared" si="12"/>
        <v>0</v>
      </c>
      <c r="T145" s="8">
        <f t="shared" si="11"/>
        <v>0</v>
      </c>
      <c r="U145" s="8">
        <f t="shared" si="11"/>
        <v>0</v>
      </c>
      <c r="V145" s="8">
        <f t="shared" si="11"/>
        <v>0</v>
      </c>
      <c r="W145" s="8">
        <f t="shared" si="11"/>
        <v>1</v>
      </c>
      <c r="X145" s="8">
        <f t="shared" si="11"/>
        <v>0</v>
      </c>
      <c r="Y145" s="8">
        <f t="shared" si="11"/>
        <v>0</v>
      </c>
      <c r="Z145" s="8">
        <f t="shared" si="11"/>
        <v>0</v>
      </c>
      <c r="AA145" s="8">
        <f t="shared" si="11"/>
        <v>0</v>
      </c>
      <c r="AB145" s="8">
        <f t="shared" si="11"/>
        <v>0</v>
      </c>
      <c r="AC145" s="8" t="s">
        <v>21</v>
      </c>
      <c r="AD145" s="8" t="s">
        <v>34</v>
      </c>
      <c r="AE145" s="8" t="s">
        <v>54</v>
      </c>
      <c r="AF145" s="8" t="s">
        <v>25</v>
      </c>
    </row>
    <row r="146" spans="1:32" x14ac:dyDescent="0.3">
      <c r="A146" s="5">
        <v>145</v>
      </c>
      <c r="B146" s="5" t="s">
        <v>68</v>
      </c>
      <c r="C146" s="5">
        <f t="shared" si="10"/>
        <v>0</v>
      </c>
      <c r="D146" s="5">
        <f t="shared" si="9"/>
        <v>1</v>
      </c>
      <c r="E146" s="5">
        <f t="shared" si="9"/>
        <v>0</v>
      </c>
      <c r="F146" s="5">
        <f t="shared" si="9"/>
        <v>0</v>
      </c>
      <c r="G146" s="5">
        <f t="shared" si="9"/>
        <v>0</v>
      </c>
      <c r="H146" s="5">
        <f t="shared" si="9"/>
        <v>0</v>
      </c>
      <c r="I146" s="6" t="s">
        <v>42</v>
      </c>
      <c r="J146" s="6" t="s">
        <v>83</v>
      </c>
      <c r="K146" s="6" t="str">
        <f>_xlfn.XLOOKUP(J146,Worksheet!$F$1:$F$48,Worksheet!$G$1:$G$48,0)</f>
        <v>Fear</v>
      </c>
      <c r="L146" s="6" t="s">
        <v>356</v>
      </c>
      <c r="M146" s="6" t="s">
        <v>15</v>
      </c>
      <c r="N146" s="6" t="s">
        <v>44</v>
      </c>
      <c r="O146" s="6">
        <v>1</v>
      </c>
      <c r="P146" s="6" t="s">
        <v>59</v>
      </c>
      <c r="Q146" s="6" t="s">
        <v>63</v>
      </c>
      <c r="R146" s="6" t="s">
        <v>47</v>
      </c>
      <c r="S146" s="6">
        <f t="shared" si="12"/>
        <v>0</v>
      </c>
      <c r="T146" s="6">
        <f t="shared" si="11"/>
        <v>0</v>
      </c>
      <c r="U146" s="6">
        <f t="shared" si="11"/>
        <v>1</v>
      </c>
      <c r="V146" s="6">
        <f t="shared" si="11"/>
        <v>0</v>
      </c>
      <c r="W146" s="6">
        <f t="shared" si="11"/>
        <v>0</v>
      </c>
      <c r="X146" s="6">
        <f t="shared" si="11"/>
        <v>0</v>
      </c>
      <c r="Y146" s="6">
        <f t="shared" si="11"/>
        <v>0</v>
      </c>
      <c r="Z146" s="6">
        <f t="shared" si="11"/>
        <v>0</v>
      </c>
      <c r="AA146" s="6">
        <f t="shared" si="11"/>
        <v>0</v>
      </c>
      <c r="AB146" s="6">
        <f t="shared" si="11"/>
        <v>0</v>
      </c>
      <c r="AC146" s="6" t="s">
        <v>21</v>
      </c>
      <c r="AD146" s="6" t="s">
        <v>23</v>
      </c>
      <c r="AE146" s="6" t="s">
        <v>136</v>
      </c>
      <c r="AF146" s="6" t="s">
        <v>48</v>
      </c>
    </row>
    <row r="147" spans="1:32" x14ac:dyDescent="0.3">
      <c r="A147" s="7">
        <v>146</v>
      </c>
      <c r="B147" s="7" t="s">
        <v>340</v>
      </c>
      <c r="C147" s="7">
        <f t="shared" si="10"/>
        <v>0</v>
      </c>
      <c r="D147" s="7">
        <f t="shared" si="9"/>
        <v>0</v>
      </c>
      <c r="E147" s="7">
        <f t="shared" si="9"/>
        <v>1</v>
      </c>
      <c r="F147" s="7">
        <f t="shared" si="9"/>
        <v>0</v>
      </c>
      <c r="G147" s="7">
        <f t="shared" si="9"/>
        <v>0</v>
      </c>
      <c r="H147" s="7">
        <f t="shared" si="9"/>
        <v>0</v>
      </c>
      <c r="I147" s="8" t="s">
        <v>49</v>
      </c>
      <c r="J147" s="8" t="s">
        <v>43</v>
      </c>
      <c r="K147" s="8" t="str">
        <f>_xlfn.XLOOKUP(J147,Worksheet!$F$1:$F$48,Worksheet!$G$1:$G$48,0)</f>
        <v>Lack of awareness</v>
      </c>
      <c r="L147" s="8" t="s">
        <v>356</v>
      </c>
      <c r="M147" s="8" t="s">
        <v>102</v>
      </c>
      <c r="N147" s="8" t="s">
        <v>51</v>
      </c>
      <c r="O147" s="8">
        <v>4</v>
      </c>
      <c r="P147" s="8" t="s">
        <v>45</v>
      </c>
      <c r="Q147" s="8" t="s">
        <v>63</v>
      </c>
      <c r="R147" s="8" t="s">
        <v>67</v>
      </c>
      <c r="S147" s="8">
        <f t="shared" si="12"/>
        <v>1</v>
      </c>
      <c r="T147" s="8">
        <f t="shared" si="11"/>
        <v>1</v>
      </c>
      <c r="U147" s="8">
        <f t="shared" si="11"/>
        <v>1</v>
      </c>
      <c r="V147" s="8">
        <f t="shared" si="11"/>
        <v>1</v>
      </c>
      <c r="W147" s="8">
        <f t="shared" si="11"/>
        <v>1</v>
      </c>
      <c r="X147" s="8">
        <f t="shared" si="11"/>
        <v>1</v>
      </c>
      <c r="Y147" s="8">
        <f t="shared" si="11"/>
        <v>1</v>
      </c>
      <c r="Z147" s="8">
        <f t="shared" si="11"/>
        <v>1</v>
      </c>
      <c r="AA147" s="8">
        <f t="shared" si="11"/>
        <v>1</v>
      </c>
      <c r="AB147" s="8">
        <f t="shared" si="11"/>
        <v>1</v>
      </c>
      <c r="AC147" s="8" t="s">
        <v>21</v>
      </c>
      <c r="AD147" s="8" t="s">
        <v>34</v>
      </c>
      <c r="AE147" s="8" t="s">
        <v>88</v>
      </c>
      <c r="AF147" s="8" t="s">
        <v>21</v>
      </c>
    </row>
    <row r="148" spans="1:32" x14ac:dyDescent="0.3">
      <c r="A148" s="5">
        <v>147</v>
      </c>
      <c r="B148" s="5" t="s">
        <v>100</v>
      </c>
      <c r="C148" s="5">
        <f t="shared" si="10"/>
        <v>1</v>
      </c>
      <c r="D148" s="5">
        <f t="shared" si="9"/>
        <v>0</v>
      </c>
      <c r="E148" s="5">
        <f t="shared" si="9"/>
        <v>0</v>
      </c>
      <c r="F148" s="5">
        <f t="shared" si="9"/>
        <v>0</v>
      </c>
      <c r="G148" s="5">
        <f t="shared" si="9"/>
        <v>0</v>
      </c>
      <c r="H148" s="5">
        <f t="shared" si="9"/>
        <v>0</v>
      </c>
      <c r="I148" s="6" t="s">
        <v>27</v>
      </c>
      <c r="J148" s="6" t="s">
        <v>43</v>
      </c>
      <c r="K148" s="6" t="str">
        <f>_xlfn.XLOOKUP(J148,Worksheet!$F$1:$F$48,Worksheet!$G$1:$G$48,0)</f>
        <v>Lack of awareness</v>
      </c>
      <c r="L148" s="6" t="s">
        <v>17</v>
      </c>
      <c r="M148" s="6" t="s">
        <v>49</v>
      </c>
      <c r="N148" s="6" t="s">
        <v>58</v>
      </c>
      <c r="O148" s="6">
        <v>5</v>
      </c>
      <c r="P148" s="6" t="s">
        <v>59</v>
      </c>
      <c r="Q148" s="6" t="s">
        <v>63</v>
      </c>
      <c r="R148" s="6" t="s">
        <v>145</v>
      </c>
      <c r="S148" s="6">
        <f t="shared" si="12"/>
        <v>1</v>
      </c>
      <c r="T148" s="6">
        <f t="shared" si="11"/>
        <v>0</v>
      </c>
      <c r="U148" s="6">
        <f t="shared" si="11"/>
        <v>1</v>
      </c>
      <c r="V148" s="6">
        <f t="shared" si="11"/>
        <v>0</v>
      </c>
      <c r="W148" s="6">
        <f t="shared" si="11"/>
        <v>1</v>
      </c>
      <c r="X148" s="6">
        <f t="shared" si="11"/>
        <v>0</v>
      </c>
      <c r="Y148" s="6">
        <f t="shared" si="11"/>
        <v>0</v>
      </c>
      <c r="Z148" s="6">
        <f t="shared" si="11"/>
        <v>0</v>
      </c>
      <c r="AA148" s="6">
        <f t="shared" si="11"/>
        <v>0</v>
      </c>
      <c r="AB148" s="6">
        <f t="shared" si="11"/>
        <v>0</v>
      </c>
      <c r="AC148" s="6" t="s">
        <v>21</v>
      </c>
      <c r="AD148" s="6" t="s">
        <v>23</v>
      </c>
      <c r="AE148" s="6" t="s">
        <v>136</v>
      </c>
      <c r="AF148" s="6" t="s">
        <v>25</v>
      </c>
    </row>
    <row r="149" spans="1:32" x14ac:dyDescent="0.3">
      <c r="A149" s="7">
        <v>148</v>
      </c>
      <c r="B149" s="7" t="s">
        <v>57</v>
      </c>
      <c r="C149" s="7">
        <f t="shared" si="10"/>
        <v>1</v>
      </c>
      <c r="D149" s="7">
        <f t="shared" si="9"/>
        <v>0</v>
      </c>
      <c r="E149" s="7">
        <f t="shared" si="9"/>
        <v>0</v>
      </c>
      <c r="F149" s="7">
        <f t="shared" si="9"/>
        <v>0</v>
      </c>
      <c r="G149" s="7">
        <f t="shared" si="9"/>
        <v>1</v>
      </c>
      <c r="H149" s="7">
        <f t="shared" si="9"/>
        <v>0</v>
      </c>
      <c r="I149" s="8" t="s">
        <v>42</v>
      </c>
      <c r="J149" s="8" t="s">
        <v>43</v>
      </c>
      <c r="K149" s="8" t="str">
        <f>_xlfn.XLOOKUP(J149,Worksheet!$F$1:$F$48,Worksheet!$G$1:$G$48,0)</f>
        <v>Lack of awareness</v>
      </c>
      <c r="L149" s="8" t="s">
        <v>50</v>
      </c>
      <c r="M149" s="8" t="s">
        <v>30</v>
      </c>
      <c r="N149" s="8" t="s">
        <v>51</v>
      </c>
      <c r="O149" s="8">
        <v>5</v>
      </c>
      <c r="P149" s="8" t="s">
        <v>45</v>
      </c>
      <c r="Q149" s="8" t="s">
        <v>63</v>
      </c>
      <c r="R149" s="8" t="s">
        <v>195</v>
      </c>
      <c r="S149" s="8">
        <f t="shared" si="12"/>
        <v>1</v>
      </c>
      <c r="T149" s="8">
        <f t="shared" si="11"/>
        <v>1</v>
      </c>
      <c r="U149" s="8">
        <f t="shared" si="11"/>
        <v>1</v>
      </c>
      <c r="V149" s="8">
        <f t="shared" si="11"/>
        <v>0</v>
      </c>
      <c r="W149" s="8">
        <f t="shared" si="11"/>
        <v>1</v>
      </c>
      <c r="X149" s="8">
        <f t="shared" si="11"/>
        <v>0</v>
      </c>
      <c r="Y149" s="8">
        <f t="shared" si="11"/>
        <v>1</v>
      </c>
      <c r="Z149" s="8">
        <f t="shared" si="11"/>
        <v>0</v>
      </c>
      <c r="AA149" s="8">
        <f t="shared" si="11"/>
        <v>0</v>
      </c>
      <c r="AB149" s="8">
        <f t="shared" si="11"/>
        <v>0</v>
      </c>
      <c r="AC149" s="8" t="s">
        <v>21</v>
      </c>
      <c r="AD149" s="8" t="s">
        <v>23</v>
      </c>
      <c r="AE149" s="8" t="s">
        <v>24</v>
      </c>
      <c r="AF149" s="8" t="s">
        <v>48</v>
      </c>
    </row>
    <row r="150" spans="1:32" x14ac:dyDescent="0.3">
      <c r="A150" s="5">
        <v>149</v>
      </c>
      <c r="B150" s="5" t="s">
        <v>55</v>
      </c>
      <c r="C150" s="5">
        <f t="shared" si="10"/>
        <v>0</v>
      </c>
      <c r="D150" s="5">
        <f t="shared" si="9"/>
        <v>0</v>
      </c>
      <c r="E150" s="5">
        <f t="shared" si="9"/>
        <v>0</v>
      </c>
      <c r="F150" s="5">
        <f t="shared" si="9"/>
        <v>0</v>
      </c>
      <c r="G150" s="5">
        <f t="shared" si="9"/>
        <v>0</v>
      </c>
      <c r="H150" s="5">
        <f t="shared" si="9"/>
        <v>1</v>
      </c>
      <c r="I150" s="6" t="s">
        <v>49</v>
      </c>
      <c r="J150" s="6" t="s">
        <v>196</v>
      </c>
      <c r="K150" s="6" t="str">
        <f>_xlfn.XLOOKUP(J150,Worksheet!$F$1:$F$48,Worksheet!$G$1:$G$48,0)</f>
        <v>No need</v>
      </c>
      <c r="L150" s="6" t="s">
        <v>50</v>
      </c>
      <c r="M150" s="6" t="s">
        <v>49</v>
      </c>
      <c r="N150" s="6" t="s">
        <v>44</v>
      </c>
      <c r="O150" s="6">
        <v>4</v>
      </c>
      <c r="P150" s="6" t="s">
        <v>45</v>
      </c>
      <c r="Q150" s="6" t="s">
        <v>52</v>
      </c>
      <c r="R150" s="6" t="s">
        <v>39</v>
      </c>
      <c r="S150" s="6">
        <f t="shared" si="12"/>
        <v>0</v>
      </c>
      <c r="T150" s="6">
        <f t="shared" si="11"/>
        <v>0</v>
      </c>
      <c r="U150" s="6">
        <f t="shared" si="11"/>
        <v>0</v>
      </c>
      <c r="V150" s="6">
        <f t="shared" si="11"/>
        <v>0</v>
      </c>
      <c r="W150" s="6">
        <f t="shared" si="11"/>
        <v>1</v>
      </c>
      <c r="X150" s="6">
        <f t="shared" si="11"/>
        <v>0</v>
      </c>
      <c r="Y150" s="6">
        <f t="shared" si="11"/>
        <v>0</v>
      </c>
      <c r="Z150" s="6">
        <f t="shared" si="11"/>
        <v>0</v>
      </c>
      <c r="AA150" s="6">
        <f t="shared" ref="T150:AB179" si="13">IFERROR(IF(SEARCH(AA$1,$R150)&gt;0,1,0),0)</f>
        <v>0</v>
      </c>
      <c r="AB150" s="6">
        <f t="shared" si="13"/>
        <v>0</v>
      </c>
      <c r="AC150" s="6" t="s">
        <v>25</v>
      </c>
      <c r="AD150" s="6" t="s">
        <v>34</v>
      </c>
      <c r="AE150" s="6" t="s">
        <v>24</v>
      </c>
      <c r="AF150" s="6" t="s">
        <v>25</v>
      </c>
    </row>
    <row r="151" spans="1:32" x14ac:dyDescent="0.3">
      <c r="A151" s="7">
        <v>150</v>
      </c>
      <c r="B151" s="7" t="s">
        <v>100</v>
      </c>
      <c r="C151" s="7">
        <f t="shared" si="10"/>
        <v>1</v>
      </c>
      <c r="D151" s="7">
        <f t="shared" si="9"/>
        <v>0</v>
      </c>
      <c r="E151" s="7">
        <f t="shared" si="9"/>
        <v>0</v>
      </c>
      <c r="F151" s="7">
        <f t="shared" ref="D151:H202" si="14">IFERROR(IF(SEARCH(F$1,$B151)&gt;0,1,0),0)</f>
        <v>0</v>
      </c>
      <c r="G151" s="7">
        <f t="shared" si="14"/>
        <v>0</v>
      </c>
      <c r="H151" s="7">
        <f t="shared" si="14"/>
        <v>0</v>
      </c>
      <c r="I151" s="8" t="s">
        <v>42</v>
      </c>
      <c r="J151" s="8" t="s">
        <v>43</v>
      </c>
      <c r="K151" s="8" t="str">
        <f>_xlfn.XLOOKUP(J151,Worksheet!$F$1:$F$48,Worksheet!$G$1:$G$48,0)</f>
        <v>Lack of awareness</v>
      </c>
      <c r="L151" s="8" t="s">
        <v>37</v>
      </c>
      <c r="M151" s="8" t="s">
        <v>30</v>
      </c>
      <c r="N151" s="8" t="s">
        <v>51</v>
      </c>
      <c r="O151" s="8">
        <v>5</v>
      </c>
      <c r="P151" s="8" t="s">
        <v>59</v>
      </c>
      <c r="Q151" s="8" t="s">
        <v>63</v>
      </c>
      <c r="R151" s="8" t="s">
        <v>56</v>
      </c>
      <c r="S151" s="8">
        <f t="shared" si="12"/>
        <v>1</v>
      </c>
      <c r="T151" s="8">
        <f t="shared" si="13"/>
        <v>0</v>
      </c>
      <c r="U151" s="8">
        <f t="shared" si="13"/>
        <v>0</v>
      </c>
      <c r="V151" s="8">
        <f t="shared" si="13"/>
        <v>0</v>
      </c>
      <c r="W151" s="8">
        <f t="shared" si="13"/>
        <v>0</v>
      </c>
      <c r="X151" s="8">
        <f t="shared" si="13"/>
        <v>0</v>
      </c>
      <c r="Y151" s="8">
        <f t="shared" si="13"/>
        <v>0</v>
      </c>
      <c r="Z151" s="8">
        <f t="shared" si="13"/>
        <v>0</v>
      </c>
      <c r="AA151" s="8">
        <f t="shared" si="13"/>
        <v>0</v>
      </c>
      <c r="AB151" s="8">
        <f t="shared" si="13"/>
        <v>0</v>
      </c>
      <c r="AC151" s="8" t="s">
        <v>25</v>
      </c>
      <c r="AD151" s="8" t="s">
        <v>23</v>
      </c>
      <c r="AE151" s="8" t="s">
        <v>24</v>
      </c>
      <c r="AF151" s="8" t="s">
        <v>25</v>
      </c>
    </row>
    <row r="152" spans="1:32" x14ac:dyDescent="0.3">
      <c r="A152" s="5">
        <v>151</v>
      </c>
      <c r="B152" s="5" t="s">
        <v>55</v>
      </c>
      <c r="C152" s="5">
        <f t="shared" si="10"/>
        <v>0</v>
      </c>
      <c r="D152" s="5">
        <f t="shared" si="14"/>
        <v>0</v>
      </c>
      <c r="E152" s="5">
        <f t="shared" si="14"/>
        <v>0</v>
      </c>
      <c r="F152" s="5">
        <f t="shared" si="14"/>
        <v>0</v>
      </c>
      <c r="G152" s="5">
        <f t="shared" si="14"/>
        <v>0</v>
      </c>
      <c r="H152" s="5">
        <f t="shared" si="14"/>
        <v>1</v>
      </c>
      <c r="I152" s="6" t="s">
        <v>15</v>
      </c>
      <c r="J152" s="6" t="s">
        <v>83</v>
      </c>
      <c r="K152" s="6" t="str">
        <f>_xlfn.XLOOKUP(J152,Worksheet!$F$1:$F$48,Worksheet!$G$1:$G$48,0)</f>
        <v>Fear</v>
      </c>
      <c r="L152" s="6" t="s">
        <v>17</v>
      </c>
      <c r="M152" s="6" t="s">
        <v>15</v>
      </c>
      <c r="N152" s="6" t="s">
        <v>44</v>
      </c>
      <c r="O152" s="6">
        <v>5</v>
      </c>
      <c r="P152" s="6" t="s">
        <v>45</v>
      </c>
      <c r="Q152" s="6" t="s">
        <v>46</v>
      </c>
      <c r="R152" s="6" t="s">
        <v>197</v>
      </c>
      <c r="S152" s="6">
        <f t="shared" si="12"/>
        <v>1</v>
      </c>
      <c r="T152" s="6">
        <f t="shared" si="13"/>
        <v>0</v>
      </c>
      <c r="U152" s="6">
        <f t="shared" si="13"/>
        <v>0</v>
      </c>
      <c r="V152" s="6">
        <f t="shared" si="13"/>
        <v>1</v>
      </c>
      <c r="W152" s="6">
        <f t="shared" si="13"/>
        <v>1</v>
      </c>
      <c r="X152" s="6">
        <f t="shared" si="13"/>
        <v>1</v>
      </c>
      <c r="Y152" s="6">
        <f t="shared" si="13"/>
        <v>0</v>
      </c>
      <c r="Z152" s="6">
        <f t="shared" si="13"/>
        <v>0</v>
      </c>
      <c r="AA152" s="6">
        <f t="shared" si="13"/>
        <v>0</v>
      </c>
      <c r="AB152" s="6">
        <f t="shared" si="13"/>
        <v>0</v>
      </c>
      <c r="AC152" s="6" t="s">
        <v>21</v>
      </c>
      <c r="AD152" s="6" t="s">
        <v>34</v>
      </c>
      <c r="AE152" s="6" t="s">
        <v>24</v>
      </c>
      <c r="AF152" s="6" t="s">
        <v>25</v>
      </c>
    </row>
    <row r="153" spans="1:32" x14ac:dyDescent="0.3">
      <c r="A153" s="7">
        <v>152</v>
      </c>
      <c r="B153" s="7" t="s">
        <v>61</v>
      </c>
      <c r="C153" s="7">
        <f t="shared" si="10"/>
        <v>1</v>
      </c>
      <c r="D153" s="7">
        <f t="shared" si="14"/>
        <v>1</v>
      </c>
      <c r="E153" s="7">
        <f t="shared" si="14"/>
        <v>0</v>
      </c>
      <c r="F153" s="7">
        <f t="shared" si="14"/>
        <v>0</v>
      </c>
      <c r="G153" s="7">
        <f t="shared" si="14"/>
        <v>1</v>
      </c>
      <c r="H153" s="7">
        <f t="shared" si="14"/>
        <v>1</v>
      </c>
      <c r="I153" s="8" t="s">
        <v>15</v>
      </c>
      <c r="J153" s="8" t="s">
        <v>43</v>
      </c>
      <c r="K153" s="8" t="str">
        <f>_xlfn.XLOOKUP(J153,Worksheet!$F$1:$F$48,Worksheet!$G$1:$G$48,0)</f>
        <v>Lack of awareness</v>
      </c>
      <c r="L153" s="8" t="s">
        <v>50</v>
      </c>
      <c r="M153" s="8" t="s">
        <v>49</v>
      </c>
      <c r="N153" s="8" t="s">
        <v>51</v>
      </c>
      <c r="O153" s="8">
        <v>4</v>
      </c>
      <c r="P153" s="8" t="s">
        <v>45</v>
      </c>
      <c r="Q153" s="8" t="s">
        <v>63</v>
      </c>
      <c r="R153" s="8" t="s">
        <v>67</v>
      </c>
      <c r="S153" s="8">
        <f t="shared" si="12"/>
        <v>1</v>
      </c>
      <c r="T153" s="8">
        <f t="shared" si="13"/>
        <v>1</v>
      </c>
      <c r="U153" s="8">
        <f t="shared" si="13"/>
        <v>1</v>
      </c>
      <c r="V153" s="8">
        <f t="shared" si="13"/>
        <v>1</v>
      </c>
      <c r="W153" s="8">
        <f t="shared" si="13"/>
        <v>1</v>
      </c>
      <c r="X153" s="8">
        <f t="shared" si="13"/>
        <v>1</v>
      </c>
      <c r="Y153" s="8">
        <f t="shared" si="13"/>
        <v>1</v>
      </c>
      <c r="Z153" s="8">
        <f t="shared" si="13"/>
        <v>1</v>
      </c>
      <c r="AA153" s="8">
        <f t="shared" si="13"/>
        <v>1</v>
      </c>
      <c r="AB153" s="8">
        <f t="shared" si="13"/>
        <v>1</v>
      </c>
      <c r="AC153" s="8" t="s">
        <v>21</v>
      </c>
      <c r="AD153" s="8" t="s">
        <v>23</v>
      </c>
      <c r="AE153" s="8" t="s">
        <v>24</v>
      </c>
      <c r="AF153" s="8" t="s">
        <v>48</v>
      </c>
    </row>
    <row r="154" spans="1:32" x14ac:dyDescent="0.3">
      <c r="A154" s="5">
        <v>153</v>
      </c>
      <c r="B154" s="5" t="s">
        <v>162</v>
      </c>
      <c r="C154" s="5">
        <f t="shared" si="10"/>
        <v>1</v>
      </c>
      <c r="D154" s="5">
        <f t="shared" si="14"/>
        <v>0</v>
      </c>
      <c r="E154" s="5">
        <f t="shared" si="14"/>
        <v>0</v>
      </c>
      <c r="F154" s="5">
        <f t="shared" si="14"/>
        <v>0</v>
      </c>
      <c r="G154" s="5">
        <f t="shared" si="14"/>
        <v>0</v>
      </c>
      <c r="H154" s="5">
        <f t="shared" si="14"/>
        <v>1</v>
      </c>
      <c r="I154" s="6" t="s">
        <v>15</v>
      </c>
      <c r="J154" s="6" t="s">
        <v>43</v>
      </c>
      <c r="K154" s="6" t="str">
        <f>_xlfn.XLOOKUP(J154,Worksheet!$F$1:$F$48,Worksheet!$G$1:$G$48,0)</f>
        <v>Lack of awareness</v>
      </c>
      <c r="L154" s="6" t="s">
        <v>37</v>
      </c>
      <c r="M154" s="6" t="s">
        <v>15</v>
      </c>
      <c r="N154" s="6" t="s">
        <v>51</v>
      </c>
      <c r="O154" s="6">
        <v>2</v>
      </c>
      <c r="P154" s="6" t="s">
        <v>45</v>
      </c>
      <c r="Q154" s="6" t="s">
        <v>46</v>
      </c>
      <c r="R154" s="6" t="s">
        <v>67</v>
      </c>
      <c r="S154" s="6">
        <f t="shared" si="12"/>
        <v>1</v>
      </c>
      <c r="T154" s="6">
        <f t="shared" si="13"/>
        <v>1</v>
      </c>
      <c r="U154" s="6">
        <f t="shared" si="13"/>
        <v>1</v>
      </c>
      <c r="V154" s="6">
        <f t="shared" si="13"/>
        <v>1</v>
      </c>
      <c r="W154" s="6">
        <f t="shared" si="13"/>
        <v>1</v>
      </c>
      <c r="X154" s="6">
        <f t="shared" si="13"/>
        <v>1</v>
      </c>
      <c r="Y154" s="6">
        <f t="shared" si="13"/>
        <v>1</v>
      </c>
      <c r="Z154" s="6">
        <f t="shared" si="13"/>
        <v>1</v>
      </c>
      <c r="AA154" s="6">
        <f t="shared" si="13"/>
        <v>1</v>
      </c>
      <c r="AB154" s="6">
        <f t="shared" si="13"/>
        <v>1</v>
      </c>
      <c r="AC154" s="6" t="s">
        <v>25</v>
      </c>
      <c r="AD154" s="6" t="s">
        <v>34</v>
      </c>
      <c r="AE154" s="6" t="s">
        <v>24</v>
      </c>
      <c r="AF154" s="6" t="s">
        <v>25</v>
      </c>
    </row>
    <row r="155" spans="1:32" x14ac:dyDescent="0.3">
      <c r="A155" s="7">
        <v>154</v>
      </c>
      <c r="B155" s="7" t="s">
        <v>100</v>
      </c>
      <c r="C155" s="7">
        <f t="shared" si="10"/>
        <v>1</v>
      </c>
      <c r="D155" s="7">
        <f t="shared" si="14"/>
        <v>0</v>
      </c>
      <c r="E155" s="7">
        <f t="shared" si="14"/>
        <v>0</v>
      </c>
      <c r="F155" s="7">
        <f t="shared" si="14"/>
        <v>0</v>
      </c>
      <c r="G155" s="7">
        <f t="shared" si="14"/>
        <v>0</v>
      </c>
      <c r="H155" s="7">
        <f t="shared" si="14"/>
        <v>0</v>
      </c>
      <c r="I155" s="8" t="s">
        <v>49</v>
      </c>
      <c r="J155" s="8" t="s">
        <v>43</v>
      </c>
      <c r="K155" s="8" t="str">
        <f>_xlfn.XLOOKUP(J155,Worksheet!$F$1:$F$48,Worksheet!$G$1:$G$48,0)</f>
        <v>Lack of awareness</v>
      </c>
      <c r="L155" s="8" t="s">
        <v>50</v>
      </c>
      <c r="M155" s="8" t="s">
        <v>30</v>
      </c>
      <c r="N155" s="8" t="s">
        <v>51</v>
      </c>
      <c r="O155" s="8">
        <v>1</v>
      </c>
      <c r="P155" s="8" t="s">
        <v>45</v>
      </c>
      <c r="Q155" s="8" t="s">
        <v>52</v>
      </c>
      <c r="R155" s="8" t="s">
        <v>47</v>
      </c>
      <c r="S155" s="8">
        <f t="shared" si="12"/>
        <v>0</v>
      </c>
      <c r="T155" s="8">
        <f t="shared" si="13"/>
        <v>0</v>
      </c>
      <c r="U155" s="8">
        <f t="shared" si="13"/>
        <v>1</v>
      </c>
      <c r="V155" s="8">
        <f t="shared" si="13"/>
        <v>0</v>
      </c>
      <c r="W155" s="8">
        <f t="shared" si="13"/>
        <v>0</v>
      </c>
      <c r="X155" s="8">
        <f t="shared" si="13"/>
        <v>0</v>
      </c>
      <c r="Y155" s="8">
        <f t="shared" si="13"/>
        <v>0</v>
      </c>
      <c r="Z155" s="8">
        <f t="shared" si="13"/>
        <v>0</v>
      </c>
      <c r="AA155" s="8">
        <f t="shared" si="13"/>
        <v>0</v>
      </c>
      <c r="AB155" s="8">
        <f t="shared" si="13"/>
        <v>0</v>
      </c>
      <c r="AC155" s="8" t="s">
        <v>25</v>
      </c>
      <c r="AD155" s="8" t="s">
        <v>23</v>
      </c>
      <c r="AE155" s="8" t="s">
        <v>54</v>
      </c>
      <c r="AF155" s="8" t="s">
        <v>25</v>
      </c>
    </row>
    <row r="156" spans="1:32" x14ac:dyDescent="0.3">
      <c r="A156" s="5">
        <v>155</v>
      </c>
      <c r="B156" s="5" t="s">
        <v>55</v>
      </c>
      <c r="C156" s="5">
        <f t="shared" si="10"/>
        <v>0</v>
      </c>
      <c r="D156" s="5">
        <f t="shared" si="14"/>
        <v>0</v>
      </c>
      <c r="E156" s="5">
        <f t="shared" si="14"/>
        <v>0</v>
      </c>
      <c r="F156" s="5">
        <f t="shared" si="14"/>
        <v>0</v>
      </c>
      <c r="G156" s="5">
        <f t="shared" si="14"/>
        <v>0</v>
      </c>
      <c r="H156" s="5">
        <f t="shared" si="14"/>
        <v>1</v>
      </c>
      <c r="I156" s="6" t="s">
        <v>27</v>
      </c>
      <c r="J156" s="6" t="s">
        <v>43</v>
      </c>
      <c r="K156" s="6" t="str">
        <f>_xlfn.XLOOKUP(J156,Worksheet!$F$1:$F$48,Worksheet!$G$1:$G$48,0)</f>
        <v>Lack of awareness</v>
      </c>
      <c r="L156" s="6" t="s">
        <v>29</v>
      </c>
      <c r="M156" s="6" t="s">
        <v>102</v>
      </c>
      <c r="N156" s="6" t="s">
        <v>58</v>
      </c>
      <c r="O156" s="6">
        <v>4</v>
      </c>
      <c r="P156" s="6" t="s">
        <v>45</v>
      </c>
      <c r="Q156" s="6" t="s">
        <v>63</v>
      </c>
      <c r="R156" s="6" t="s">
        <v>198</v>
      </c>
      <c r="S156" s="6">
        <f t="shared" si="12"/>
        <v>0</v>
      </c>
      <c r="T156" s="6">
        <f t="shared" si="13"/>
        <v>1</v>
      </c>
      <c r="U156" s="6">
        <f t="shared" si="13"/>
        <v>0</v>
      </c>
      <c r="V156" s="6">
        <f t="shared" si="13"/>
        <v>0</v>
      </c>
      <c r="W156" s="6">
        <f t="shared" si="13"/>
        <v>0</v>
      </c>
      <c r="X156" s="6">
        <f t="shared" si="13"/>
        <v>1</v>
      </c>
      <c r="Y156" s="6">
        <f t="shared" si="13"/>
        <v>1</v>
      </c>
      <c r="Z156" s="6">
        <f t="shared" si="13"/>
        <v>1</v>
      </c>
      <c r="AA156" s="6">
        <f t="shared" si="13"/>
        <v>1</v>
      </c>
      <c r="AB156" s="6">
        <f t="shared" si="13"/>
        <v>1</v>
      </c>
      <c r="AC156" s="6" t="s">
        <v>21</v>
      </c>
      <c r="AD156" s="6" t="s">
        <v>34</v>
      </c>
      <c r="AE156" s="6" t="s">
        <v>24</v>
      </c>
      <c r="AF156" s="6" t="s">
        <v>82</v>
      </c>
    </row>
    <row r="157" spans="1:32" x14ac:dyDescent="0.3">
      <c r="A157" s="7">
        <v>156</v>
      </c>
      <c r="B157" s="7" t="s">
        <v>41</v>
      </c>
      <c r="C157" s="7">
        <f t="shared" si="10"/>
        <v>0</v>
      </c>
      <c r="D157" s="7">
        <f t="shared" si="14"/>
        <v>0</v>
      </c>
      <c r="E157" s="7">
        <f t="shared" si="14"/>
        <v>0</v>
      </c>
      <c r="F157" s="7">
        <f t="shared" si="14"/>
        <v>0</v>
      </c>
      <c r="G157" s="7">
        <f t="shared" si="14"/>
        <v>1</v>
      </c>
      <c r="H157" s="7">
        <f t="shared" si="14"/>
        <v>0</v>
      </c>
      <c r="I157" s="8" t="s">
        <v>49</v>
      </c>
      <c r="J157" s="8" t="s">
        <v>83</v>
      </c>
      <c r="K157" s="8" t="str">
        <f>_xlfn.XLOOKUP(J157,Worksheet!$F$1:$F$48,Worksheet!$G$1:$G$48,0)</f>
        <v>Fear</v>
      </c>
      <c r="L157" s="8" t="s">
        <v>50</v>
      </c>
      <c r="M157" s="8" t="s">
        <v>102</v>
      </c>
      <c r="N157" s="8" t="s">
        <v>51</v>
      </c>
      <c r="O157" s="8">
        <v>4</v>
      </c>
      <c r="P157" s="8" t="s">
        <v>45</v>
      </c>
      <c r="Q157" s="8" t="s">
        <v>52</v>
      </c>
      <c r="R157" s="8" t="s">
        <v>39</v>
      </c>
      <c r="S157" s="8">
        <f t="shared" si="12"/>
        <v>0</v>
      </c>
      <c r="T157" s="8">
        <f t="shared" si="13"/>
        <v>0</v>
      </c>
      <c r="U157" s="8">
        <f t="shared" si="13"/>
        <v>0</v>
      </c>
      <c r="V157" s="8">
        <f t="shared" si="13"/>
        <v>0</v>
      </c>
      <c r="W157" s="8">
        <f t="shared" si="13"/>
        <v>1</v>
      </c>
      <c r="X157" s="8">
        <f t="shared" si="13"/>
        <v>0</v>
      </c>
      <c r="Y157" s="8">
        <f t="shared" si="13"/>
        <v>0</v>
      </c>
      <c r="Z157" s="8">
        <f t="shared" si="13"/>
        <v>0</v>
      </c>
      <c r="AA157" s="8">
        <f t="shared" si="13"/>
        <v>0</v>
      </c>
      <c r="AB157" s="8">
        <f t="shared" si="13"/>
        <v>0</v>
      </c>
      <c r="AC157" s="8" t="s">
        <v>21</v>
      </c>
      <c r="AD157" s="8" t="s">
        <v>34</v>
      </c>
      <c r="AE157" s="8" t="s">
        <v>113</v>
      </c>
      <c r="AF157" s="8" t="s">
        <v>25</v>
      </c>
    </row>
    <row r="158" spans="1:32" x14ac:dyDescent="0.3">
      <c r="A158" s="5">
        <v>157</v>
      </c>
      <c r="B158" s="5" t="s">
        <v>75</v>
      </c>
      <c r="C158" s="5">
        <f t="shared" si="10"/>
        <v>1</v>
      </c>
      <c r="D158" s="5">
        <f t="shared" si="14"/>
        <v>1</v>
      </c>
      <c r="E158" s="5">
        <f t="shared" si="14"/>
        <v>0</v>
      </c>
      <c r="F158" s="5">
        <f t="shared" si="14"/>
        <v>0</v>
      </c>
      <c r="G158" s="5">
        <f t="shared" si="14"/>
        <v>0</v>
      </c>
      <c r="H158" s="5">
        <f t="shared" si="14"/>
        <v>1</v>
      </c>
      <c r="I158" s="6" t="s">
        <v>27</v>
      </c>
      <c r="J158" s="6" t="s">
        <v>43</v>
      </c>
      <c r="K158" s="6" t="str">
        <f>_xlfn.XLOOKUP(J158,Worksheet!$F$1:$F$48,Worksheet!$G$1:$G$48,0)</f>
        <v>Lack of awareness</v>
      </c>
      <c r="L158" s="6" t="s">
        <v>356</v>
      </c>
      <c r="M158" s="6" t="s">
        <v>15</v>
      </c>
      <c r="N158" s="6" t="s">
        <v>70</v>
      </c>
      <c r="O158" s="6">
        <v>5</v>
      </c>
      <c r="P158" s="6" t="s">
        <v>45</v>
      </c>
      <c r="Q158" s="6" t="s">
        <v>63</v>
      </c>
      <c r="R158" s="6" t="s">
        <v>109</v>
      </c>
      <c r="S158" s="6">
        <f t="shared" si="12"/>
        <v>1</v>
      </c>
      <c r="T158" s="6">
        <f t="shared" si="13"/>
        <v>1</v>
      </c>
      <c r="U158" s="6">
        <f t="shared" si="13"/>
        <v>0</v>
      </c>
      <c r="V158" s="6">
        <f t="shared" si="13"/>
        <v>1</v>
      </c>
      <c r="W158" s="6">
        <f t="shared" si="13"/>
        <v>1</v>
      </c>
      <c r="X158" s="6">
        <f t="shared" si="13"/>
        <v>0</v>
      </c>
      <c r="Y158" s="6">
        <f t="shared" si="13"/>
        <v>1</v>
      </c>
      <c r="Z158" s="6">
        <f t="shared" si="13"/>
        <v>1</v>
      </c>
      <c r="AA158" s="6">
        <f t="shared" si="13"/>
        <v>0</v>
      </c>
      <c r="AB158" s="6">
        <f t="shared" si="13"/>
        <v>0</v>
      </c>
      <c r="AC158" s="6" t="s">
        <v>21</v>
      </c>
      <c r="AD158" s="6" t="s">
        <v>34</v>
      </c>
      <c r="AE158" s="6" t="s">
        <v>24</v>
      </c>
      <c r="AF158" s="6" t="s">
        <v>25</v>
      </c>
    </row>
    <row r="159" spans="1:32" x14ac:dyDescent="0.3">
      <c r="A159" s="7">
        <v>158</v>
      </c>
      <c r="B159" s="7" t="s">
        <v>41</v>
      </c>
      <c r="C159" s="7">
        <f t="shared" si="10"/>
        <v>0</v>
      </c>
      <c r="D159" s="7">
        <f t="shared" si="14"/>
        <v>0</v>
      </c>
      <c r="E159" s="7">
        <f t="shared" si="14"/>
        <v>0</v>
      </c>
      <c r="F159" s="7">
        <f t="shared" si="14"/>
        <v>0</v>
      </c>
      <c r="G159" s="7">
        <f t="shared" si="14"/>
        <v>1</v>
      </c>
      <c r="H159" s="7">
        <f t="shared" si="14"/>
        <v>0</v>
      </c>
      <c r="I159" s="8" t="s">
        <v>15</v>
      </c>
      <c r="J159" s="8" t="s">
        <v>83</v>
      </c>
      <c r="K159" s="8" t="str">
        <f>_xlfn.XLOOKUP(J159,Worksheet!$F$1:$F$48,Worksheet!$G$1:$G$48,0)</f>
        <v>Fear</v>
      </c>
      <c r="L159" s="8" t="s">
        <v>50</v>
      </c>
      <c r="M159" s="8" t="s">
        <v>15</v>
      </c>
      <c r="N159" s="8" t="s">
        <v>44</v>
      </c>
      <c r="O159" s="8">
        <v>3</v>
      </c>
      <c r="P159" s="8" t="s">
        <v>45</v>
      </c>
      <c r="Q159" s="8" t="s">
        <v>46</v>
      </c>
      <c r="R159" s="8" t="s">
        <v>56</v>
      </c>
      <c r="S159" s="8">
        <f t="shared" si="12"/>
        <v>1</v>
      </c>
      <c r="T159" s="8">
        <f t="shared" si="13"/>
        <v>0</v>
      </c>
      <c r="U159" s="8">
        <f t="shared" si="13"/>
        <v>0</v>
      </c>
      <c r="V159" s="8">
        <f t="shared" si="13"/>
        <v>0</v>
      </c>
      <c r="W159" s="8">
        <f t="shared" si="13"/>
        <v>0</v>
      </c>
      <c r="X159" s="8">
        <f t="shared" si="13"/>
        <v>0</v>
      </c>
      <c r="Y159" s="8">
        <f t="shared" si="13"/>
        <v>0</v>
      </c>
      <c r="Z159" s="8">
        <f t="shared" si="13"/>
        <v>0</v>
      </c>
      <c r="AA159" s="8">
        <f t="shared" si="13"/>
        <v>0</v>
      </c>
      <c r="AB159" s="8">
        <f t="shared" si="13"/>
        <v>0</v>
      </c>
      <c r="AC159" s="8" t="s">
        <v>25</v>
      </c>
      <c r="AD159" s="8" t="s">
        <v>34</v>
      </c>
      <c r="AE159" s="8" t="s">
        <v>24</v>
      </c>
      <c r="AF159" s="8" t="s">
        <v>48</v>
      </c>
    </row>
    <row r="160" spans="1:32" x14ac:dyDescent="0.3">
      <c r="A160" s="5">
        <v>159</v>
      </c>
      <c r="B160" s="5" t="s">
        <v>68</v>
      </c>
      <c r="C160" s="5">
        <f t="shared" si="10"/>
        <v>0</v>
      </c>
      <c r="D160" s="5">
        <f t="shared" si="14"/>
        <v>1</v>
      </c>
      <c r="E160" s="5">
        <f t="shared" si="14"/>
        <v>0</v>
      </c>
      <c r="F160" s="5">
        <f t="shared" si="14"/>
        <v>0</v>
      </c>
      <c r="G160" s="5">
        <f t="shared" si="14"/>
        <v>0</v>
      </c>
      <c r="H160" s="5">
        <f t="shared" si="14"/>
        <v>0</v>
      </c>
      <c r="I160" s="6" t="s">
        <v>27</v>
      </c>
      <c r="J160" s="6" t="s">
        <v>43</v>
      </c>
      <c r="K160" s="6" t="str">
        <f>_xlfn.XLOOKUP(J160,Worksheet!$F$1:$F$48,Worksheet!$G$1:$G$48,0)</f>
        <v>Lack of awareness</v>
      </c>
      <c r="L160" s="6" t="s">
        <v>356</v>
      </c>
      <c r="M160" s="6" t="s">
        <v>30</v>
      </c>
      <c r="N160" s="6" t="s">
        <v>51</v>
      </c>
      <c r="O160" s="6">
        <v>5</v>
      </c>
      <c r="P160" s="6" t="s">
        <v>45</v>
      </c>
      <c r="Q160" s="6" t="s">
        <v>63</v>
      </c>
      <c r="R160" s="6" t="s">
        <v>199</v>
      </c>
      <c r="S160" s="6">
        <f t="shared" si="12"/>
        <v>1</v>
      </c>
      <c r="T160" s="6">
        <f t="shared" si="13"/>
        <v>1</v>
      </c>
      <c r="U160" s="6">
        <f t="shared" si="13"/>
        <v>0</v>
      </c>
      <c r="V160" s="6">
        <f t="shared" si="13"/>
        <v>0</v>
      </c>
      <c r="W160" s="6">
        <f t="shared" si="13"/>
        <v>1</v>
      </c>
      <c r="X160" s="6">
        <f t="shared" si="13"/>
        <v>0</v>
      </c>
      <c r="Y160" s="6">
        <f t="shared" si="13"/>
        <v>0</v>
      </c>
      <c r="Z160" s="6">
        <f t="shared" si="13"/>
        <v>0</v>
      </c>
      <c r="AA160" s="6">
        <f t="shared" si="13"/>
        <v>0</v>
      </c>
      <c r="AB160" s="6">
        <f t="shared" si="13"/>
        <v>1</v>
      </c>
      <c r="AC160" s="6" t="s">
        <v>21</v>
      </c>
      <c r="AD160" s="6" t="s">
        <v>23</v>
      </c>
      <c r="AE160" s="6" t="s">
        <v>113</v>
      </c>
      <c r="AF160" s="6" t="s">
        <v>48</v>
      </c>
    </row>
    <row r="161" spans="1:32" x14ac:dyDescent="0.3">
      <c r="A161" s="7">
        <v>160</v>
      </c>
      <c r="B161" s="7" t="s">
        <v>68</v>
      </c>
      <c r="C161" s="7">
        <f t="shared" si="10"/>
        <v>0</v>
      </c>
      <c r="D161" s="7">
        <f t="shared" si="14"/>
        <v>1</v>
      </c>
      <c r="E161" s="7">
        <f t="shared" si="14"/>
        <v>0</v>
      </c>
      <c r="F161" s="7">
        <f t="shared" si="14"/>
        <v>0</v>
      </c>
      <c r="G161" s="7">
        <f t="shared" si="14"/>
        <v>0</v>
      </c>
      <c r="H161" s="7">
        <f t="shared" si="14"/>
        <v>0</v>
      </c>
      <c r="I161" s="8" t="s">
        <v>49</v>
      </c>
      <c r="J161" s="8" t="s">
        <v>43</v>
      </c>
      <c r="K161" s="8" t="str">
        <f>_xlfn.XLOOKUP(J161,Worksheet!$F$1:$F$48,Worksheet!$G$1:$G$48,0)</f>
        <v>Lack of awareness</v>
      </c>
      <c r="L161" s="8" t="s">
        <v>356</v>
      </c>
      <c r="M161" s="8" t="s">
        <v>30</v>
      </c>
      <c r="N161" s="8" t="s">
        <v>51</v>
      </c>
      <c r="O161" s="8">
        <v>3</v>
      </c>
      <c r="P161" s="8" t="s">
        <v>45</v>
      </c>
      <c r="Q161" s="8" t="s">
        <v>52</v>
      </c>
      <c r="R161" s="8" t="s">
        <v>185</v>
      </c>
      <c r="S161" s="8">
        <f t="shared" si="12"/>
        <v>1</v>
      </c>
      <c r="T161" s="8">
        <f t="shared" si="13"/>
        <v>1</v>
      </c>
      <c r="U161" s="8">
        <f t="shared" si="13"/>
        <v>0</v>
      </c>
      <c r="V161" s="8">
        <f t="shared" si="13"/>
        <v>1</v>
      </c>
      <c r="W161" s="8">
        <f t="shared" si="13"/>
        <v>1</v>
      </c>
      <c r="X161" s="8">
        <f t="shared" si="13"/>
        <v>0</v>
      </c>
      <c r="Y161" s="8">
        <f t="shared" si="13"/>
        <v>0</v>
      </c>
      <c r="Z161" s="8">
        <f t="shared" si="13"/>
        <v>0</v>
      </c>
      <c r="AA161" s="8">
        <f t="shared" si="13"/>
        <v>0</v>
      </c>
      <c r="AB161" s="8">
        <f t="shared" si="13"/>
        <v>0</v>
      </c>
      <c r="AC161" s="8" t="s">
        <v>25</v>
      </c>
      <c r="AD161" s="8" t="s">
        <v>34</v>
      </c>
      <c r="AE161" s="8" t="s">
        <v>24</v>
      </c>
      <c r="AF161" s="8" t="s">
        <v>25</v>
      </c>
    </row>
    <row r="162" spans="1:32" x14ac:dyDescent="0.3">
      <c r="A162" s="5">
        <v>161</v>
      </c>
      <c r="B162" s="5" t="s">
        <v>61</v>
      </c>
      <c r="C162" s="5">
        <f t="shared" si="10"/>
        <v>1</v>
      </c>
      <c r="D162" s="5">
        <f t="shared" si="14"/>
        <v>1</v>
      </c>
      <c r="E162" s="5">
        <f t="shared" si="14"/>
        <v>0</v>
      </c>
      <c r="F162" s="5">
        <f t="shared" si="14"/>
        <v>0</v>
      </c>
      <c r="G162" s="5">
        <f t="shared" si="14"/>
        <v>1</v>
      </c>
      <c r="H162" s="5">
        <f t="shared" si="14"/>
        <v>1</v>
      </c>
      <c r="I162" s="6" t="s">
        <v>49</v>
      </c>
      <c r="J162" s="6" t="s">
        <v>200</v>
      </c>
      <c r="K162" s="6" t="str">
        <f>_xlfn.XLOOKUP(J162,Worksheet!$F$1:$F$48,Worksheet!$G$1:$G$48,0)</f>
        <v>No need</v>
      </c>
      <c r="L162" s="6" t="s">
        <v>50</v>
      </c>
      <c r="M162" s="6" t="s">
        <v>49</v>
      </c>
      <c r="N162" s="6" t="s">
        <v>51</v>
      </c>
      <c r="O162" s="6">
        <v>5</v>
      </c>
      <c r="P162" s="6" t="s">
        <v>45</v>
      </c>
      <c r="Q162" s="6" t="s">
        <v>63</v>
      </c>
      <c r="R162" s="6" t="s">
        <v>201</v>
      </c>
      <c r="S162" s="6">
        <f t="shared" si="12"/>
        <v>0</v>
      </c>
      <c r="T162" s="6">
        <f t="shared" si="13"/>
        <v>0</v>
      </c>
      <c r="U162" s="6">
        <f t="shared" si="13"/>
        <v>0</v>
      </c>
      <c r="V162" s="6">
        <f t="shared" si="13"/>
        <v>0</v>
      </c>
      <c r="W162" s="6">
        <f t="shared" si="13"/>
        <v>0</v>
      </c>
      <c r="X162" s="6">
        <f t="shared" si="13"/>
        <v>0</v>
      </c>
      <c r="Y162" s="6">
        <f t="shared" si="13"/>
        <v>0</v>
      </c>
      <c r="Z162" s="6">
        <f t="shared" si="13"/>
        <v>0</v>
      </c>
      <c r="AA162" s="6">
        <f t="shared" si="13"/>
        <v>0</v>
      </c>
      <c r="AB162" s="6">
        <f t="shared" si="13"/>
        <v>0</v>
      </c>
      <c r="AC162" s="6" t="s">
        <v>21</v>
      </c>
      <c r="AD162" s="6" t="s">
        <v>34</v>
      </c>
      <c r="AE162" s="6" t="s">
        <v>24</v>
      </c>
      <c r="AF162" s="6" t="s">
        <v>25</v>
      </c>
    </row>
    <row r="163" spans="1:32" x14ac:dyDescent="0.3">
      <c r="A163" s="7">
        <v>162</v>
      </c>
      <c r="B163" s="7" t="s">
        <v>100</v>
      </c>
      <c r="C163" s="7">
        <f t="shared" si="10"/>
        <v>1</v>
      </c>
      <c r="D163" s="7">
        <f t="shared" si="14"/>
        <v>0</v>
      </c>
      <c r="E163" s="7">
        <f t="shared" si="14"/>
        <v>0</v>
      </c>
      <c r="F163" s="7">
        <f t="shared" si="14"/>
        <v>0</v>
      </c>
      <c r="G163" s="7">
        <f t="shared" si="14"/>
        <v>0</v>
      </c>
      <c r="H163" s="7">
        <f t="shared" si="14"/>
        <v>0</v>
      </c>
      <c r="I163" s="8" t="s">
        <v>15</v>
      </c>
      <c r="J163" s="8" t="s">
        <v>83</v>
      </c>
      <c r="K163" s="8" t="str">
        <f>_xlfn.XLOOKUP(J163,Worksheet!$F$1:$F$48,Worksheet!$G$1:$G$48,0)</f>
        <v>Fear</v>
      </c>
      <c r="L163" s="8" t="s">
        <v>37</v>
      </c>
      <c r="M163" s="8" t="s">
        <v>30</v>
      </c>
      <c r="N163" s="8" t="s">
        <v>51</v>
      </c>
      <c r="O163" s="8">
        <v>4</v>
      </c>
      <c r="P163" s="8" t="s">
        <v>45</v>
      </c>
      <c r="Q163" s="8" t="s">
        <v>52</v>
      </c>
      <c r="R163" s="8" t="s">
        <v>202</v>
      </c>
      <c r="S163" s="8">
        <f t="shared" si="12"/>
        <v>0</v>
      </c>
      <c r="T163" s="8">
        <f t="shared" si="13"/>
        <v>1</v>
      </c>
      <c r="U163" s="8">
        <f t="shared" si="13"/>
        <v>0</v>
      </c>
      <c r="V163" s="8">
        <f t="shared" si="13"/>
        <v>1</v>
      </c>
      <c r="W163" s="8">
        <f t="shared" si="13"/>
        <v>1</v>
      </c>
      <c r="X163" s="8">
        <f t="shared" si="13"/>
        <v>0</v>
      </c>
      <c r="Y163" s="8">
        <f t="shared" si="13"/>
        <v>0</v>
      </c>
      <c r="Z163" s="8">
        <f t="shared" si="13"/>
        <v>1</v>
      </c>
      <c r="AA163" s="8">
        <f t="shared" si="13"/>
        <v>0</v>
      </c>
      <c r="AB163" s="8">
        <f t="shared" si="13"/>
        <v>0</v>
      </c>
      <c r="AC163" s="8" t="s">
        <v>21</v>
      </c>
      <c r="AD163" s="8" t="s">
        <v>34</v>
      </c>
      <c r="AE163" s="8" t="s">
        <v>24</v>
      </c>
      <c r="AF163" s="8" t="s">
        <v>21</v>
      </c>
    </row>
    <row r="164" spans="1:32" x14ac:dyDescent="0.3">
      <c r="A164" s="5">
        <v>163</v>
      </c>
      <c r="B164" s="5" t="s">
        <v>340</v>
      </c>
      <c r="C164" s="5">
        <f t="shared" si="10"/>
        <v>0</v>
      </c>
      <c r="D164" s="5">
        <f t="shared" si="14"/>
        <v>0</v>
      </c>
      <c r="E164" s="5">
        <f t="shared" si="14"/>
        <v>1</v>
      </c>
      <c r="F164" s="5">
        <f t="shared" si="14"/>
        <v>0</v>
      </c>
      <c r="G164" s="5">
        <f t="shared" si="14"/>
        <v>0</v>
      </c>
      <c r="H164" s="5">
        <f t="shared" si="14"/>
        <v>0</v>
      </c>
      <c r="I164" s="6" t="s">
        <v>49</v>
      </c>
      <c r="J164" s="6" t="s">
        <v>43</v>
      </c>
      <c r="K164" s="6" t="str">
        <f>_xlfn.XLOOKUP(J164,Worksheet!$F$1:$F$48,Worksheet!$G$1:$G$48,0)</f>
        <v>Lack of awareness</v>
      </c>
      <c r="L164" s="6" t="s">
        <v>37</v>
      </c>
      <c r="M164" s="6" t="s">
        <v>30</v>
      </c>
      <c r="N164" s="6" t="s">
        <v>58</v>
      </c>
      <c r="O164" s="6">
        <v>4</v>
      </c>
      <c r="P164" s="6" t="s">
        <v>45</v>
      </c>
      <c r="Q164" s="6" t="s">
        <v>63</v>
      </c>
      <c r="R164" s="6" t="s">
        <v>179</v>
      </c>
      <c r="S164" s="6">
        <f t="shared" si="12"/>
        <v>1</v>
      </c>
      <c r="T164" s="6">
        <f t="shared" si="13"/>
        <v>0</v>
      </c>
      <c r="U164" s="6">
        <f t="shared" si="13"/>
        <v>0</v>
      </c>
      <c r="V164" s="6">
        <f t="shared" si="13"/>
        <v>0</v>
      </c>
      <c r="W164" s="6">
        <f t="shared" si="13"/>
        <v>1</v>
      </c>
      <c r="X164" s="6">
        <f t="shared" si="13"/>
        <v>0</v>
      </c>
      <c r="Y164" s="6">
        <f t="shared" si="13"/>
        <v>1</v>
      </c>
      <c r="Z164" s="6">
        <f t="shared" si="13"/>
        <v>0</v>
      </c>
      <c r="AA164" s="6">
        <f t="shared" si="13"/>
        <v>0</v>
      </c>
      <c r="AB164" s="6">
        <f t="shared" si="13"/>
        <v>0</v>
      </c>
      <c r="AC164" s="6" t="s">
        <v>21</v>
      </c>
      <c r="AD164" s="6" t="s">
        <v>40</v>
      </c>
      <c r="AE164" s="6" t="s">
        <v>24</v>
      </c>
      <c r="AF164" s="6" t="s">
        <v>48</v>
      </c>
    </row>
    <row r="165" spans="1:32" x14ac:dyDescent="0.3">
      <c r="A165" s="7">
        <v>164</v>
      </c>
      <c r="B165" s="7" t="s">
        <v>14</v>
      </c>
      <c r="C165" s="7">
        <f t="shared" ref="C165:C228" si="15">IFERROR(IF(SEARCH(C$1,$B165)&gt;0,1,0),0)</f>
        <v>0</v>
      </c>
      <c r="D165" s="7">
        <f t="shared" si="14"/>
        <v>1</v>
      </c>
      <c r="E165" s="7">
        <f t="shared" si="14"/>
        <v>0</v>
      </c>
      <c r="F165" s="7">
        <f t="shared" si="14"/>
        <v>0</v>
      </c>
      <c r="G165" s="7">
        <f t="shared" si="14"/>
        <v>1</v>
      </c>
      <c r="H165" s="7">
        <f t="shared" si="14"/>
        <v>1</v>
      </c>
      <c r="I165" s="8" t="s">
        <v>15</v>
      </c>
      <c r="J165" s="8" t="s">
        <v>43</v>
      </c>
      <c r="K165" s="8" t="str">
        <f>_xlfn.XLOOKUP(J165,Worksheet!$F$1:$F$48,Worksheet!$G$1:$G$48,0)</f>
        <v>Lack of awareness</v>
      </c>
      <c r="L165" s="8" t="s">
        <v>356</v>
      </c>
      <c r="M165" s="8" t="s">
        <v>49</v>
      </c>
      <c r="N165" s="8" t="s">
        <v>44</v>
      </c>
      <c r="O165" s="8">
        <v>3</v>
      </c>
      <c r="P165" s="8" t="s">
        <v>45</v>
      </c>
      <c r="Q165" s="8" t="s">
        <v>52</v>
      </c>
      <c r="R165" s="8" t="s">
        <v>203</v>
      </c>
      <c r="S165" s="8">
        <f t="shared" si="12"/>
        <v>0</v>
      </c>
      <c r="T165" s="8">
        <f t="shared" si="13"/>
        <v>1</v>
      </c>
      <c r="U165" s="8">
        <f t="shared" si="13"/>
        <v>0</v>
      </c>
      <c r="V165" s="8">
        <f t="shared" si="13"/>
        <v>0</v>
      </c>
      <c r="W165" s="8">
        <f t="shared" si="13"/>
        <v>1</v>
      </c>
      <c r="X165" s="8">
        <f t="shared" si="13"/>
        <v>1</v>
      </c>
      <c r="Y165" s="8">
        <f t="shared" si="13"/>
        <v>1</v>
      </c>
      <c r="Z165" s="8">
        <f t="shared" si="13"/>
        <v>0</v>
      </c>
      <c r="AA165" s="8">
        <f t="shared" si="13"/>
        <v>0</v>
      </c>
      <c r="AB165" s="8">
        <f t="shared" si="13"/>
        <v>0</v>
      </c>
      <c r="AC165" s="8" t="s">
        <v>25</v>
      </c>
      <c r="AD165" s="8" t="s">
        <v>23</v>
      </c>
      <c r="AE165" s="8" t="s">
        <v>24</v>
      </c>
      <c r="AF165" s="8" t="s">
        <v>25</v>
      </c>
    </row>
    <row r="166" spans="1:32" x14ac:dyDescent="0.3">
      <c r="A166" s="5">
        <v>165</v>
      </c>
      <c r="B166" s="5" t="s">
        <v>68</v>
      </c>
      <c r="C166" s="5">
        <f t="shared" si="15"/>
        <v>0</v>
      </c>
      <c r="D166" s="5">
        <f t="shared" si="14"/>
        <v>1</v>
      </c>
      <c r="E166" s="5">
        <f t="shared" si="14"/>
        <v>0</v>
      </c>
      <c r="F166" s="5">
        <f t="shared" si="14"/>
        <v>0</v>
      </c>
      <c r="G166" s="5">
        <f t="shared" si="14"/>
        <v>0</v>
      </c>
      <c r="H166" s="5">
        <f t="shared" si="14"/>
        <v>0</v>
      </c>
      <c r="I166" s="6" t="s">
        <v>15</v>
      </c>
      <c r="J166" s="6" t="s">
        <v>43</v>
      </c>
      <c r="K166" s="6" t="str">
        <f>_xlfn.XLOOKUP(J166,Worksheet!$F$1:$F$48,Worksheet!$G$1:$G$48,0)</f>
        <v>Lack of awareness</v>
      </c>
      <c r="L166" s="6" t="s">
        <v>50</v>
      </c>
      <c r="M166" s="6" t="s">
        <v>49</v>
      </c>
      <c r="N166" s="6" t="s">
        <v>58</v>
      </c>
      <c r="O166" s="6">
        <v>5</v>
      </c>
      <c r="P166" s="6" t="s">
        <v>45</v>
      </c>
      <c r="Q166" s="6" t="s">
        <v>63</v>
      </c>
      <c r="R166" s="6" t="s">
        <v>60</v>
      </c>
      <c r="S166" s="6">
        <f t="shared" si="12"/>
        <v>1</v>
      </c>
      <c r="T166" s="6">
        <f t="shared" si="13"/>
        <v>0</v>
      </c>
      <c r="U166" s="6">
        <f t="shared" si="13"/>
        <v>1</v>
      </c>
      <c r="V166" s="6">
        <f t="shared" si="13"/>
        <v>0</v>
      </c>
      <c r="W166" s="6">
        <f t="shared" si="13"/>
        <v>0</v>
      </c>
      <c r="X166" s="6">
        <f t="shared" si="13"/>
        <v>0</v>
      </c>
      <c r="Y166" s="6">
        <f t="shared" si="13"/>
        <v>0</v>
      </c>
      <c r="Z166" s="6">
        <f t="shared" si="13"/>
        <v>0</v>
      </c>
      <c r="AA166" s="6">
        <f t="shared" si="13"/>
        <v>0</v>
      </c>
      <c r="AB166" s="6">
        <f t="shared" si="13"/>
        <v>0</v>
      </c>
      <c r="AC166" s="6" t="s">
        <v>21</v>
      </c>
      <c r="AD166" s="6" t="s">
        <v>34</v>
      </c>
      <c r="AE166" s="6" t="s">
        <v>24</v>
      </c>
      <c r="AF166" s="6" t="s">
        <v>82</v>
      </c>
    </row>
    <row r="167" spans="1:32" x14ac:dyDescent="0.3">
      <c r="A167" s="7">
        <v>166</v>
      </c>
      <c r="B167" s="7" t="s">
        <v>100</v>
      </c>
      <c r="C167" s="7">
        <f t="shared" si="15"/>
        <v>1</v>
      </c>
      <c r="D167" s="7">
        <f t="shared" si="14"/>
        <v>0</v>
      </c>
      <c r="E167" s="7">
        <f t="shared" si="14"/>
        <v>0</v>
      </c>
      <c r="F167" s="7">
        <f t="shared" si="14"/>
        <v>0</v>
      </c>
      <c r="G167" s="7">
        <f t="shared" si="14"/>
        <v>0</v>
      </c>
      <c r="H167" s="7">
        <f t="shared" si="14"/>
        <v>0</v>
      </c>
      <c r="I167" s="8" t="s">
        <v>15</v>
      </c>
      <c r="J167" s="8" t="s">
        <v>43</v>
      </c>
      <c r="K167" s="8" t="str">
        <f>_xlfn.XLOOKUP(J167,Worksheet!$F$1:$F$48,Worksheet!$G$1:$G$48,0)</f>
        <v>Lack of awareness</v>
      </c>
      <c r="L167" s="8" t="s">
        <v>29</v>
      </c>
      <c r="M167" s="8" t="s">
        <v>15</v>
      </c>
      <c r="N167" s="8" t="s">
        <v>70</v>
      </c>
      <c r="O167" s="8">
        <v>5</v>
      </c>
      <c r="P167" s="8" t="s">
        <v>45</v>
      </c>
      <c r="Q167" s="8" t="s">
        <v>46</v>
      </c>
      <c r="R167" s="8" t="s">
        <v>204</v>
      </c>
      <c r="S167" s="8">
        <f t="shared" si="12"/>
        <v>0</v>
      </c>
      <c r="T167" s="8">
        <f t="shared" si="13"/>
        <v>0</v>
      </c>
      <c r="U167" s="8">
        <f t="shared" si="13"/>
        <v>0</v>
      </c>
      <c r="V167" s="8">
        <f t="shared" si="13"/>
        <v>1</v>
      </c>
      <c r="W167" s="8">
        <f t="shared" si="13"/>
        <v>0</v>
      </c>
      <c r="X167" s="8">
        <f t="shared" si="13"/>
        <v>1</v>
      </c>
      <c r="Y167" s="8">
        <f t="shared" si="13"/>
        <v>0</v>
      </c>
      <c r="Z167" s="8">
        <f t="shared" si="13"/>
        <v>1</v>
      </c>
      <c r="AA167" s="8">
        <f t="shared" si="13"/>
        <v>0</v>
      </c>
      <c r="AB167" s="8">
        <f t="shared" si="13"/>
        <v>0</v>
      </c>
      <c r="AC167" s="8" t="s">
        <v>21</v>
      </c>
      <c r="AD167" s="8" t="s">
        <v>23</v>
      </c>
      <c r="AE167" s="8" t="s">
        <v>24</v>
      </c>
      <c r="AF167" s="8" t="s">
        <v>21</v>
      </c>
    </row>
    <row r="168" spans="1:32" x14ac:dyDescent="0.3">
      <c r="A168" s="5">
        <v>167</v>
      </c>
      <c r="B168" s="5" t="s">
        <v>66</v>
      </c>
      <c r="C168" s="5">
        <f t="shared" si="15"/>
        <v>0</v>
      </c>
      <c r="D168" s="5">
        <f t="shared" si="14"/>
        <v>1</v>
      </c>
      <c r="E168" s="5">
        <f t="shared" si="14"/>
        <v>0</v>
      </c>
      <c r="F168" s="5">
        <f t="shared" si="14"/>
        <v>0</v>
      </c>
      <c r="G168" s="5">
        <f t="shared" si="14"/>
        <v>0</v>
      </c>
      <c r="H168" s="5">
        <f t="shared" si="14"/>
        <v>1</v>
      </c>
      <c r="I168" s="6" t="s">
        <v>49</v>
      </c>
      <c r="J168" s="6" t="s">
        <v>43</v>
      </c>
      <c r="K168" s="6" t="str">
        <f>_xlfn.XLOOKUP(J168,Worksheet!$F$1:$F$48,Worksheet!$G$1:$G$48,0)</f>
        <v>Lack of awareness</v>
      </c>
      <c r="L168" s="6" t="s">
        <v>37</v>
      </c>
      <c r="M168" s="6" t="s">
        <v>15</v>
      </c>
      <c r="N168" s="6" t="s">
        <v>51</v>
      </c>
      <c r="O168" s="6">
        <v>5</v>
      </c>
      <c r="P168" s="6" t="s">
        <v>45</v>
      </c>
      <c r="Q168" s="6" t="s">
        <v>63</v>
      </c>
      <c r="R168" s="6" t="s">
        <v>205</v>
      </c>
      <c r="S168" s="6">
        <f t="shared" si="12"/>
        <v>1</v>
      </c>
      <c r="T168" s="6">
        <f t="shared" si="13"/>
        <v>1</v>
      </c>
      <c r="U168" s="6">
        <f t="shared" si="13"/>
        <v>1</v>
      </c>
      <c r="V168" s="6">
        <f t="shared" si="13"/>
        <v>1</v>
      </c>
      <c r="W168" s="6">
        <f t="shared" si="13"/>
        <v>0</v>
      </c>
      <c r="X168" s="6">
        <f t="shared" si="13"/>
        <v>0</v>
      </c>
      <c r="Y168" s="6">
        <f t="shared" si="13"/>
        <v>0</v>
      </c>
      <c r="Z168" s="6">
        <f t="shared" si="13"/>
        <v>0</v>
      </c>
      <c r="AA168" s="6">
        <f t="shared" si="13"/>
        <v>1</v>
      </c>
      <c r="AB168" s="6">
        <f t="shared" si="13"/>
        <v>0</v>
      </c>
      <c r="AC168" s="6" t="s">
        <v>25</v>
      </c>
      <c r="AD168" s="6" t="s">
        <v>34</v>
      </c>
      <c r="AE168" s="6" t="s">
        <v>24</v>
      </c>
      <c r="AF168" s="6" t="s">
        <v>21</v>
      </c>
    </row>
    <row r="169" spans="1:32" x14ac:dyDescent="0.3">
      <c r="A169" s="7">
        <v>168</v>
      </c>
      <c r="B169" s="7" t="s">
        <v>26</v>
      </c>
      <c r="C169" s="7">
        <f t="shared" si="15"/>
        <v>0</v>
      </c>
      <c r="D169" s="7">
        <f t="shared" si="14"/>
        <v>1</v>
      </c>
      <c r="E169" s="7">
        <f t="shared" si="14"/>
        <v>0</v>
      </c>
      <c r="F169" s="7">
        <f t="shared" si="14"/>
        <v>0</v>
      </c>
      <c r="G169" s="7">
        <f t="shared" si="14"/>
        <v>1</v>
      </c>
      <c r="H169" s="7">
        <f t="shared" si="14"/>
        <v>0</v>
      </c>
      <c r="I169" s="8" t="s">
        <v>27</v>
      </c>
      <c r="J169" s="8" t="s">
        <v>43</v>
      </c>
      <c r="K169" s="8" t="str">
        <f>_xlfn.XLOOKUP(J169,Worksheet!$F$1:$F$48,Worksheet!$G$1:$G$48,0)</f>
        <v>Lack of awareness</v>
      </c>
      <c r="L169" s="8" t="s">
        <v>50</v>
      </c>
      <c r="M169" s="8" t="s">
        <v>49</v>
      </c>
      <c r="N169" s="8" t="s">
        <v>58</v>
      </c>
      <c r="O169" s="8">
        <v>4</v>
      </c>
      <c r="P169" s="8" t="s">
        <v>45</v>
      </c>
      <c r="Q169" s="8" t="s">
        <v>46</v>
      </c>
      <c r="R169" s="8" t="s">
        <v>47</v>
      </c>
      <c r="S169" s="8">
        <f t="shared" si="12"/>
        <v>0</v>
      </c>
      <c r="T169" s="8">
        <f t="shared" si="13"/>
        <v>0</v>
      </c>
      <c r="U169" s="8">
        <f t="shared" si="13"/>
        <v>1</v>
      </c>
      <c r="V169" s="8">
        <f t="shared" si="13"/>
        <v>0</v>
      </c>
      <c r="W169" s="8">
        <f t="shared" si="13"/>
        <v>0</v>
      </c>
      <c r="X169" s="8">
        <f t="shared" si="13"/>
        <v>0</v>
      </c>
      <c r="Y169" s="8">
        <f t="shared" si="13"/>
        <v>0</v>
      </c>
      <c r="Z169" s="8">
        <f t="shared" si="13"/>
        <v>0</v>
      </c>
      <c r="AA169" s="8">
        <f t="shared" si="13"/>
        <v>0</v>
      </c>
      <c r="AB169" s="8">
        <f t="shared" si="13"/>
        <v>0</v>
      </c>
      <c r="AC169" s="8" t="s">
        <v>21</v>
      </c>
      <c r="AD169" s="8" t="s">
        <v>23</v>
      </c>
      <c r="AE169" s="8" t="s">
        <v>24</v>
      </c>
      <c r="AF169" s="8" t="s">
        <v>25</v>
      </c>
    </row>
    <row r="170" spans="1:32" x14ac:dyDescent="0.3">
      <c r="A170" s="5">
        <v>169</v>
      </c>
      <c r="B170" s="5" t="s">
        <v>68</v>
      </c>
      <c r="C170" s="5">
        <f t="shared" si="15"/>
        <v>0</v>
      </c>
      <c r="D170" s="5">
        <f t="shared" si="14"/>
        <v>1</v>
      </c>
      <c r="E170" s="5">
        <f t="shared" si="14"/>
        <v>0</v>
      </c>
      <c r="F170" s="5">
        <f t="shared" si="14"/>
        <v>0</v>
      </c>
      <c r="G170" s="5">
        <f t="shared" si="14"/>
        <v>0</v>
      </c>
      <c r="H170" s="5">
        <f t="shared" si="14"/>
        <v>0</v>
      </c>
      <c r="I170" s="6" t="s">
        <v>15</v>
      </c>
      <c r="J170" s="6" t="s">
        <v>43</v>
      </c>
      <c r="K170" s="6" t="str">
        <f>_xlfn.XLOOKUP(J170,Worksheet!$F$1:$F$48,Worksheet!$G$1:$G$48,0)</f>
        <v>Lack of awareness</v>
      </c>
      <c r="L170" s="6" t="s">
        <v>29</v>
      </c>
      <c r="M170" s="6" t="s">
        <v>18</v>
      </c>
      <c r="N170" s="6" t="s">
        <v>58</v>
      </c>
      <c r="O170" s="6">
        <v>5</v>
      </c>
      <c r="P170" s="6" t="s">
        <v>45</v>
      </c>
      <c r="Q170" s="6" t="s">
        <v>46</v>
      </c>
      <c r="R170" s="6" t="s">
        <v>206</v>
      </c>
      <c r="S170" s="6">
        <f t="shared" si="12"/>
        <v>1</v>
      </c>
      <c r="T170" s="6">
        <f t="shared" si="13"/>
        <v>1</v>
      </c>
      <c r="U170" s="6">
        <f t="shared" si="13"/>
        <v>1</v>
      </c>
      <c r="V170" s="6">
        <f t="shared" si="13"/>
        <v>0</v>
      </c>
      <c r="W170" s="6">
        <f t="shared" si="13"/>
        <v>0</v>
      </c>
      <c r="X170" s="6">
        <f t="shared" si="13"/>
        <v>1</v>
      </c>
      <c r="Y170" s="6">
        <f t="shared" si="13"/>
        <v>1</v>
      </c>
      <c r="Z170" s="6">
        <f t="shared" si="13"/>
        <v>0</v>
      </c>
      <c r="AA170" s="6">
        <f t="shared" si="13"/>
        <v>0</v>
      </c>
      <c r="AB170" s="6">
        <f t="shared" si="13"/>
        <v>0</v>
      </c>
      <c r="AC170" s="6" t="s">
        <v>21</v>
      </c>
      <c r="AD170" s="6" t="s">
        <v>40</v>
      </c>
      <c r="AE170" s="6" t="s">
        <v>24</v>
      </c>
      <c r="AF170" s="6" t="s">
        <v>48</v>
      </c>
    </row>
    <row r="171" spans="1:32" x14ac:dyDescent="0.3">
      <c r="A171" s="7">
        <v>170</v>
      </c>
      <c r="B171" s="7" t="s">
        <v>100</v>
      </c>
      <c r="C171" s="7">
        <f t="shared" si="15"/>
        <v>1</v>
      </c>
      <c r="D171" s="7">
        <f t="shared" si="14"/>
        <v>0</v>
      </c>
      <c r="E171" s="7">
        <f t="shared" si="14"/>
        <v>0</v>
      </c>
      <c r="F171" s="7">
        <f t="shared" si="14"/>
        <v>0</v>
      </c>
      <c r="G171" s="7">
        <f t="shared" si="14"/>
        <v>0</v>
      </c>
      <c r="H171" s="7">
        <f t="shared" si="14"/>
        <v>0</v>
      </c>
      <c r="I171" s="8" t="s">
        <v>49</v>
      </c>
      <c r="J171" s="8" t="s">
        <v>43</v>
      </c>
      <c r="K171" s="8" t="str">
        <f>_xlfn.XLOOKUP(J171,Worksheet!$F$1:$F$48,Worksheet!$G$1:$G$48,0)</f>
        <v>Lack of awareness</v>
      </c>
      <c r="L171" s="8" t="s">
        <v>29</v>
      </c>
      <c r="M171" s="8" t="s">
        <v>30</v>
      </c>
      <c r="N171" s="8" t="s">
        <v>58</v>
      </c>
      <c r="O171" s="8">
        <v>5</v>
      </c>
      <c r="P171" s="8" t="s">
        <v>45</v>
      </c>
      <c r="Q171" s="8" t="s">
        <v>46</v>
      </c>
      <c r="R171" s="8" t="s">
        <v>64</v>
      </c>
      <c r="S171" s="8">
        <f t="shared" si="12"/>
        <v>1</v>
      </c>
      <c r="T171" s="8">
        <f t="shared" si="13"/>
        <v>0</v>
      </c>
      <c r="U171" s="8">
        <f t="shared" si="13"/>
        <v>1</v>
      </c>
      <c r="V171" s="8">
        <f t="shared" si="13"/>
        <v>0</v>
      </c>
      <c r="W171" s="8">
        <f t="shared" si="13"/>
        <v>0</v>
      </c>
      <c r="X171" s="8">
        <f t="shared" si="13"/>
        <v>1</v>
      </c>
      <c r="Y171" s="8">
        <f t="shared" si="13"/>
        <v>0</v>
      </c>
      <c r="Z171" s="8">
        <f t="shared" si="13"/>
        <v>1</v>
      </c>
      <c r="AA171" s="8">
        <f t="shared" si="13"/>
        <v>0</v>
      </c>
      <c r="AB171" s="8">
        <f t="shared" si="13"/>
        <v>0</v>
      </c>
      <c r="AC171" s="8" t="s">
        <v>21</v>
      </c>
      <c r="AD171" s="8" t="s">
        <v>23</v>
      </c>
      <c r="AE171" s="8" t="s">
        <v>24</v>
      </c>
      <c r="AF171" s="8" t="s">
        <v>48</v>
      </c>
    </row>
    <row r="172" spans="1:32" x14ac:dyDescent="0.3">
      <c r="A172" s="5">
        <v>171</v>
      </c>
      <c r="B172" s="5" t="s">
        <v>340</v>
      </c>
      <c r="C172" s="5">
        <f t="shared" si="15"/>
        <v>0</v>
      </c>
      <c r="D172" s="5">
        <f t="shared" si="14"/>
        <v>0</v>
      </c>
      <c r="E172" s="5">
        <f t="shared" si="14"/>
        <v>1</v>
      </c>
      <c r="F172" s="5">
        <f t="shared" si="14"/>
        <v>0</v>
      </c>
      <c r="G172" s="5">
        <f t="shared" si="14"/>
        <v>0</v>
      </c>
      <c r="H172" s="5">
        <f t="shared" si="14"/>
        <v>0</v>
      </c>
      <c r="I172" s="6" t="s">
        <v>49</v>
      </c>
      <c r="J172" s="6" t="s">
        <v>207</v>
      </c>
      <c r="K172" s="6" t="str">
        <f>_xlfn.XLOOKUP(J172,Worksheet!$F$1:$F$48,Worksheet!$G$1:$G$48,0)</f>
        <v>Lack of awareness</v>
      </c>
      <c r="L172" s="6" t="s">
        <v>50</v>
      </c>
      <c r="M172" s="6" t="s">
        <v>49</v>
      </c>
      <c r="N172" s="6" t="s">
        <v>70</v>
      </c>
      <c r="O172" s="6">
        <v>3</v>
      </c>
      <c r="P172" s="6" t="s">
        <v>45</v>
      </c>
      <c r="Q172" s="6" t="s">
        <v>63</v>
      </c>
      <c r="R172" s="6" t="s">
        <v>56</v>
      </c>
      <c r="S172" s="6">
        <f t="shared" si="12"/>
        <v>1</v>
      </c>
      <c r="T172" s="6">
        <f t="shared" si="13"/>
        <v>0</v>
      </c>
      <c r="U172" s="6">
        <f t="shared" si="13"/>
        <v>0</v>
      </c>
      <c r="V172" s="6">
        <f t="shared" si="13"/>
        <v>0</v>
      </c>
      <c r="W172" s="6">
        <f t="shared" si="13"/>
        <v>0</v>
      </c>
      <c r="X172" s="6">
        <f t="shared" si="13"/>
        <v>0</v>
      </c>
      <c r="Y172" s="6">
        <f t="shared" si="13"/>
        <v>0</v>
      </c>
      <c r="Z172" s="6">
        <f t="shared" si="13"/>
        <v>0</v>
      </c>
      <c r="AA172" s="6">
        <f t="shared" si="13"/>
        <v>0</v>
      </c>
      <c r="AB172" s="6">
        <f t="shared" si="13"/>
        <v>0</v>
      </c>
      <c r="AC172" s="6" t="s">
        <v>21</v>
      </c>
      <c r="AD172" s="6" t="s">
        <v>40</v>
      </c>
      <c r="AE172" s="6" t="s">
        <v>24</v>
      </c>
      <c r="AF172" s="6" t="s">
        <v>25</v>
      </c>
    </row>
    <row r="173" spans="1:32" x14ac:dyDescent="0.3">
      <c r="A173" s="7">
        <v>172</v>
      </c>
      <c r="B173" s="7" t="s">
        <v>340</v>
      </c>
      <c r="C173" s="7">
        <f t="shared" si="15"/>
        <v>0</v>
      </c>
      <c r="D173" s="7">
        <f t="shared" si="14"/>
        <v>0</v>
      </c>
      <c r="E173" s="7">
        <f t="shared" si="14"/>
        <v>1</v>
      </c>
      <c r="F173" s="7">
        <f t="shared" si="14"/>
        <v>0</v>
      </c>
      <c r="G173" s="7">
        <f t="shared" si="14"/>
        <v>0</v>
      </c>
      <c r="H173" s="7">
        <f t="shared" si="14"/>
        <v>0</v>
      </c>
      <c r="I173" s="8" t="s">
        <v>27</v>
      </c>
      <c r="J173" s="8" t="s">
        <v>144</v>
      </c>
      <c r="K173" s="8" t="str">
        <f>_xlfn.XLOOKUP(J173,Worksheet!$F$1:$F$48,Worksheet!$G$1:$G$48,0)</f>
        <v>Lack of awareness</v>
      </c>
      <c r="L173" s="8" t="s">
        <v>17</v>
      </c>
      <c r="M173" s="8" t="s">
        <v>15</v>
      </c>
      <c r="N173" s="8" t="s">
        <v>44</v>
      </c>
      <c r="O173" s="8">
        <v>4</v>
      </c>
      <c r="P173" s="8" t="s">
        <v>45</v>
      </c>
      <c r="Q173" s="8" t="s">
        <v>52</v>
      </c>
      <c r="R173" s="8" t="s">
        <v>208</v>
      </c>
      <c r="S173" s="8">
        <f t="shared" si="12"/>
        <v>1</v>
      </c>
      <c r="T173" s="8">
        <f t="shared" si="13"/>
        <v>1</v>
      </c>
      <c r="U173" s="8">
        <f t="shared" si="13"/>
        <v>1</v>
      </c>
      <c r="V173" s="8">
        <f t="shared" si="13"/>
        <v>0</v>
      </c>
      <c r="W173" s="8">
        <f t="shared" si="13"/>
        <v>1</v>
      </c>
      <c r="X173" s="8">
        <f t="shared" si="13"/>
        <v>0</v>
      </c>
      <c r="Y173" s="8">
        <f t="shared" si="13"/>
        <v>0</v>
      </c>
      <c r="Z173" s="8">
        <f t="shared" si="13"/>
        <v>0</v>
      </c>
      <c r="AA173" s="8">
        <f t="shared" si="13"/>
        <v>0</v>
      </c>
      <c r="AB173" s="8">
        <f t="shared" si="13"/>
        <v>0</v>
      </c>
      <c r="AC173" s="8" t="s">
        <v>25</v>
      </c>
      <c r="AD173" s="8" t="s">
        <v>40</v>
      </c>
      <c r="AE173" s="8" t="s">
        <v>24</v>
      </c>
      <c r="AF173" s="8" t="s">
        <v>48</v>
      </c>
    </row>
    <row r="174" spans="1:32" x14ac:dyDescent="0.3">
      <c r="A174" s="5">
        <v>173</v>
      </c>
      <c r="B174" s="5" t="s">
        <v>66</v>
      </c>
      <c r="C174" s="5">
        <f t="shared" si="15"/>
        <v>0</v>
      </c>
      <c r="D174" s="5">
        <f t="shared" si="14"/>
        <v>1</v>
      </c>
      <c r="E174" s="5">
        <f t="shared" si="14"/>
        <v>0</v>
      </c>
      <c r="F174" s="5">
        <f t="shared" si="14"/>
        <v>0</v>
      </c>
      <c r="G174" s="5">
        <f t="shared" si="14"/>
        <v>0</v>
      </c>
      <c r="H174" s="5">
        <f t="shared" si="14"/>
        <v>1</v>
      </c>
      <c r="I174" s="6" t="s">
        <v>27</v>
      </c>
      <c r="J174" s="6" t="s">
        <v>43</v>
      </c>
      <c r="K174" s="6" t="str">
        <f>_xlfn.XLOOKUP(J174,Worksheet!$F$1:$F$48,Worksheet!$G$1:$G$48,0)</f>
        <v>Lack of awareness</v>
      </c>
      <c r="L174" s="6" t="s">
        <v>50</v>
      </c>
      <c r="M174" s="6" t="s">
        <v>30</v>
      </c>
      <c r="N174" s="6" t="s">
        <v>58</v>
      </c>
      <c r="O174" s="6">
        <v>4</v>
      </c>
      <c r="P174" s="6" t="s">
        <v>45</v>
      </c>
      <c r="Q174" s="6" t="s">
        <v>63</v>
      </c>
      <c r="R174" s="6" t="s">
        <v>209</v>
      </c>
      <c r="S174" s="6">
        <f t="shared" si="12"/>
        <v>1</v>
      </c>
      <c r="T174" s="6">
        <f t="shared" si="13"/>
        <v>1</v>
      </c>
      <c r="U174" s="6">
        <f t="shared" si="13"/>
        <v>0</v>
      </c>
      <c r="V174" s="6">
        <f t="shared" si="13"/>
        <v>1</v>
      </c>
      <c r="W174" s="6">
        <f t="shared" si="13"/>
        <v>0</v>
      </c>
      <c r="X174" s="6">
        <f t="shared" si="13"/>
        <v>0</v>
      </c>
      <c r="Y174" s="6">
        <f t="shared" si="13"/>
        <v>1</v>
      </c>
      <c r="Z174" s="6">
        <f t="shared" si="13"/>
        <v>0</v>
      </c>
      <c r="AA174" s="6">
        <f t="shared" si="13"/>
        <v>0</v>
      </c>
      <c r="AB174" s="6">
        <f t="shared" si="13"/>
        <v>0</v>
      </c>
      <c r="AC174" s="6" t="s">
        <v>25</v>
      </c>
      <c r="AD174" s="6" t="s">
        <v>34</v>
      </c>
      <c r="AE174" s="6" t="s">
        <v>24</v>
      </c>
      <c r="AF174" s="6" t="s">
        <v>82</v>
      </c>
    </row>
    <row r="175" spans="1:32" x14ac:dyDescent="0.3">
      <c r="A175" s="7">
        <v>174</v>
      </c>
      <c r="B175" s="7" t="s">
        <v>340</v>
      </c>
      <c r="C175" s="7">
        <f t="shared" si="15"/>
        <v>0</v>
      </c>
      <c r="D175" s="7">
        <f t="shared" si="14"/>
        <v>0</v>
      </c>
      <c r="E175" s="7">
        <f t="shared" si="14"/>
        <v>1</v>
      </c>
      <c r="F175" s="7">
        <f t="shared" si="14"/>
        <v>0</v>
      </c>
      <c r="G175" s="7">
        <f t="shared" si="14"/>
        <v>0</v>
      </c>
      <c r="H175" s="7">
        <f t="shared" si="14"/>
        <v>0</v>
      </c>
      <c r="I175" s="8" t="s">
        <v>15</v>
      </c>
      <c r="J175" s="8" t="s">
        <v>16</v>
      </c>
      <c r="K175" s="8" t="str">
        <f>_xlfn.XLOOKUP(J175,Worksheet!$F$1:$F$48,Worksheet!$G$1:$G$48,0)</f>
        <v>Cost</v>
      </c>
      <c r="L175" s="8" t="s">
        <v>50</v>
      </c>
      <c r="M175" s="8" t="s">
        <v>30</v>
      </c>
      <c r="N175" s="8" t="s">
        <v>51</v>
      </c>
      <c r="O175" s="8">
        <v>5</v>
      </c>
      <c r="P175" s="8" t="s">
        <v>45</v>
      </c>
      <c r="Q175" s="8" t="s">
        <v>52</v>
      </c>
      <c r="R175" s="8" t="s">
        <v>190</v>
      </c>
      <c r="S175" s="8">
        <f t="shared" si="12"/>
        <v>0</v>
      </c>
      <c r="T175" s="8">
        <f t="shared" si="13"/>
        <v>0</v>
      </c>
      <c r="U175" s="8">
        <f t="shared" si="13"/>
        <v>1</v>
      </c>
      <c r="V175" s="8">
        <f t="shared" si="13"/>
        <v>1</v>
      </c>
      <c r="W175" s="8">
        <f t="shared" si="13"/>
        <v>0</v>
      </c>
      <c r="X175" s="8">
        <f t="shared" si="13"/>
        <v>0</v>
      </c>
      <c r="Y175" s="8">
        <f t="shared" si="13"/>
        <v>0</v>
      </c>
      <c r="Z175" s="8">
        <f t="shared" si="13"/>
        <v>0</v>
      </c>
      <c r="AA175" s="8">
        <f t="shared" si="13"/>
        <v>0</v>
      </c>
      <c r="AB175" s="8">
        <f t="shared" si="13"/>
        <v>0</v>
      </c>
      <c r="AC175" s="8" t="s">
        <v>25</v>
      </c>
      <c r="AD175" s="8" t="s">
        <v>34</v>
      </c>
      <c r="AE175" s="8" t="s">
        <v>24</v>
      </c>
      <c r="AF175" s="8" t="s">
        <v>25</v>
      </c>
    </row>
    <row r="176" spans="1:32" x14ac:dyDescent="0.3">
      <c r="A176" s="5">
        <v>175</v>
      </c>
      <c r="B176" s="5" t="s">
        <v>68</v>
      </c>
      <c r="C176" s="5">
        <f t="shared" si="15"/>
        <v>0</v>
      </c>
      <c r="D176" s="5">
        <f t="shared" si="14"/>
        <v>1</v>
      </c>
      <c r="E176" s="5">
        <f t="shared" si="14"/>
        <v>0</v>
      </c>
      <c r="F176" s="5">
        <f t="shared" si="14"/>
        <v>0</v>
      </c>
      <c r="G176" s="5">
        <f t="shared" si="14"/>
        <v>0</v>
      </c>
      <c r="H176" s="5">
        <f t="shared" si="14"/>
        <v>0</v>
      </c>
      <c r="I176" s="6" t="s">
        <v>15</v>
      </c>
      <c r="J176" s="6" t="s">
        <v>16</v>
      </c>
      <c r="K176" s="6" t="str">
        <f>_xlfn.XLOOKUP(J176,Worksheet!$F$1:$F$48,Worksheet!$G$1:$G$48,0)</f>
        <v>Cost</v>
      </c>
      <c r="L176" s="6" t="s">
        <v>37</v>
      </c>
      <c r="M176" s="6" t="s">
        <v>15</v>
      </c>
      <c r="N176" s="6" t="s">
        <v>51</v>
      </c>
      <c r="O176" s="6">
        <v>2</v>
      </c>
      <c r="P176" s="6" t="s">
        <v>45</v>
      </c>
      <c r="Q176" s="6" t="s">
        <v>52</v>
      </c>
      <c r="R176" s="6" t="s">
        <v>99</v>
      </c>
      <c r="S176" s="6">
        <f t="shared" si="12"/>
        <v>1</v>
      </c>
      <c r="T176" s="6">
        <f t="shared" si="13"/>
        <v>1</v>
      </c>
      <c r="U176" s="6">
        <f t="shared" si="13"/>
        <v>0</v>
      </c>
      <c r="V176" s="6">
        <f t="shared" si="13"/>
        <v>0</v>
      </c>
      <c r="W176" s="6">
        <f t="shared" si="13"/>
        <v>0</v>
      </c>
      <c r="X176" s="6">
        <f t="shared" si="13"/>
        <v>0</v>
      </c>
      <c r="Y176" s="6">
        <f t="shared" si="13"/>
        <v>0</v>
      </c>
      <c r="Z176" s="6">
        <f t="shared" si="13"/>
        <v>0</v>
      </c>
      <c r="AA176" s="6">
        <f t="shared" si="13"/>
        <v>0</v>
      </c>
      <c r="AB176" s="6">
        <f t="shared" si="13"/>
        <v>0</v>
      </c>
      <c r="AC176" s="6" t="s">
        <v>25</v>
      </c>
      <c r="AD176" s="6" t="s">
        <v>34</v>
      </c>
      <c r="AE176" s="6" t="s">
        <v>113</v>
      </c>
      <c r="AF176" s="6" t="s">
        <v>25</v>
      </c>
    </row>
    <row r="177" spans="1:32" x14ac:dyDescent="0.3">
      <c r="A177" s="7">
        <v>176</v>
      </c>
      <c r="B177" s="7" t="s">
        <v>55</v>
      </c>
      <c r="C177" s="7">
        <f t="shared" si="15"/>
        <v>0</v>
      </c>
      <c r="D177" s="7">
        <f t="shared" si="14"/>
        <v>0</v>
      </c>
      <c r="E177" s="7">
        <f t="shared" si="14"/>
        <v>0</v>
      </c>
      <c r="F177" s="7">
        <f t="shared" si="14"/>
        <v>0</v>
      </c>
      <c r="G177" s="7">
        <f t="shared" si="14"/>
        <v>0</v>
      </c>
      <c r="H177" s="7">
        <f t="shared" si="14"/>
        <v>1</v>
      </c>
      <c r="I177" s="8" t="s">
        <v>49</v>
      </c>
      <c r="J177" s="8" t="s">
        <v>43</v>
      </c>
      <c r="K177" s="8" t="str">
        <f>_xlfn.XLOOKUP(J177,Worksheet!$F$1:$F$48,Worksheet!$G$1:$G$48,0)</f>
        <v>Lack of awareness</v>
      </c>
      <c r="L177" s="8" t="s">
        <v>356</v>
      </c>
      <c r="M177" s="8" t="s">
        <v>49</v>
      </c>
      <c r="N177" s="8" t="s">
        <v>51</v>
      </c>
      <c r="O177" s="8">
        <v>5</v>
      </c>
      <c r="P177" s="8" t="s">
        <v>59</v>
      </c>
      <c r="Q177" s="8" t="s">
        <v>52</v>
      </c>
      <c r="R177" s="8" t="s">
        <v>182</v>
      </c>
      <c r="S177" s="8">
        <f t="shared" si="12"/>
        <v>0</v>
      </c>
      <c r="T177" s="8">
        <f t="shared" si="13"/>
        <v>1</v>
      </c>
      <c r="U177" s="8">
        <f t="shared" si="13"/>
        <v>1</v>
      </c>
      <c r="V177" s="8">
        <f t="shared" si="13"/>
        <v>0</v>
      </c>
      <c r="W177" s="8">
        <f t="shared" si="13"/>
        <v>1</v>
      </c>
      <c r="X177" s="8">
        <f t="shared" si="13"/>
        <v>1</v>
      </c>
      <c r="Y177" s="8">
        <f t="shared" si="13"/>
        <v>0</v>
      </c>
      <c r="Z177" s="8">
        <f t="shared" si="13"/>
        <v>0</v>
      </c>
      <c r="AA177" s="8">
        <f t="shared" si="13"/>
        <v>0</v>
      </c>
      <c r="AB177" s="8">
        <f t="shared" si="13"/>
        <v>0</v>
      </c>
      <c r="AC177" s="8" t="s">
        <v>21</v>
      </c>
      <c r="AD177" s="8" t="s">
        <v>34</v>
      </c>
      <c r="AE177" s="8" t="s">
        <v>24</v>
      </c>
      <c r="AF177" s="8" t="s">
        <v>82</v>
      </c>
    </row>
    <row r="178" spans="1:32" x14ac:dyDescent="0.3">
      <c r="A178" s="5">
        <v>177</v>
      </c>
      <c r="B178" s="5" t="s">
        <v>68</v>
      </c>
      <c r="C178" s="5">
        <f t="shared" si="15"/>
        <v>0</v>
      </c>
      <c r="D178" s="5">
        <f t="shared" si="14"/>
        <v>1</v>
      </c>
      <c r="E178" s="5">
        <f t="shared" si="14"/>
        <v>0</v>
      </c>
      <c r="F178" s="5">
        <f t="shared" si="14"/>
        <v>0</v>
      </c>
      <c r="G178" s="5">
        <f t="shared" si="14"/>
        <v>0</v>
      </c>
      <c r="H178" s="5">
        <f t="shared" si="14"/>
        <v>0</v>
      </c>
      <c r="I178" s="6" t="s">
        <v>49</v>
      </c>
      <c r="J178" s="6" t="s">
        <v>43</v>
      </c>
      <c r="K178" s="6" t="str">
        <f>_xlfn.XLOOKUP(J178,Worksheet!$F$1:$F$48,Worksheet!$G$1:$G$48,0)</f>
        <v>Lack of awareness</v>
      </c>
      <c r="L178" s="6" t="s">
        <v>50</v>
      </c>
      <c r="M178" s="6" t="s">
        <v>102</v>
      </c>
      <c r="N178" s="6" t="s">
        <v>58</v>
      </c>
      <c r="O178" s="6">
        <v>2</v>
      </c>
      <c r="P178" s="6" t="s">
        <v>45</v>
      </c>
      <c r="Q178" s="6" t="s">
        <v>46</v>
      </c>
      <c r="R178" s="6" t="s">
        <v>60</v>
      </c>
      <c r="S178" s="6">
        <f t="shared" si="12"/>
        <v>1</v>
      </c>
      <c r="T178" s="6">
        <f t="shared" si="13"/>
        <v>0</v>
      </c>
      <c r="U178" s="6">
        <f t="shared" si="13"/>
        <v>1</v>
      </c>
      <c r="V178" s="6">
        <f t="shared" si="13"/>
        <v>0</v>
      </c>
      <c r="W178" s="6">
        <f t="shared" si="13"/>
        <v>0</v>
      </c>
      <c r="X178" s="6">
        <f t="shared" si="13"/>
        <v>0</v>
      </c>
      <c r="Y178" s="6">
        <f t="shared" si="13"/>
        <v>0</v>
      </c>
      <c r="Z178" s="6">
        <f t="shared" si="13"/>
        <v>0</v>
      </c>
      <c r="AA178" s="6">
        <f t="shared" si="13"/>
        <v>0</v>
      </c>
      <c r="AB178" s="6">
        <f t="shared" si="13"/>
        <v>0</v>
      </c>
      <c r="AC178" s="6" t="s">
        <v>21</v>
      </c>
      <c r="AD178" s="6" t="s">
        <v>23</v>
      </c>
      <c r="AE178" s="6" t="s">
        <v>24</v>
      </c>
      <c r="AF178" s="6" t="s">
        <v>25</v>
      </c>
    </row>
    <row r="179" spans="1:32" x14ac:dyDescent="0.3">
      <c r="A179" s="7">
        <v>178</v>
      </c>
      <c r="B179" s="7" t="s">
        <v>68</v>
      </c>
      <c r="C179" s="7">
        <f t="shared" si="15"/>
        <v>0</v>
      </c>
      <c r="D179" s="7">
        <f t="shared" si="14"/>
        <v>1</v>
      </c>
      <c r="E179" s="7">
        <f t="shared" si="14"/>
        <v>0</v>
      </c>
      <c r="F179" s="7">
        <f t="shared" si="14"/>
        <v>0</v>
      </c>
      <c r="G179" s="7">
        <f t="shared" si="14"/>
        <v>0</v>
      </c>
      <c r="H179" s="7">
        <f t="shared" si="14"/>
        <v>0</v>
      </c>
      <c r="I179" s="8" t="s">
        <v>15</v>
      </c>
      <c r="J179" s="8" t="s">
        <v>83</v>
      </c>
      <c r="K179" s="8" t="str">
        <f>_xlfn.XLOOKUP(J179,Worksheet!$F$1:$F$48,Worksheet!$G$1:$G$48,0)</f>
        <v>Fear</v>
      </c>
      <c r="L179" s="8" t="s">
        <v>50</v>
      </c>
      <c r="M179" s="8" t="s">
        <v>49</v>
      </c>
      <c r="N179" s="8" t="s">
        <v>44</v>
      </c>
      <c r="O179" s="8">
        <v>5</v>
      </c>
      <c r="P179" s="8" t="s">
        <v>72</v>
      </c>
      <c r="Q179" s="8" t="s">
        <v>63</v>
      </c>
      <c r="R179" s="8" t="s">
        <v>210</v>
      </c>
      <c r="S179" s="8">
        <f t="shared" si="12"/>
        <v>1</v>
      </c>
      <c r="T179" s="8">
        <f t="shared" si="13"/>
        <v>1</v>
      </c>
      <c r="U179" s="8">
        <f t="shared" ref="T179:AB207" si="16">IFERROR(IF(SEARCH(U$1,$R179)&gt;0,1,0),0)</f>
        <v>0</v>
      </c>
      <c r="V179" s="8">
        <f t="shared" si="16"/>
        <v>1</v>
      </c>
      <c r="W179" s="8">
        <f t="shared" si="16"/>
        <v>1</v>
      </c>
      <c r="X179" s="8">
        <f t="shared" si="16"/>
        <v>1</v>
      </c>
      <c r="Y179" s="8">
        <f t="shared" si="16"/>
        <v>0</v>
      </c>
      <c r="Z179" s="8">
        <f t="shared" si="16"/>
        <v>1</v>
      </c>
      <c r="AA179" s="8">
        <f t="shared" si="16"/>
        <v>0</v>
      </c>
      <c r="AB179" s="8">
        <f t="shared" si="16"/>
        <v>0</v>
      </c>
      <c r="AC179" s="8" t="s">
        <v>21</v>
      </c>
      <c r="AD179" s="8" t="s">
        <v>23</v>
      </c>
      <c r="AE179" s="8" t="s">
        <v>54</v>
      </c>
      <c r="AF179" s="8" t="s">
        <v>25</v>
      </c>
    </row>
    <row r="180" spans="1:32" x14ac:dyDescent="0.3">
      <c r="A180" s="5">
        <v>179</v>
      </c>
      <c r="B180" s="5" t="s">
        <v>55</v>
      </c>
      <c r="C180" s="5">
        <f t="shared" si="15"/>
        <v>0</v>
      </c>
      <c r="D180" s="5">
        <f t="shared" si="14"/>
        <v>0</v>
      </c>
      <c r="E180" s="5">
        <f t="shared" si="14"/>
        <v>0</v>
      </c>
      <c r="F180" s="5">
        <f t="shared" si="14"/>
        <v>0</v>
      </c>
      <c r="G180" s="5">
        <f t="shared" si="14"/>
        <v>0</v>
      </c>
      <c r="H180" s="5">
        <f t="shared" si="14"/>
        <v>1</v>
      </c>
      <c r="I180" s="6" t="s">
        <v>49</v>
      </c>
      <c r="J180" s="6" t="s">
        <v>43</v>
      </c>
      <c r="K180" s="6" t="str">
        <f>_xlfn.XLOOKUP(J180,Worksheet!$F$1:$F$48,Worksheet!$G$1:$G$48,0)</f>
        <v>Lack of awareness</v>
      </c>
      <c r="L180" s="6" t="s">
        <v>50</v>
      </c>
      <c r="M180" s="6" t="s">
        <v>49</v>
      </c>
      <c r="N180" s="6" t="s">
        <v>51</v>
      </c>
      <c r="O180" s="6">
        <v>5</v>
      </c>
      <c r="P180" s="6" t="s">
        <v>45</v>
      </c>
      <c r="Q180" s="6" t="s">
        <v>52</v>
      </c>
      <c r="R180" s="6" t="s">
        <v>211</v>
      </c>
      <c r="S180" s="6">
        <f t="shared" si="12"/>
        <v>0</v>
      </c>
      <c r="T180" s="6">
        <f t="shared" si="16"/>
        <v>1</v>
      </c>
      <c r="U180" s="6">
        <f t="shared" si="16"/>
        <v>1</v>
      </c>
      <c r="V180" s="6">
        <f t="shared" si="16"/>
        <v>1</v>
      </c>
      <c r="W180" s="6">
        <f t="shared" si="16"/>
        <v>1</v>
      </c>
      <c r="X180" s="6">
        <f t="shared" si="16"/>
        <v>0</v>
      </c>
      <c r="Y180" s="6">
        <f t="shared" si="16"/>
        <v>0</v>
      </c>
      <c r="Z180" s="6">
        <f t="shared" si="16"/>
        <v>0</v>
      </c>
      <c r="AA180" s="6">
        <f t="shared" si="16"/>
        <v>0</v>
      </c>
      <c r="AB180" s="6">
        <f t="shared" si="16"/>
        <v>1</v>
      </c>
      <c r="AC180" s="6" t="s">
        <v>21</v>
      </c>
      <c r="AD180" s="6" t="s">
        <v>34</v>
      </c>
      <c r="AE180" s="6" t="s">
        <v>24</v>
      </c>
      <c r="AF180" s="6" t="s">
        <v>25</v>
      </c>
    </row>
    <row r="181" spans="1:32" x14ac:dyDescent="0.3">
      <c r="A181" s="7">
        <v>180</v>
      </c>
      <c r="B181" s="7" t="s">
        <v>66</v>
      </c>
      <c r="C181" s="7">
        <f t="shared" si="15"/>
        <v>0</v>
      </c>
      <c r="D181" s="7">
        <f t="shared" si="14"/>
        <v>1</v>
      </c>
      <c r="E181" s="7">
        <f t="shared" si="14"/>
        <v>0</v>
      </c>
      <c r="F181" s="7">
        <f t="shared" si="14"/>
        <v>0</v>
      </c>
      <c r="G181" s="7">
        <f t="shared" si="14"/>
        <v>0</v>
      </c>
      <c r="H181" s="7">
        <f t="shared" si="14"/>
        <v>1</v>
      </c>
      <c r="I181" s="8" t="s">
        <v>49</v>
      </c>
      <c r="J181" s="8" t="s">
        <v>49</v>
      </c>
      <c r="K181" s="8" t="str">
        <f>_xlfn.XLOOKUP(J181,Worksheet!$F$1:$F$48,Worksheet!$G$1:$G$48,0)</f>
        <v>Never done</v>
      </c>
      <c r="L181" s="8" t="s">
        <v>50</v>
      </c>
      <c r="M181" s="8" t="s">
        <v>49</v>
      </c>
      <c r="N181" s="8" t="s">
        <v>44</v>
      </c>
      <c r="O181" s="8">
        <v>5</v>
      </c>
      <c r="P181" s="8" t="s">
        <v>45</v>
      </c>
      <c r="Q181" s="8" t="s">
        <v>52</v>
      </c>
      <c r="R181" s="8" t="s">
        <v>139</v>
      </c>
      <c r="S181" s="8">
        <f t="shared" si="12"/>
        <v>0</v>
      </c>
      <c r="T181" s="8">
        <f t="shared" si="16"/>
        <v>1</v>
      </c>
      <c r="U181" s="8">
        <f t="shared" si="16"/>
        <v>0</v>
      </c>
      <c r="V181" s="8">
        <f t="shared" si="16"/>
        <v>0</v>
      </c>
      <c r="W181" s="8">
        <f t="shared" si="16"/>
        <v>0</v>
      </c>
      <c r="X181" s="8">
        <f t="shared" si="16"/>
        <v>0</v>
      </c>
      <c r="Y181" s="8">
        <f t="shared" si="16"/>
        <v>0</v>
      </c>
      <c r="Z181" s="8">
        <f t="shared" si="16"/>
        <v>0</v>
      </c>
      <c r="AA181" s="8">
        <f t="shared" si="16"/>
        <v>0</v>
      </c>
      <c r="AB181" s="8">
        <f t="shared" si="16"/>
        <v>0</v>
      </c>
      <c r="AC181" s="8" t="s">
        <v>21</v>
      </c>
      <c r="AD181" s="8" t="s">
        <v>34</v>
      </c>
      <c r="AE181" s="8" t="s">
        <v>24</v>
      </c>
      <c r="AF181" s="8" t="s">
        <v>25</v>
      </c>
    </row>
    <row r="182" spans="1:32" x14ac:dyDescent="0.3">
      <c r="A182" s="5">
        <v>181</v>
      </c>
      <c r="B182" s="5" t="s">
        <v>61</v>
      </c>
      <c r="C182" s="5">
        <f t="shared" si="15"/>
        <v>1</v>
      </c>
      <c r="D182" s="5">
        <f t="shared" si="14"/>
        <v>1</v>
      </c>
      <c r="E182" s="5">
        <f t="shared" si="14"/>
        <v>0</v>
      </c>
      <c r="F182" s="5">
        <f t="shared" si="14"/>
        <v>0</v>
      </c>
      <c r="G182" s="5">
        <f t="shared" si="14"/>
        <v>1</v>
      </c>
      <c r="H182" s="5">
        <f t="shared" si="14"/>
        <v>1</v>
      </c>
      <c r="I182" s="6" t="s">
        <v>49</v>
      </c>
      <c r="J182" s="6" t="s">
        <v>212</v>
      </c>
      <c r="K182" s="6" t="str">
        <f>_xlfn.XLOOKUP(J182,Worksheet!$F$1:$F$48,Worksheet!$G$1:$G$48,0)</f>
        <v>No need</v>
      </c>
      <c r="L182" s="6" t="s">
        <v>50</v>
      </c>
      <c r="M182" s="6" t="s">
        <v>30</v>
      </c>
      <c r="N182" s="6" t="s">
        <v>51</v>
      </c>
      <c r="O182" s="6">
        <v>5</v>
      </c>
      <c r="P182" s="6" t="s">
        <v>45</v>
      </c>
      <c r="Q182" s="6" t="s">
        <v>46</v>
      </c>
      <c r="R182" s="6" t="s">
        <v>213</v>
      </c>
      <c r="S182" s="6">
        <f t="shared" si="12"/>
        <v>0</v>
      </c>
      <c r="T182" s="6">
        <f t="shared" si="16"/>
        <v>0</v>
      </c>
      <c r="U182" s="6">
        <f t="shared" si="16"/>
        <v>0</v>
      </c>
      <c r="V182" s="6">
        <f t="shared" si="16"/>
        <v>1</v>
      </c>
      <c r="W182" s="6">
        <f t="shared" si="16"/>
        <v>1</v>
      </c>
      <c r="X182" s="6">
        <f t="shared" si="16"/>
        <v>0</v>
      </c>
      <c r="Y182" s="6">
        <f t="shared" si="16"/>
        <v>0</v>
      </c>
      <c r="Z182" s="6">
        <f t="shared" si="16"/>
        <v>1</v>
      </c>
      <c r="AA182" s="6">
        <f t="shared" si="16"/>
        <v>0</v>
      </c>
      <c r="AB182" s="6">
        <f t="shared" si="16"/>
        <v>0</v>
      </c>
      <c r="AC182" s="6" t="s">
        <v>21</v>
      </c>
      <c r="AD182" s="6" t="s">
        <v>34</v>
      </c>
      <c r="AE182" s="6" t="s">
        <v>113</v>
      </c>
      <c r="AF182" s="6" t="s">
        <v>25</v>
      </c>
    </row>
    <row r="183" spans="1:32" x14ac:dyDescent="0.3">
      <c r="A183" s="7">
        <v>182</v>
      </c>
      <c r="B183" s="7" t="s">
        <v>68</v>
      </c>
      <c r="C183" s="7">
        <f t="shared" si="15"/>
        <v>0</v>
      </c>
      <c r="D183" s="7">
        <f t="shared" si="14"/>
        <v>1</v>
      </c>
      <c r="E183" s="7">
        <f t="shared" si="14"/>
        <v>0</v>
      </c>
      <c r="F183" s="7">
        <f t="shared" si="14"/>
        <v>0</v>
      </c>
      <c r="G183" s="7">
        <f t="shared" si="14"/>
        <v>0</v>
      </c>
      <c r="H183" s="7">
        <f t="shared" si="14"/>
        <v>0</v>
      </c>
      <c r="I183" s="8" t="s">
        <v>49</v>
      </c>
      <c r="J183" s="8" t="s">
        <v>43</v>
      </c>
      <c r="K183" s="8" t="str">
        <f>_xlfn.XLOOKUP(J183,Worksheet!$F$1:$F$48,Worksheet!$G$1:$G$48,0)</f>
        <v>Lack of awareness</v>
      </c>
      <c r="L183" s="8" t="s">
        <v>50</v>
      </c>
      <c r="M183" s="8" t="s">
        <v>49</v>
      </c>
      <c r="N183" s="8" t="s">
        <v>58</v>
      </c>
      <c r="O183" s="8">
        <v>3</v>
      </c>
      <c r="P183" s="8" t="s">
        <v>45</v>
      </c>
      <c r="Q183" s="8" t="s">
        <v>52</v>
      </c>
      <c r="R183" s="8" t="s">
        <v>101</v>
      </c>
      <c r="S183" s="8">
        <f t="shared" si="12"/>
        <v>0</v>
      </c>
      <c r="T183" s="8">
        <f t="shared" si="16"/>
        <v>1</v>
      </c>
      <c r="U183" s="8">
        <f t="shared" si="16"/>
        <v>0</v>
      </c>
      <c r="V183" s="8">
        <f t="shared" si="16"/>
        <v>0</v>
      </c>
      <c r="W183" s="8">
        <f t="shared" si="16"/>
        <v>0</v>
      </c>
      <c r="X183" s="8">
        <f t="shared" si="16"/>
        <v>1</v>
      </c>
      <c r="Y183" s="8">
        <f t="shared" si="16"/>
        <v>0</v>
      </c>
      <c r="Z183" s="8">
        <f t="shared" si="16"/>
        <v>0</v>
      </c>
      <c r="AA183" s="8">
        <f t="shared" si="16"/>
        <v>0</v>
      </c>
      <c r="AB183" s="8">
        <f t="shared" si="16"/>
        <v>0</v>
      </c>
      <c r="AC183" s="8" t="s">
        <v>21</v>
      </c>
      <c r="AD183" s="8" t="s">
        <v>34</v>
      </c>
      <c r="AE183" s="8" t="s">
        <v>24</v>
      </c>
      <c r="AF183" s="8" t="s">
        <v>48</v>
      </c>
    </row>
    <row r="184" spans="1:32" x14ac:dyDescent="0.3">
      <c r="A184" s="5">
        <v>183</v>
      </c>
      <c r="B184" s="5" t="s">
        <v>162</v>
      </c>
      <c r="C184" s="5">
        <f t="shared" si="15"/>
        <v>1</v>
      </c>
      <c r="D184" s="5">
        <f t="shared" si="14"/>
        <v>0</v>
      </c>
      <c r="E184" s="5">
        <f t="shared" si="14"/>
        <v>0</v>
      </c>
      <c r="F184" s="5">
        <f t="shared" si="14"/>
        <v>0</v>
      </c>
      <c r="G184" s="5">
        <f t="shared" si="14"/>
        <v>0</v>
      </c>
      <c r="H184" s="5">
        <f t="shared" si="14"/>
        <v>1</v>
      </c>
      <c r="I184" s="6" t="s">
        <v>27</v>
      </c>
      <c r="J184" s="6" t="s">
        <v>83</v>
      </c>
      <c r="K184" s="6" t="str">
        <f>_xlfn.XLOOKUP(J184,Worksheet!$F$1:$F$48,Worksheet!$G$1:$G$48,0)</f>
        <v>Fear</v>
      </c>
      <c r="L184" s="6" t="s">
        <v>29</v>
      </c>
      <c r="M184" s="6" t="s">
        <v>30</v>
      </c>
      <c r="N184" s="6" t="s">
        <v>51</v>
      </c>
      <c r="O184" s="6">
        <v>5</v>
      </c>
      <c r="P184" s="6" t="s">
        <v>45</v>
      </c>
      <c r="Q184" s="6" t="s">
        <v>52</v>
      </c>
      <c r="R184" s="6" t="s">
        <v>139</v>
      </c>
      <c r="S184" s="6">
        <f t="shared" si="12"/>
        <v>0</v>
      </c>
      <c r="T184" s="6">
        <f t="shared" si="16"/>
        <v>1</v>
      </c>
      <c r="U184" s="6">
        <f t="shared" si="16"/>
        <v>0</v>
      </c>
      <c r="V184" s="6">
        <f t="shared" si="16"/>
        <v>0</v>
      </c>
      <c r="W184" s="6">
        <f t="shared" si="16"/>
        <v>0</v>
      </c>
      <c r="X184" s="6">
        <f t="shared" si="16"/>
        <v>0</v>
      </c>
      <c r="Y184" s="6">
        <f t="shared" si="16"/>
        <v>0</v>
      </c>
      <c r="Z184" s="6">
        <f t="shared" si="16"/>
        <v>0</v>
      </c>
      <c r="AA184" s="6">
        <f t="shared" si="16"/>
        <v>0</v>
      </c>
      <c r="AB184" s="6">
        <f t="shared" si="16"/>
        <v>0</v>
      </c>
      <c r="AC184" s="6" t="s">
        <v>21</v>
      </c>
      <c r="AD184" s="6" t="s">
        <v>40</v>
      </c>
      <c r="AE184" s="6" t="s">
        <v>88</v>
      </c>
      <c r="AF184" s="6" t="s">
        <v>48</v>
      </c>
    </row>
    <row r="185" spans="1:32" x14ac:dyDescent="0.3">
      <c r="A185" s="7">
        <v>184</v>
      </c>
      <c r="B185" s="7" t="s">
        <v>61</v>
      </c>
      <c r="C185" s="7">
        <f t="shared" si="15"/>
        <v>1</v>
      </c>
      <c r="D185" s="7">
        <f t="shared" si="14"/>
        <v>1</v>
      </c>
      <c r="E185" s="7">
        <f t="shared" si="14"/>
        <v>0</v>
      </c>
      <c r="F185" s="7">
        <f t="shared" si="14"/>
        <v>0</v>
      </c>
      <c r="G185" s="7">
        <f t="shared" si="14"/>
        <v>1</v>
      </c>
      <c r="H185" s="7">
        <f t="shared" si="14"/>
        <v>1</v>
      </c>
      <c r="I185" s="8" t="s">
        <v>49</v>
      </c>
      <c r="J185" s="8" t="s">
        <v>43</v>
      </c>
      <c r="K185" s="8" t="str">
        <f>_xlfn.XLOOKUP(J185,Worksheet!$F$1:$F$48,Worksheet!$G$1:$G$48,0)</f>
        <v>Lack of awareness</v>
      </c>
      <c r="L185" s="8" t="s">
        <v>50</v>
      </c>
      <c r="M185" s="8" t="s">
        <v>49</v>
      </c>
      <c r="N185" s="8" t="s">
        <v>44</v>
      </c>
      <c r="O185" s="8">
        <v>4</v>
      </c>
      <c r="P185" s="8" t="s">
        <v>45</v>
      </c>
      <c r="Q185" s="8" t="s">
        <v>63</v>
      </c>
      <c r="R185" s="8" t="s">
        <v>214</v>
      </c>
      <c r="S185" s="8">
        <f t="shared" si="12"/>
        <v>1</v>
      </c>
      <c r="T185" s="8">
        <f t="shared" si="16"/>
        <v>1</v>
      </c>
      <c r="U185" s="8">
        <f t="shared" si="16"/>
        <v>1</v>
      </c>
      <c r="V185" s="8">
        <f t="shared" si="16"/>
        <v>1</v>
      </c>
      <c r="W185" s="8">
        <f t="shared" si="16"/>
        <v>1</v>
      </c>
      <c r="X185" s="8">
        <f t="shared" si="16"/>
        <v>0</v>
      </c>
      <c r="Y185" s="8">
        <f t="shared" si="16"/>
        <v>0</v>
      </c>
      <c r="Z185" s="8">
        <f t="shared" si="16"/>
        <v>1</v>
      </c>
      <c r="AA185" s="8">
        <f t="shared" si="16"/>
        <v>1</v>
      </c>
      <c r="AB185" s="8">
        <f t="shared" si="16"/>
        <v>0</v>
      </c>
      <c r="AC185" s="8" t="s">
        <v>21</v>
      </c>
      <c r="AD185" s="8" t="s">
        <v>40</v>
      </c>
      <c r="AE185" s="8" t="s">
        <v>24</v>
      </c>
      <c r="AF185" s="8" t="s">
        <v>25</v>
      </c>
    </row>
    <row r="186" spans="1:32" x14ac:dyDescent="0.3">
      <c r="A186" s="5">
        <v>185</v>
      </c>
      <c r="B186" s="5" t="s">
        <v>55</v>
      </c>
      <c r="C186" s="5">
        <f t="shared" si="15"/>
        <v>0</v>
      </c>
      <c r="D186" s="5">
        <f t="shared" si="14"/>
        <v>0</v>
      </c>
      <c r="E186" s="5">
        <f t="shared" si="14"/>
        <v>0</v>
      </c>
      <c r="F186" s="5">
        <f t="shared" si="14"/>
        <v>0</v>
      </c>
      <c r="G186" s="5">
        <f t="shared" si="14"/>
        <v>0</v>
      </c>
      <c r="H186" s="5">
        <f t="shared" si="14"/>
        <v>1</v>
      </c>
      <c r="I186" s="6" t="s">
        <v>49</v>
      </c>
      <c r="J186" s="6" t="s">
        <v>43</v>
      </c>
      <c r="K186" s="6" t="str">
        <f>_xlfn.XLOOKUP(J186,Worksheet!$F$1:$F$48,Worksheet!$G$1:$G$48,0)</f>
        <v>Lack of awareness</v>
      </c>
      <c r="L186" s="6" t="s">
        <v>17</v>
      </c>
      <c r="M186" s="6" t="s">
        <v>49</v>
      </c>
      <c r="N186" s="6" t="s">
        <v>51</v>
      </c>
      <c r="O186" s="6">
        <v>4</v>
      </c>
      <c r="P186" s="6" t="s">
        <v>45</v>
      </c>
      <c r="Q186" s="6" t="s">
        <v>63</v>
      </c>
      <c r="R186" s="6" t="s">
        <v>109</v>
      </c>
      <c r="S186" s="6">
        <f t="shared" si="12"/>
        <v>1</v>
      </c>
      <c r="T186" s="6">
        <f t="shared" si="16"/>
        <v>1</v>
      </c>
      <c r="U186" s="6">
        <f t="shared" si="16"/>
        <v>0</v>
      </c>
      <c r="V186" s="6">
        <f t="shared" si="16"/>
        <v>1</v>
      </c>
      <c r="W186" s="6">
        <f t="shared" si="16"/>
        <v>1</v>
      </c>
      <c r="X186" s="6">
        <f t="shared" si="16"/>
        <v>0</v>
      </c>
      <c r="Y186" s="6">
        <f t="shared" si="16"/>
        <v>1</v>
      </c>
      <c r="Z186" s="6">
        <f t="shared" si="16"/>
        <v>1</v>
      </c>
      <c r="AA186" s="6">
        <f t="shared" si="16"/>
        <v>0</v>
      </c>
      <c r="AB186" s="6">
        <f t="shared" si="16"/>
        <v>0</v>
      </c>
      <c r="AC186" s="6" t="s">
        <v>21</v>
      </c>
      <c r="AD186" s="6" t="s">
        <v>40</v>
      </c>
      <c r="AE186" s="6" t="s">
        <v>54</v>
      </c>
      <c r="AF186" s="6" t="s">
        <v>25</v>
      </c>
    </row>
    <row r="187" spans="1:32" x14ac:dyDescent="0.3">
      <c r="A187" s="7">
        <v>186</v>
      </c>
      <c r="B187" s="7" t="s">
        <v>68</v>
      </c>
      <c r="C187" s="7">
        <f t="shared" si="15"/>
        <v>0</v>
      </c>
      <c r="D187" s="7">
        <f t="shared" si="14"/>
        <v>1</v>
      </c>
      <c r="E187" s="7">
        <f t="shared" si="14"/>
        <v>0</v>
      </c>
      <c r="F187" s="7">
        <f t="shared" si="14"/>
        <v>0</v>
      </c>
      <c r="G187" s="7">
        <f t="shared" si="14"/>
        <v>0</v>
      </c>
      <c r="H187" s="7">
        <f t="shared" si="14"/>
        <v>0</v>
      </c>
      <c r="I187" s="8" t="s">
        <v>49</v>
      </c>
      <c r="J187" s="8" t="s">
        <v>215</v>
      </c>
      <c r="K187" s="8" t="str">
        <f>_xlfn.XLOOKUP(J187,Worksheet!$F$1:$F$48,Worksheet!$G$1:$G$48,0)</f>
        <v>No need</v>
      </c>
      <c r="L187" s="8" t="s">
        <v>50</v>
      </c>
      <c r="M187" s="8" t="s">
        <v>49</v>
      </c>
      <c r="N187" s="8" t="s">
        <v>51</v>
      </c>
      <c r="O187" s="8">
        <v>5</v>
      </c>
      <c r="P187" s="8" t="s">
        <v>45</v>
      </c>
      <c r="Q187" s="8" t="s">
        <v>52</v>
      </c>
      <c r="R187" s="8" t="s">
        <v>216</v>
      </c>
      <c r="S187" s="8">
        <f t="shared" ref="S187:S250" si="17">IFERROR(IF(SEARCH(S$1,$R187)&gt;0,1,0),0)</f>
        <v>0</v>
      </c>
      <c r="T187" s="8">
        <f t="shared" si="16"/>
        <v>1</v>
      </c>
      <c r="U187" s="8">
        <f t="shared" si="16"/>
        <v>0</v>
      </c>
      <c r="V187" s="8">
        <f t="shared" si="16"/>
        <v>1</v>
      </c>
      <c r="W187" s="8">
        <f t="shared" si="16"/>
        <v>0</v>
      </c>
      <c r="X187" s="8">
        <f t="shared" si="16"/>
        <v>1</v>
      </c>
      <c r="Y187" s="8">
        <f t="shared" si="16"/>
        <v>1</v>
      </c>
      <c r="Z187" s="8">
        <f t="shared" si="16"/>
        <v>0</v>
      </c>
      <c r="AA187" s="8">
        <f t="shared" si="16"/>
        <v>0</v>
      </c>
      <c r="AB187" s="8">
        <f t="shared" si="16"/>
        <v>0</v>
      </c>
      <c r="AC187" s="8" t="s">
        <v>21</v>
      </c>
      <c r="AD187" s="8" t="s">
        <v>34</v>
      </c>
      <c r="AE187" s="8" t="s">
        <v>113</v>
      </c>
      <c r="AF187" s="8" t="s">
        <v>21</v>
      </c>
    </row>
    <row r="188" spans="1:32" x14ac:dyDescent="0.3">
      <c r="A188" s="5">
        <v>187</v>
      </c>
      <c r="B188" s="5" t="s">
        <v>55</v>
      </c>
      <c r="C188" s="5">
        <f t="shared" si="15"/>
        <v>0</v>
      </c>
      <c r="D188" s="5">
        <f t="shared" si="14"/>
        <v>0</v>
      </c>
      <c r="E188" s="5">
        <f t="shared" si="14"/>
        <v>0</v>
      </c>
      <c r="F188" s="5">
        <f t="shared" si="14"/>
        <v>0</v>
      </c>
      <c r="G188" s="5">
        <f t="shared" si="14"/>
        <v>0</v>
      </c>
      <c r="H188" s="5">
        <f t="shared" si="14"/>
        <v>1</v>
      </c>
      <c r="I188" s="6" t="s">
        <v>15</v>
      </c>
      <c r="J188" s="6" t="s">
        <v>43</v>
      </c>
      <c r="K188" s="6" t="str">
        <f>_xlfn.XLOOKUP(J188,Worksheet!$F$1:$F$48,Worksheet!$G$1:$G$48,0)</f>
        <v>Lack of awareness</v>
      </c>
      <c r="L188" s="6" t="s">
        <v>17</v>
      </c>
      <c r="M188" s="6" t="s">
        <v>30</v>
      </c>
      <c r="N188" s="6" t="s">
        <v>44</v>
      </c>
      <c r="O188" s="6">
        <v>3</v>
      </c>
      <c r="P188" s="6" t="s">
        <v>45</v>
      </c>
      <c r="Q188" s="6" t="s">
        <v>46</v>
      </c>
      <c r="R188" s="6" t="s">
        <v>217</v>
      </c>
      <c r="S188" s="6">
        <f t="shared" si="17"/>
        <v>1</v>
      </c>
      <c r="T188" s="6">
        <f t="shared" si="16"/>
        <v>1</v>
      </c>
      <c r="U188" s="6">
        <f t="shared" si="16"/>
        <v>1</v>
      </c>
      <c r="V188" s="6">
        <f t="shared" si="16"/>
        <v>0</v>
      </c>
      <c r="W188" s="6">
        <f t="shared" si="16"/>
        <v>1</v>
      </c>
      <c r="X188" s="6">
        <f t="shared" si="16"/>
        <v>1</v>
      </c>
      <c r="Y188" s="6">
        <f t="shared" si="16"/>
        <v>0</v>
      </c>
      <c r="Z188" s="6">
        <f t="shared" si="16"/>
        <v>0</v>
      </c>
      <c r="AA188" s="6">
        <f t="shared" si="16"/>
        <v>1</v>
      </c>
      <c r="AB188" s="6">
        <f t="shared" si="16"/>
        <v>0</v>
      </c>
      <c r="AC188" s="6" t="s">
        <v>21</v>
      </c>
      <c r="AD188" s="6" t="s">
        <v>34</v>
      </c>
      <c r="AE188" s="6" t="s">
        <v>24</v>
      </c>
      <c r="AF188" s="6" t="s">
        <v>21</v>
      </c>
    </row>
    <row r="189" spans="1:32" x14ac:dyDescent="0.3">
      <c r="A189" s="7">
        <v>188</v>
      </c>
      <c r="B189" s="7" t="s">
        <v>100</v>
      </c>
      <c r="C189" s="7">
        <f t="shared" si="15"/>
        <v>1</v>
      </c>
      <c r="D189" s="7">
        <f t="shared" si="14"/>
        <v>0</v>
      </c>
      <c r="E189" s="7">
        <f t="shared" si="14"/>
        <v>0</v>
      </c>
      <c r="F189" s="7">
        <f t="shared" si="14"/>
        <v>0</v>
      </c>
      <c r="G189" s="7">
        <f t="shared" si="14"/>
        <v>0</v>
      </c>
      <c r="H189" s="7">
        <f t="shared" si="14"/>
        <v>0</v>
      </c>
      <c r="I189" s="8" t="s">
        <v>15</v>
      </c>
      <c r="J189" s="8" t="s">
        <v>83</v>
      </c>
      <c r="K189" s="8" t="str">
        <f>_xlfn.XLOOKUP(J189,Worksheet!$F$1:$F$48,Worksheet!$G$1:$G$48,0)</f>
        <v>Fear</v>
      </c>
      <c r="L189" s="8" t="s">
        <v>356</v>
      </c>
      <c r="M189" s="8" t="s">
        <v>15</v>
      </c>
      <c r="N189" s="8" t="s">
        <v>70</v>
      </c>
      <c r="O189" s="8">
        <v>3</v>
      </c>
      <c r="P189" s="8" t="s">
        <v>59</v>
      </c>
      <c r="Q189" s="8" t="s">
        <v>63</v>
      </c>
      <c r="R189" s="8" t="s">
        <v>218</v>
      </c>
      <c r="S189" s="8">
        <f t="shared" si="17"/>
        <v>0</v>
      </c>
      <c r="T189" s="8">
        <f t="shared" si="16"/>
        <v>1</v>
      </c>
      <c r="U189" s="8">
        <f t="shared" si="16"/>
        <v>1</v>
      </c>
      <c r="V189" s="8">
        <f t="shared" si="16"/>
        <v>1</v>
      </c>
      <c r="W189" s="8">
        <f t="shared" si="16"/>
        <v>1</v>
      </c>
      <c r="X189" s="8">
        <f t="shared" si="16"/>
        <v>1</v>
      </c>
      <c r="Y189" s="8">
        <f t="shared" si="16"/>
        <v>1</v>
      </c>
      <c r="Z189" s="8">
        <f t="shared" si="16"/>
        <v>1</v>
      </c>
      <c r="AA189" s="8">
        <f t="shared" si="16"/>
        <v>1</v>
      </c>
      <c r="AB189" s="8">
        <f t="shared" si="16"/>
        <v>0</v>
      </c>
      <c r="AC189" s="8" t="s">
        <v>25</v>
      </c>
      <c r="AD189" s="8" t="s">
        <v>34</v>
      </c>
      <c r="AE189" s="8" t="s">
        <v>24</v>
      </c>
      <c r="AF189" s="8" t="s">
        <v>25</v>
      </c>
    </row>
    <row r="190" spans="1:32" x14ac:dyDescent="0.3">
      <c r="A190" s="5">
        <v>189</v>
      </c>
      <c r="B190" s="5" t="s">
        <v>66</v>
      </c>
      <c r="C190" s="5">
        <f t="shared" si="15"/>
        <v>0</v>
      </c>
      <c r="D190" s="5">
        <f t="shared" si="14"/>
        <v>1</v>
      </c>
      <c r="E190" s="5">
        <f t="shared" si="14"/>
        <v>0</v>
      </c>
      <c r="F190" s="5">
        <f t="shared" si="14"/>
        <v>0</v>
      </c>
      <c r="G190" s="5">
        <f t="shared" si="14"/>
        <v>0</v>
      </c>
      <c r="H190" s="5">
        <f t="shared" si="14"/>
        <v>1</v>
      </c>
      <c r="I190" s="6" t="s">
        <v>15</v>
      </c>
      <c r="J190" s="6" t="s">
        <v>43</v>
      </c>
      <c r="K190" s="6" t="str">
        <f>_xlfn.XLOOKUP(J190,Worksheet!$F$1:$F$48,Worksheet!$G$1:$G$48,0)</f>
        <v>Lack of awareness</v>
      </c>
      <c r="L190" s="6" t="s">
        <v>356</v>
      </c>
      <c r="M190" s="6" t="s">
        <v>15</v>
      </c>
      <c r="N190" s="6" t="s">
        <v>51</v>
      </c>
      <c r="O190" s="6">
        <v>4</v>
      </c>
      <c r="P190" s="6" t="s">
        <v>45</v>
      </c>
      <c r="Q190" s="6" t="s">
        <v>63</v>
      </c>
      <c r="R190" s="6" t="s">
        <v>219</v>
      </c>
      <c r="S190" s="6">
        <f t="shared" si="17"/>
        <v>1</v>
      </c>
      <c r="T190" s="6">
        <f t="shared" si="16"/>
        <v>0</v>
      </c>
      <c r="U190" s="6">
        <f t="shared" si="16"/>
        <v>0</v>
      </c>
      <c r="V190" s="6">
        <f t="shared" si="16"/>
        <v>0</v>
      </c>
      <c r="W190" s="6">
        <f t="shared" si="16"/>
        <v>0</v>
      </c>
      <c r="X190" s="6">
        <f t="shared" si="16"/>
        <v>1</v>
      </c>
      <c r="Y190" s="6">
        <f t="shared" si="16"/>
        <v>1</v>
      </c>
      <c r="Z190" s="6">
        <f t="shared" si="16"/>
        <v>1</v>
      </c>
      <c r="AA190" s="6">
        <f t="shared" si="16"/>
        <v>0</v>
      </c>
      <c r="AB190" s="6">
        <f t="shared" si="16"/>
        <v>0</v>
      </c>
      <c r="AC190" s="6" t="s">
        <v>21</v>
      </c>
      <c r="AD190" s="6" t="s">
        <v>23</v>
      </c>
      <c r="AE190" s="6" t="s">
        <v>24</v>
      </c>
      <c r="AF190" s="6" t="s">
        <v>48</v>
      </c>
    </row>
    <row r="191" spans="1:32" x14ac:dyDescent="0.3">
      <c r="A191" s="7">
        <v>190</v>
      </c>
      <c r="B191" s="7" t="s">
        <v>55</v>
      </c>
      <c r="C191" s="7">
        <f t="shared" si="15"/>
        <v>0</v>
      </c>
      <c r="D191" s="7">
        <f t="shared" si="14"/>
        <v>0</v>
      </c>
      <c r="E191" s="7">
        <f t="shared" si="14"/>
        <v>0</v>
      </c>
      <c r="F191" s="7">
        <f t="shared" si="14"/>
        <v>0</v>
      </c>
      <c r="G191" s="7">
        <f t="shared" si="14"/>
        <v>0</v>
      </c>
      <c r="H191" s="7">
        <f t="shared" si="14"/>
        <v>1</v>
      </c>
      <c r="I191" s="8" t="s">
        <v>27</v>
      </c>
      <c r="J191" s="8" t="s">
        <v>220</v>
      </c>
      <c r="K191" s="8" t="str">
        <f>_xlfn.XLOOKUP(J191,Worksheet!$F$1:$F$48,Worksheet!$G$1:$G$48,0)</f>
        <v>No need</v>
      </c>
      <c r="L191" s="8" t="s">
        <v>29</v>
      </c>
      <c r="M191" s="8" t="s">
        <v>49</v>
      </c>
      <c r="N191" s="8" t="s">
        <v>51</v>
      </c>
      <c r="O191" s="8">
        <v>3</v>
      </c>
      <c r="P191" s="8" t="s">
        <v>84</v>
      </c>
      <c r="Q191" s="8" t="s">
        <v>63</v>
      </c>
      <c r="R191" s="8" t="s">
        <v>47</v>
      </c>
      <c r="S191" s="8">
        <f t="shared" si="17"/>
        <v>0</v>
      </c>
      <c r="T191" s="8">
        <f t="shared" si="16"/>
        <v>0</v>
      </c>
      <c r="U191" s="8">
        <f t="shared" si="16"/>
        <v>1</v>
      </c>
      <c r="V191" s="8">
        <f t="shared" si="16"/>
        <v>0</v>
      </c>
      <c r="W191" s="8">
        <f t="shared" si="16"/>
        <v>0</v>
      </c>
      <c r="X191" s="8">
        <f t="shared" si="16"/>
        <v>0</v>
      </c>
      <c r="Y191" s="8">
        <f t="shared" si="16"/>
        <v>0</v>
      </c>
      <c r="Z191" s="8">
        <f t="shared" si="16"/>
        <v>0</v>
      </c>
      <c r="AA191" s="8">
        <f t="shared" si="16"/>
        <v>0</v>
      </c>
      <c r="AB191" s="8">
        <f t="shared" si="16"/>
        <v>0</v>
      </c>
      <c r="AC191" s="8" t="s">
        <v>25</v>
      </c>
      <c r="AD191" s="8" t="s">
        <v>34</v>
      </c>
      <c r="AE191" s="8" t="s">
        <v>136</v>
      </c>
      <c r="AF191" s="8" t="s">
        <v>82</v>
      </c>
    </row>
    <row r="192" spans="1:32" x14ac:dyDescent="0.3">
      <c r="A192" s="5">
        <v>191</v>
      </c>
      <c r="B192" s="5" t="s">
        <v>68</v>
      </c>
      <c r="C192" s="5">
        <f t="shared" si="15"/>
        <v>0</v>
      </c>
      <c r="D192" s="5">
        <f t="shared" si="14"/>
        <v>1</v>
      </c>
      <c r="E192" s="5">
        <f t="shared" si="14"/>
        <v>0</v>
      </c>
      <c r="F192" s="5">
        <f t="shared" si="14"/>
        <v>0</v>
      </c>
      <c r="G192" s="5">
        <f t="shared" si="14"/>
        <v>0</v>
      </c>
      <c r="H192" s="5">
        <f t="shared" si="14"/>
        <v>0</v>
      </c>
      <c r="I192" s="6" t="s">
        <v>27</v>
      </c>
      <c r="J192" s="6" t="s">
        <v>43</v>
      </c>
      <c r="K192" s="6" t="str">
        <f>_xlfn.XLOOKUP(J192,Worksheet!$F$1:$F$48,Worksheet!$G$1:$G$48,0)</f>
        <v>Lack of awareness</v>
      </c>
      <c r="L192" s="6" t="s">
        <v>356</v>
      </c>
      <c r="M192" s="6" t="s">
        <v>49</v>
      </c>
      <c r="N192" s="6" t="s">
        <v>51</v>
      </c>
      <c r="O192" s="6">
        <v>5</v>
      </c>
      <c r="P192" s="6" t="s">
        <v>45</v>
      </c>
      <c r="Q192" s="6" t="s">
        <v>52</v>
      </c>
      <c r="R192" s="6" t="s">
        <v>96</v>
      </c>
      <c r="S192" s="6">
        <f t="shared" si="17"/>
        <v>0</v>
      </c>
      <c r="T192" s="6">
        <f t="shared" si="16"/>
        <v>0</v>
      </c>
      <c r="U192" s="6">
        <f t="shared" si="16"/>
        <v>0</v>
      </c>
      <c r="V192" s="6">
        <f t="shared" si="16"/>
        <v>1</v>
      </c>
      <c r="W192" s="6">
        <f t="shared" si="16"/>
        <v>0</v>
      </c>
      <c r="X192" s="6">
        <f t="shared" si="16"/>
        <v>0</v>
      </c>
      <c r="Y192" s="6">
        <f t="shared" si="16"/>
        <v>0</v>
      </c>
      <c r="Z192" s="6">
        <f t="shared" si="16"/>
        <v>0</v>
      </c>
      <c r="AA192" s="6">
        <f t="shared" si="16"/>
        <v>0</v>
      </c>
      <c r="AB192" s="6">
        <f t="shared" si="16"/>
        <v>0</v>
      </c>
      <c r="AC192" s="6" t="s">
        <v>25</v>
      </c>
      <c r="AD192" s="6" t="s">
        <v>34</v>
      </c>
      <c r="AE192" s="6" t="s">
        <v>113</v>
      </c>
      <c r="AF192" s="6" t="s">
        <v>48</v>
      </c>
    </row>
    <row r="193" spans="1:32" x14ac:dyDescent="0.3">
      <c r="A193" s="7">
        <v>192</v>
      </c>
      <c r="B193" s="7" t="s">
        <v>66</v>
      </c>
      <c r="C193" s="7">
        <f t="shared" si="15"/>
        <v>0</v>
      </c>
      <c r="D193" s="7">
        <f t="shared" si="14"/>
        <v>1</v>
      </c>
      <c r="E193" s="7">
        <f t="shared" si="14"/>
        <v>0</v>
      </c>
      <c r="F193" s="7">
        <f t="shared" si="14"/>
        <v>0</v>
      </c>
      <c r="G193" s="7">
        <f t="shared" si="14"/>
        <v>0</v>
      </c>
      <c r="H193" s="7">
        <f t="shared" si="14"/>
        <v>1</v>
      </c>
      <c r="I193" s="8" t="s">
        <v>27</v>
      </c>
      <c r="J193" s="8" t="s">
        <v>43</v>
      </c>
      <c r="K193" s="8" t="str">
        <f>_xlfn.XLOOKUP(J193,Worksheet!$F$1:$F$48,Worksheet!$G$1:$G$48,0)</f>
        <v>Lack of awareness</v>
      </c>
      <c r="L193" s="8" t="s">
        <v>50</v>
      </c>
      <c r="M193" s="8" t="s">
        <v>49</v>
      </c>
      <c r="N193" s="8" t="s">
        <v>58</v>
      </c>
      <c r="O193" s="8">
        <v>4</v>
      </c>
      <c r="P193" s="8" t="s">
        <v>59</v>
      </c>
      <c r="Q193" s="8" t="s">
        <v>46</v>
      </c>
      <c r="R193" s="8" t="s">
        <v>190</v>
      </c>
      <c r="S193" s="8">
        <f t="shared" si="17"/>
        <v>0</v>
      </c>
      <c r="T193" s="8">
        <f t="shared" si="16"/>
        <v>0</v>
      </c>
      <c r="U193" s="8">
        <f t="shared" si="16"/>
        <v>1</v>
      </c>
      <c r="V193" s="8">
        <f t="shared" si="16"/>
        <v>1</v>
      </c>
      <c r="W193" s="8">
        <f t="shared" si="16"/>
        <v>0</v>
      </c>
      <c r="X193" s="8">
        <f t="shared" si="16"/>
        <v>0</v>
      </c>
      <c r="Y193" s="8">
        <f t="shared" si="16"/>
        <v>0</v>
      </c>
      <c r="Z193" s="8">
        <f t="shared" si="16"/>
        <v>0</v>
      </c>
      <c r="AA193" s="8">
        <f t="shared" si="16"/>
        <v>0</v>
      </c>
      <c r="AB193" s="8">
        <f t="shared" si="16"/>
        <v>0</v>
      </c>
      <c r="AC193" s="8" t="s">
        <v>21</v>
      </c>
      <c r="AD193" s="8" t="s">
        <v>23</v>
      </c>
      <c r="AE193" s="8" t="s">
        <v>24</v>
      </c>
      <c r="AF193" s="8" t="s">
        <v>48</v>
      </c>
    </row>
    <row r="194" spans="1:32" x14ac:dyDescent="0.3">
      <c r="A194" s="5">
        <v>193</v>
      </c>
      <c r="B194" s="5" t="s">
        <v>66</v>
      </c>
      <c r="C194" s="5">
        <f t="shared" si="15"/>
        <v>0</v>
      </c>
      <c r="D194" s="5">
        <f t="shared" si="14"/>
        <v>1</v>
      </c>
      <c r="E194" s="5">
        <f t="shared" si="14"/>
        <v>0</v>
      </c>
      <c r="F194" s="5">
        <f t="shared" si="14"/>
        <v>0</v>
      </c>
      <c r="G194" s="5">
        <f t="shared" si="14"/>
        <v>0</v>
      </c>
      <c r="H194" s="5">
        <f t="shared" si="14"/>
        <v>1</v>
      </c>
      <c r="I194" s="6" t="s">
        <v>15</v>
      </c>
      <c r="J194" s="6" t="s">
        <v>43</v>
      </c>
      <c r="K194" s="6" t="str">
        <f>_xlfn.XLOOKUP(J194,Worksheet!$F$1:$F$48,Worksheet!$G$1:$G$48,0)</f>
        <v>Lack of awareness</v>
      </c>
      <c r="L194" s="6" t="s">
        <v>29</v>
      </c>
      <c r="M194" s="6" t="s">
        <v>30</v>
      </c>
      <c r="N194" s="6" t="s">
        <v>44</v>
      </c>
      <c r="O194" s="6">
        <v>5</v>
      </c>
      <c r="P194" s="6" t="s">
        <v>45</v>
      </c>
      <c r="Q194" s="6" t="s">
        <v>46</v>
      </c>
      <c r="R194" s="6" t="s">
        <v>74</v>
      </c>
      <c r="S194" s="6">
        <f t="shared" si="17"/>
        <v>1</v>
      </c>
      <c r="T194" s="6">
        <f t="shared" si="16"/>
        <v>1</v>
      </c>
      <c r="U194" s="6">
        <f t="shared" si="16"/>
        <v>1</v>
      </c>
      <c r="V194" s="6">
        <f t="shared" si="16"/>
        <v>0</v>
      </c>
      <c r="W194" s="6">
        <f t="shared" si="16"/>
        <v>0</v>
      </c>
      <c r="X194" s="6">
        <f t="shared" si="16"/>
        <v>0</v>
      </c>
      <c r="Y194" s="6">
        <f t="shared" si="16"/>
        <v>0</v>
      </c>
      <c r="Z194" s="6">
        <f t="shared" si="16"/>
        <v>0</v>
      </c>
      <c r="AA194" s="6">
        <f t="shared" si="16"/>
        <v>0</v>
      </c>
      <c r="AB194" s="6">
        <f t="shared" si="16"/>
        <v>0</v>
      </c>
      <c r="AC194" s="6" t="s">
        <v>21</v>
      </c>
      <c r="AD194" s="6" t="s">
        <v>40</v>
      </c>
      <c r="AE194" s="6" t="s">
        <v>24</v>
      </c>
      <c r="AF194" s="6" t="s">
        <v>48</v>
      </c>
    </row>
    <row r="195" spans="1:32" x14ac:dyDescent="0.3">
      <c r="A195" s="7">
        <v>194</v>
      </c>
      <c r="B195" s="7" t="s">
        <v>68</v>
      </c>
      <c r="C195" s="7">
        <f t="shared" si="15"/>
        <v>0</v>
      </c>
      <c r="D195" s="7">
        <f t="shared" si="14"/>
        <v>1</v>
      </c>
      <c r="E195" s="7">
        <f t="shared" si="14"/>
        <v>0</v>
      </c>
      <c r="F195" s="7">
        <f t="shared" si="14"/>
        <v>0</v>
      </c>
      <c r="G195" s="7">
        <f t="shared" si="14"/>
        <v>0</v>
      </c>
      <c r="H195" s="7">
        <f t="shared" si="14"/>
        <v>0</v>
      </c>
      <c r="I195" s="8" t="s">
        <v>15</v>
      </c>
      <c r="J195" s="8" t="s">
        <v>43</v>
      </c>
      <c r="K195" s="8" t="str">
        <f>_xlfn.XLOOKUP(J195,Worksheet!$F$1:$F$48,Worksheet!$G$1:$G$48,0)</f>
        <v>Lack of awareness</v>
      </c>
      <c r="L195" s="8" t="s">
        <v>50</v>
      </c>
      <c r="M195" s="8" t="s">
        <v>49</v>
      </c>
      <c r="N195" s="8" t="s">
        <v>70</v>
      </c>
      <c r="O195" s="8">
        <v>5</v>
      </c>
      <c r="P195" s="8" t="s">
        <v>45</v>
      </c>
      <c r="Q195" s="8" t="s">
        <v>52</v>
      </c>
      <c r="R195" s="8" t="s">
        <v>221</v>
      </c>
      <c r="S195" s="8">
        <f t="shared" si="17"/>
        <v>0</v>
      </c>
      <c r="T195" s="8">
        <f t="shared" si="16"/>
        <v>1</v>
      </c>
      <c r="U195" s="8">
        <f t="shared" si="16"/>
        <v>1</v>
      </c>
      <c r="V195" s="8">
        <f t="shared" si="16"/>
        <v>0</v>
      </c>
      <c r="W195" s="8">
        <f t="shared" si="16"/>
        <v>1</v>
      </c>
      <c r="X195" s="8">
        <f t="shared" si="16"/>
        <v>0</v>
      </c>
      <c r="Y195" s="8">
        <f t="shared" si="16"/>
        <v>1</v>
      </c>
      <c r="Z195" s="8">
        <f t="shared" si="16"/>
        <v>1</v>
      </c>
      <c r="AA195" s="8">
        <f t="shared" si="16"/>
        <v>0</v>
      </c>
      <c r="AB195" s="8">
        <f t="shared" si="16"/>
        <v>0</v>
      </c>
      <c r="AC195" s="8" t="s">
        <v>21</v>
      </c>
      <c r="AD195" s="8" t="s">
        <v>40</v>
      </c>
      <c r="AE195" s="8" t="s">
        <v>24</v>
      </c>
      <c r="AF195" s="8" t="s">
        <v>82</v>
      </c>
    </row>
    <row r="196" spans="1:32" x14ac:dyDescent="0.3">
      <c r="A196" s="5">
        <v>195</v>
      </c>
      <c r="B196" s="5" t="s">
        <v>66</v>
      </c>
      <c r="C196" s="5">
        <f t="shared" si="15"/>
        <v>0</v>
      </c>
      <c r="D196" s="5">
        <f t="shared" si="14"/>
        <v>1</v>
      </c>
      <c r="E196" s="5">
        <f t="shared" si="14"/>
        <v>0</v>
      </c>
      <c r="F196" s="5">
        <f t="shared" si="14"/>
        <v>0</v>
      </c>
      <c r="G196" s="5">
        <f t="shared" si="14"/>
        <v>0</v>
      </c>
      <c r="H196" s="5">
        <f t="shared" si="14"/>
        <v>1</v>
      </c>
      <c r="I196" s="6" t="s">
        <v>15</v>
      </c>
      <c r="J196" s="6" t="s">
        <v>43</v>
      </c>
      <c r="K196" s="6" t="str">
        <f>_xlfn.XLOOKUP(J196,Worksheet!$F$1:$F$48,Worksheet!$G$1:$G$48,0)</f>
        <v>Lack of awareness</v>
      </c>
      <c r="L196" s="6" t="s">
        <v>37</v>
      </c>
      <c r="M196" s="6" t="s">
        <v>49</v>
      </c>
      <c r="N196" s="6" t="s">
        <v>44</v>
      </c>
      <c r="O196" s="6">
        <v>5</v>
      </c>
      <c r="P196" s="6" t="s">
        <v>45</v>
      </c>
      <c r="Q196" s="6" t="s">
        <v>63</v>
      </c>
      <c r="R196" s="6" t="s">
        <v>222</v>
      </c>
      <c r="S196" s="6">
        <f t="shared" si="17"/>
        <v>1</v>
      </c>
      <c r="T196" s="6">
        <f t="shared" si="16"/>
        <v>0</v>
      </c>
      <c r="U196" s="6">
        <f t="shared" si="16"/>
        <v>0</v>
      </c>
      <c r="V196" s="6">
        <f t="shared" si="16"/>
        <v>0</v>
      </c>
      <c r="W196" s="6">
        <f t="shared" si="16"/>
        <v>1</v>
      </c>
      <c r="X196" s="6">
        <f t="shared" si="16"/>
        <v>1</v>
      </c>
      <c r="Y196" s="6">
        <f t="shared" si="16"/>
        <v>1</v>
      </c>
      <c r="Z196" s="6">
        <f t="shared" si="16"/>
        <v>1</v>
      </c>
      <c r="AA196" s="6">
        <f t="shared" si="16"/>
        <v>1</v>
      </c>
      <c r="AB196" s="6">
        <f t="shared" si="16"/>
        <v>1</v>
      </c>
      <c r="AC196" s="6" t="s">
        <v>21</v>
      </c>
      <c r="AD196" s="6" t="s">
        <v>34</v>
      </c>
      <c r="AE196" s="6" t="s">
        <v>24</v>
      </c>
      <c r="AF196" s="6" t="s">
        <v>82</v>
      </c>
    </row>
    <row r="197" spans="1:32" x14ac:dyDescent="0.3">
      <c r="A197" s="7">
        <v>196</v>
      </c>
      <c r="B197" s="7" t="s">
        <v>41</v>
      </c>
      <c r="C197" s="7">
        <f t="shared" si="15"/>
        <v>0</v>
      </c>
      <c r="D197" s="7">
        <f t="shared" si="14"/>
        <v>0</v>
      </c>
      <c r="E197" s="7">
        <f t="shared" si="14"/>
        <v>0</v>
      </c>
      <c r="F197" s="7">
        <f t="shared" si="14"/>
        <v>0</v>
      </c>
      <c r="G197" s="7">
        <f t="shared" si="14"/>
        <v>1</v>
      </c>
      <c r="H197" s="7">
        <f t="shared" si="14"/>
        <v>0</v>
      </c>
      <c r="I197" s="8" t="s">
        <v>49</v>
      </c>
      <c r="J197" s="8" t="s">
        <v>223</v>
      </c>
      <c r="K197" s="8" t="str">
        <f>_xlfn.XLOOKUP(J197,Worksheet!$F$1:$F$48,Worksheet!$G$1:$G$48,0)</f>
        <v>Fear</v>
      </c>
      <c r="L197" s="8" t="s">
        <v>356</v>
      </c>
      <c r="M197" s="8" t="s">
        <v>49</v>
      </c>
      <c r="N197" s="8" t="s">
        <v>58</v>
      </c>
      <c r="O197" s="8">
        <v>2</v>
      </c>
      <c r="P197" s="8" t="s">
        <v>45</v>
      </c>
      <c r="Q197" s="8" t="s">
        <v>46</v>
      </c>
      <c r="R197" s="8" t="s">
        <v>56</v>
      </c>
      <c r="S197" s="8">
        <f t="shared" si="17"/>
        <v>1</v>
      </c>
      <c r="T197" s="8">
        <f t="shared" si="16"/>
        <v>0</v>
      </c>
      <c r="U197" s="8">
        <f t="shared" si="16"/>
        <v>0</v>
      </c>
      <c r="V197" s="8">
        <f t="shared" si="16"/>
        <v>0</v>
      </c>
      <c r="W197" s="8">
        <f t="shared" si="16"/>
        <v>0</v>
      </c>
      <c r="X197" s="8">
        <f t="shared" si="16"/>
        <v>0</v>
      </c>
      <c r="Y197" s="8">
        <f t="shared" si="16"/>
        <v>0</v>
      </c>
      <c r="Z197" s="8">
        <f t="shared" si="16"/>
        <v>0</v>
      </c>
      <c r="AA197" s="8">
        <f t="shared" si="16"/>
        <v>0</v>
      </c>
      <c r="AB197" s="8">
        <f t="shared" si="16"/>
        <v>0</v>
      </c>
      <c r="AC197" s="8" t="s">
        <v>21</v>
      </c>
      <c r="AD197" s="8" t="s">
        <v>23</v>
      </c>
      <c r="AE197" s="8" t="s">
        <v>24</v>
      </c>
      <c r="AF197" s="8" t="s">
        <v>21</v>
      </c>
    </row>
    <row r="198" spans="1:32" x14ac:dyDescent="0.3">
      <c r="A198" s="5">
        <v>197</v>
      </c>
      <c r="B198" s="5" t="s">
        <v>26</v>
      </c>
      <c r="C198" s="5">
        <f t="shared" si="15"/>
        <v>0</v>
      </c>
      <c r="D198" s="5">
        <f t="shared" si="14"/>
        <v>1</v>
      </c>
      <c r="E198" s="5">
        <f t="shared" si="14"/>
        <v>0</v>
      </c>
      <c r="F198" s="5">
        <f t="shared" si="14"/>
        <v>0</v>
      </c>
      <c r="G198" s="5">
        <f t="shared" si="14"/>
        <v>1</v>
      </c>
      <c r="H198" s="5">
        <f t="shared" si="14"/>
        <v>0</v>
      </c>
      <c r="I198" s="6" t="s">
        <v>42</v>
      </c>
      <c r="J198" s="6" t="s">
        <v>43</v>
      </c>
      <c r="K198" s="6" t="str">
        <f>_xlfn.XLOOKUP(J198,Worksheet!$F$1:$F$48,Worksheet!$G$1:$G$48,0)</f>
        <v>Lack of awareness</v>
      </c>
      <c r="L198" s="6" t="s">
        <v>17</v>
      </c>
      <c r="M198" s="6" t="s">
        <v>30</v>
      </c>
      <c r="N198" s="6" t="s">
        <v>44</v>
      </c>
      <c r="O198" s="6">
        <v>1</v>
      </c>
      <c r="P198" s="6" t="s">
        <v>45</v>
      </c>
      <c r="Q198" s="6" t="s">
        <v>46</v>
      </c>
      <c r="R198" s="6" t="s">
        <v>224</v>
      </c>
      <c r="S198" s="6">
        <f t="shared" si="17"/>
        <v>1</v>
      </c>
      <c r="T198" s="6">
        <f t="shared" si="16"/>
        <v>1</v>
      </c>
      <c r="U198" s="6">
        <f t="shared" si="16"/>
        <v>0</v>
      </c>
      <c r="V198" s="6">
        <f t="shared" si="16"/>
        <v>1</v>
      </c>
      <c r="W198" s="6">
        <f t="shared" si="16"/>
        <v>1</v>
      </c>
      <c r="X198" s="6">
        <f t="shared" si="16"/>
        <v>0</v>
      </c>
      <c r="Y198" s="6">
        <f t="shared" si="16"/>
        <v>0</v>
      </c>
      <c r="Z198" s="6">
        <f t="shared" si="16"/>
        <v>0</v>
      </c>
      <c r="AA198" s="6">
        <f t="shared" si="16"/>
        <v>1</v>
      </c>
      <c r="AB198" s="6">
        <f t="shared" si="16"/>
        <v>0</v>
      </c>
      <c r="AC198" s="6" t="s">
        <v>21</v>
      </c>
      <c r="AD198" s="6" t="s">
        <v>23</v>
      </c>
      <c r="AE198" s="6" t="s">
        <v>24</v>
      </c>
      <c r="AF198" s="6" t="s">
        <v>21</v>
      </c>
    </row>
    <row r="199" spans="1:32" x14ac:dyDescent="0.3">
      <c r="A199" s="7">
        <v>198</v>
      </c>
      <c r="B199" s="7" t="s">
        <v>121</v>
      </c>
      <c r="C199" s="7">
        <f t="shared" si="15"/>
        <v>1</v>
      </c>
      <c r="D199" s="7">
        <f t="shared" si="14"/>
        <v>0</v>
      </c>
      <c r="E199" s="7">
        <f t="shared" si="14"/>
        <v>0</v>
      </c>
      <c r="F199" s="7">
        <f t="shared" si="14"/>
        <v>0</v>
      </c>
      <c r="G199" s="7">
        <f t="shared" si="14"/>
        <v>1</v>
      </c>
      <c r="H199" s="7">
        <f t="shared" si="14"/>
        <v>1</v>
      </c>
      <c r="I199" s="8" t="s">
        <v>15</v>
      </c>
      <c r="J199" s="8" t="s">
        <v>43</v>
      </c>
      <c r="K199" s="8" t="str">
        <f>_xlfn.XLOOKUP(J199,Worksheet!$F$1:$F$48,Worksheet!$G$1:$G$48,0)</f>
        <v>Lack of awareness</v>
      </c>
      <c r="L199" s="8" t="s">
        <v>17</v>
      </c>
      <c r="M199" s="8" t="s">
        <v>15</v>
      </c>
      <c r="N199" s="8" t="s">
        <v>58</v>
      </c>
      <c r="O199" s="8">
        <v>5</v>
      </c>
      <c r="P199" s="8" t="s">
        <v>45</v>
      </c>
      <c r="Q199" s="8" t="s">
        <v>46</v>
      </c>
      <c r="R199" s="8" t="s">
        <v>67</v>
      </c>
      <c r="S199" s="8">
        <f t="shared" si="17"/>
        <v>1</v>
      </c>
      <c r="T199" s="8">
        <f t="shared" si="16"/>
        <v>1</v>
      </c>
      <c r="U199" s="8">
        <f t="shared" si="16"/>
        <v>1</v>
      </c>
      <c r="V199" s="8">
        <f t="shared" si="16"/>
        <v>1</v>
      </c>
      <c r="W199" s="8">
        <f t="shared" si="16"/>
        <v>1</v>
      </c>
      <c r="X199" s="8">
        <f t="shared" si="16"/>
        <v>1</v>
      </c>
      <c r="Y199" s="8">
        <f t="shared" si="16"/>
        <v>1</v>
      </c>
      <c r="Z199" s="8">
        <f t="shared" si="16"/>
        <v>1</v>
      </c>
      <c r="AA199" s="8">
        <f t="shared" si="16"/>
        <v>1</v>
      </c>
      <c r="AB199" s="8">
        <f t="shared" si="16"/>
        <v>1</v>
      </c>
      <c r="AC199" s="8" t="s">
        <v>21</v>
      </c>
      <c r="AD199" s="8" t="s">
        <v>23</v>
      </c>
      <c r="AE199" s="8" t="s">
        <v>24</v>
      </c>
      <c r="AF199" s="8" t="s">
        <v>21</v>
      </c>
    </row>
    <row r="200" spans="1:32" x14ac:dyDescent="0.3">
      <c r="A200" s="5">
        <v>199</v>
      </c>
      <c r="B200" s="5" t="s">
        <v>68</v>
      </c>
      <c r="C200" s="5">
        <f t="shared" si="15"/>
        <v>0</v>
      </c>
      <c r="D200" s="5">
        <f t="shared" si="14"/>
        <v>1</v>
      </c>
      <c r="E200" s="5">
        <f t="shared" si="14"/>
        <v>0</v>
      </c>
      <c r="F200" s="5">
        <f t="shared" si="14"/>
        <v>0</v>
      </c>
      <c r="G200" s="5">
        <f t="shared" si="14"/>
        <v>0</v>
      </c>
      <c r="H200" s="5">
        <f t="shared" si="14"/>
        <v>0</v>
      </c>
      <c r="I200" s="6" t="s">
        <v>15</v>
      </c>
      <c r="J200" s="6" t="s">
        <v>43</v>
      </c>
      <c r="K200" s="6" t="str">
        <f>_xlfn.XLOOKUP(J200,Worksheet!$F$1:$F$48,Worksheet!$G$1:$G$48,0)</f>
        <v>Lack of awareness</v>
      </c>
      <c r="L200" s="6" t="s">
        <v>29</v>
      </c>
      <c r="M200" s="6" t="s">
        <v>30</v>
      </c>
      <c r="N200" s="6" t="s">
        <v>51</v>
      </c>
      <c r="O200" s="6">
        <v>4</v>
      </c>
      <c r="P200" s="6" t="s">
        <v>45</v>
      </c>
      <c r="Q200" s="6" t="s">
        <v>63</v>
      </c>
      <c r="R200" s="6" t="s">
        <v>225</v>
      </c>
      <c r="S200" s="6">
        <f t="shared" si="17"/>
        <v>1</v>
      </c>
      <c r="T200" s="6">
        <f t="shared" si="16"/>
        <v>1</v>
      </c>
      <c r="U200" s="6">
        <f t="shared" si="16"/>
        <v>0</v>
      </c>
      <c r="V200" s="6">
        <f t="shared" si="16"/>
        <v>1</v>
      </c>
      <c r="W200" s="6">
        <f t="shared" si="16"/>
        <v>0</v>
      </c>
      <c r="X200" s="6">
        <f t="shared" si="16"/>
        <v>1</v>
      </c>
      <c r="Y200" s="6">
        <f t="shared" si="16"/>
        <v>0</v>
      </c>
      <c r="Z200" s="6">
        <f t="shared" si="16"/>
        <v>0</v>
      </c>
      <c r="AA200" s="6">
        <f t="shared" si="16"/>
        <v>1</v>
      </c>
      <c r="AB200" s="6">
        <f t="shared" si="16"/>
        <v>0</v>
      </c>
      <c r="AC200" s="6" t="s">
        <v>21</v>
      </c>
      <c r="AD200" s="6" t="s">
        <v>23</v>
      </c>
      <c r="AE200" s="6" t="s">
        <v>113</v>
      </c>
      <c r="AF200" s="6" t="s">
        <v>21</v>
      </c>
    </row>
    <row r="201" spans="1:32" x14ac:dyDescent="0.3">
      <c r="A201" s="7">
        <v>200</v>
      </c>
      <c r="B201" s="7" t="s">
        <v>103</v>
      </c>
      <c r="C201" s="7">
        <f t="shared" si="15"/>
        <v>1</v>
      </c>
      <c r="D201" s="7">
        <f t="shared" si="14"/>
        <v>1</v>
      </c>
      <c r="E201" s="7">
        <f t="shared" si="14"/>
        <v>0</v>
      </c>
      <c r="F201" s="7">
        <f t="shared" si="14"/>
        <v>0</v>
      </c>
      <c r="G201" s="7">
        <f t="shared" si="14"/>
        <v>0</v>
      </c>
      <c r="H201" s="7">
        <f t="shared" si="14"/>
        <v>0</v>
      </c>
      <c r="I201" s="8" t="s">
        <v>15</v>
      </c>
      <c r="J201" s="8" t="s">
        <v>83</v>
      </c>
      <c r="K201" s="8" t="str">
        <f>_xlfn.XLOOKUP(J201,Worksheet!$F$1:$F$48,Worksheet!$G$1:$G$48,0)</f>
        <v>Fear</v>
      </c>
      <c r="L201" s="8" t="s">
        <v>50</v>
      </c>
      <c r="M201" s="8" t="s">
        <v>49</v>
      </c>
      <c r="N201" s="8" t="s">
        <v>58</v>
      </c>
      <c r="O201" s="8">
        <v>4</v>
      </c>
      <c r="P201" s="8" t="s">
        <v>45</v>
      </c>
      <c r="Q201" s="8" t="s">
        <v>52</v>
      </c>
      <c r="R201" s="8" t="s">
        <v>175</v>
      </c>
      <c r="S201" s="8">
        <f t="shared" si="17"/>
        <v>1</v>
      </c>
      <c r="T201" s="8">
        <f t="shared" si="16"/>
        <v>0</v>
      </c>
      <c r="U201" s="8">
        <f t="shared" si="16"/>
        <v>1</v>
      </c>
      <c r="V201" s="8">
        <f t="shared" si="16"/>
        <v>1</v>
      </c>
      <c r="W201" s="8">
        <f t="shared" si="16"/>
        <v>0</v>
      </c>
      <c r="X201" s="8">
        <f t="shared" si="16"/>
        <v>0</v>
      </c>
      <c r="Y201" s="8">
        <f t="shared" si="16"/>
        <v>0</v>
      </c>
      <c r="Z201" s="8">
        <f t="shared" si="16"/>
        <v>0</v>
      </c>
      <c r="AA201" s="8">
        <f t="shared" si="16"/>
        <v>0</v>
      </c>
      <c r="AB201" s="8">
        <f t="shared" si="16"/>
        <v>0</v>
      </c>
      <c r="AC201" s="8" t="s">
        <v>21</v>
      </c>
      <c r="AD201" s="8" t="s">
        <v>40</v>
      </c>
      <c r="AE201" s="8" t="s">
        <v>88</v>
      </c>
      <c r="AF201" s="8" t="s">
        <v>48</v>
      </c>
    </row>
    <row r="202" spans="1:32" x14ac:dyDescent="0.3">
      <c r="A202" s="5">
        <v>201</v>
      </c>
      <c r="B202" s="5" t="s">
        <v>135</v>
      </c>
      <c r="C202" s="5">
        <f t="shared" si="15"/>
        <v>0</v>
      </c>
      <c r="D202" s="5">
        <f t="shared" si="14"/>
        <v>0</v>
      </c>
      <c r="E202" s="5">
        <f t="shared" si="14"/>
        <v>0</v>
      </c>
      <c r="F202" s="5">
        <f t="shared" ref="D202:H253" si="18">IFERROR(IF(SEARCH(F$1,$B202)&gt;0,1,0),0)</f>
        <v>0</v>
      </c>
      <c r="G202" s="5">
        <f t="shared" si="18"/>
        <v>1</v>
      </c>
      <c r="H202" s="5">
        <f t="shared" si="18"/>
        <v>1</v>
      </c>
      <c r="I202" s="6" t="s">
        <v>42</v>
      </c>
      <c r="J202" s="6" t="s">
        <v>36</v>
      </c>
      <c r="K202" s="6" t="str">
        <f>_xlfn.XLOOKUP(J202,Worksheet!$F$1:$F$48,Worksheet!$G$1:$G$48,0)</f>
        <v>Shame</v>
      </c>
      <c r="L202" s="6" t="s">
        <v>37</v>
      </c>
      <c r="M202" s="6" t="s">
        <v>18</v>
      </c>
      <c r="N202" s="6" t="s">
        <v>51</v>
      </c>
      <c r="O202" s="6">
        <v>5</v>
      </c>
      <c r="P202" s="6" t="s">
        <v>45</v>
      </c>
      <c r="Q202" s="6" t="s">
        <v>46</v>
      </c>
      <c r="R202" s="6" t="s">
        <v>60</v>
      </c>
      <c r="S202" s="6">
        <f t="shared" si="17"/>
        <v>1</v>
      </c>
      <c r="T202" s="6">
        <f t="shared" si="16"/>
        <v>0</v>
      </c>
      <c r="U202" s="6">
        <f t="shared" si="16"/>
        <v>1</v>
      </c>
      <c r="V202" s="6">
        <f t="shared" si="16"/>
        <v>0</v>
      </c>
      <c r="W202" s="6">
        <f t="shared" si="16"/>
        <v>0</v>
      </c>
      <c r="X202" s="6">
        <f t="shared" si="16"/>
        <v>0</v>
      </c>
      <c r="Y202" s="6">
        <f t="shared" si="16"/>
        <v>0</v>
      </c>
      <c r="Z202" s="6">
        <f t="shared" si="16"/>
        <v>0</v>
      </c>
      <c r="AA202" s="6">
        <f t="shared" si="16"/>
        <v>0</v>
      </c>
      <c r="AB202" s="6">
        <f t="shared" si="16"/>
        <v>0</v>
      </c>
      <c r="AC202" s="6" t="s">
        <v>21</v>
      </c>
      <c r="AD202" s="6" t="s">
        <v>34</v>
      </c>
      <c r="AE202" s="6" t="s">
        <v>24</v>
      </c>
      <c r="AF202" s="6" t="s">
        <v>25</v>
      </c>
    </row>
    <row r="203" spans="1:32" x14ac:dyDescent="0.3">
      <c r="A203" s="7">
        <v>202</v>
      </c>
      <c r="B203" s="7" t="s">
        <v>100</v>
      </c>
      <c r="C203" s="7">
        <f t="shared" si="15"/>
        <v>1</v>
      </c>
      <c r="D203" s="7">
        <f t="shared" si="18"/>
        <v>0</v>
      </c>
      <c r="E203" s="7">
        <f t="shared" si="18"/>
        <v>0</v>
      </c>
      <c r="F203" s="7">
        <f t="shared" si="18"/>
        <v>0</v>
      </c>
      <c r="G203" s="7">
        <f t="shared" si="18"/>
        <v>0</v>
      </c>
      <c r="H203" s="7">
        <f t="shared" si="18"/>
        <v>0</v>
      </c>
      <c r="I203" s="8" t="s">
        <v>15</v>
      </c>
      <c r="J203" s="8" t="s">
        <v>226</v>
      </c>
      <c r="K203" s="8" t="str">
        <f>_xlfn.XLOOKUP(J203,Worksheet!$F$1:$F$48,Worksheet!$G$1:$G$48,0)</f>
        <v>Fear</v>
      </c>
      <c r="L203" s="8" t="s">
        <v>17</v>
      </c>
      <c r="M203" s="8" t="s">
        <v>15</v>
      </c>
      <c r="N203" s="8" t="s">
        <v>44</v>
      </c>
      <c r="O203" s="8">
        <v>5</v>
      </c>
      <c r="P203" s="8" t="s">
        <v>84</v>
      </c>
      <c r="Q203" s="8" t="s">
        <v>46</v>
      </c>
      <c r="R203" s="8" t="s">
        <v>227</v>
      </c>
      <c r="S203" s="8">
        <f t="shared" si="17"/>
        <v>1</v>
      </c>
      <c r="T203" s="8">
        <f t="shared" si="16"/>
        <v>0</v>
      </c>
      <c r="U203" s="8">
        <f t="shared" si="16"/>
        <v>1</v>
      </c>
      <c r="V203" s="8">
        <f t="shared" si="16"/>
        <v>1</v>
      </c>
      <c r="W203" s="8">
        <f t="shared" si="16"/>
        <v>1</v>
      </c>
      <c r="X203" s="8">
        <f t="shared" si="16"/>
        <v>1</v>
      </c>
      <c r="Y203" s="8">
        <f t="shared" si="16"/>
        <v>1</v>
      </c>
      <c r="Z203" s="8">
        <f t="shared" si="16"/>
        <v>1</v>
      </c>
      <c r="AA203" s="8">
        <f t="shared" si="16"/>
        <v>1</v>
      </c>
      <c r="AB203" s="8">
        <f t="shared" si="16"/>
        <v>0</v>
      </c>
      <c r="AC203" s="8" t="s">
        <v>21</v>
      </c>
      <c r="AD203" s="8" t="s">
        <v>23</v>
      </c>
      <c r="AE203" s="8" t="s">
        <v>88</v>
      </c>
      <c r="AF203" s="8" t="s">
        <v>48</v>
      </c>
    </row>
    <row r="204" spans="1:32" x14ac:dyDescent="0.3">
      <c r="A204" s="5">
        <v>203</v>
      </c>
      <c r="B204" s="5" t="s">
        <v>75</v>
      </c>
      <c r="C204" s="5">
        <f t="shared" si="15"/>
        <v>1</v>
      </c>
      <c r="D204" s="5">
        <f t="shared" si="18"/>
        <v>1</v>
      </c>
      <c r="E204" s="5">
        <f t="shared" si="18"/>
        <v>0</v>
      </c>
      <c r="F204" s="5">
        <f t="shared" si="18"/>
        <v>0</v>
      </c>
      <c r="G204" s="5">
        <f t="shared" si="18"/>
        <v>0</v>
      </c>
      <c r="H204" s="5">
        <f t="shared" si="18"/>
        <v>1</v>
      </c>
      <c r="I204" s="6" t="s">
        <v>27</v>
      </c>
      <c r="J204" s="6" t="s">
        <v>124</v>
      </c>
      <c r="K204" s="6" t="str">
        <f>_xlfn.XLOOKUP(J204,Worksheet!$F$1:$F$48,Worksheet!$G$1:$G$48,0)</f>
        <v>Fear</v>
      </c>
      <c r="L204" s="6" t="s">
        <v>17</v>
      </c>
      <c r="M204" s="6" t="s">
        <v>18</v>
      </c>
      <c r="N204" s="6" t="s">
        <v>58</v>
      </c>
      <c r="O204" s="6">
        <v>2</v>
      </c>
      <c r="P204" s="6" t="s">
        <v>45</v>
      </c>
      <c r="Q204" s="6" t="s">
        <v>52</v>
      </c>
      <c r="R204" s="6" t="s">
        <v>228</v>
      </c>
      <c r="S204" s="6">
        <f t="shared" si="17"/>
        <v>0</v>
      </c>
      <c r="T204" s="6">
        <f t="shared" si="16"/>
        <v>1</v>
      </c>
      <c r="U204" s="6">
        <f t="shared" si="16"/>
        <v>0</v>
      </c>
      <c r="V204" s="6">
        <f t="shared" si="16"/>
        <v>1</v>
      </c>
      <c r="W204" s="6">
        <f t="shared" si="16"/>
        <v>0</v>
      </c>
      <c r="X204" s="6">
        <f t="shared" si="16"/>
        <v>1</v>
      </c>
      <c r="Y204" s="6">
        <f t="shared" si="16"/>
        <v>0</v>
      </c>
      <c r="Z204" s="6">
        <f t="shared" si="16"/>
        <v>1</v>
      </c>
      <c r="AA204" s="6">
        <f t="shared" si="16"/>
        <v>0</v>
      </c>
      <c r="AB204" s="6">
        <f t="shared" si="16"/>
        <v>0</v>
      </c>
      <c r="AC204" s="6" t="s">
        <v>21</v>
      </c>
      <c r="AD204" s="6" t="s">
        <v>34</v>
      </c>
      <c r="AE204" s="6" t="s">
        <v>24</v>
      </c>
      <c r="AF204" s="6" t="s">
        <v>25</v>
      </c>
    </row>
    <row r="205" spans="1:32" x14ac:dyDescent="0.3">
      <c r="A205" s="7">
        <v>204</v>
      </c>
      <c r="B205" s="7" t="s">
        <v>14</v>
      </c>
      <c r="C205" s="7">
        <f t="shared" si="15"/>
        <v>0</v>
      </c>
      <c r="D205" s="7">
        <f t="shared" si="18"/>
        <v>1</v>
      </c>
      <c r="E205" s="7">
        <f t="shared" si="18"/>
        <v>0</v>
      </c>
      <c r="F205" s="7">
        <f t="shared" si="18"/>
        <v>0</v>
      </c>
      <c r="G205" s="7">
        <f t="shared" si="18"/>
        <v>1</v>
      </c>
      <c r="H205" s="7">
        <f t="shared" si="18"/>
        <v>1</v>
      </c>
      <c r="I205" s="8" t="s">
        <v>15</v>
      </c>
      <c r="J205" s="8" t="s">
        <v>43</v>
      </c>
      <c r="K205" s="8" t="str">
        <f>_xlfn.XLOOKUP(J205,Worksheet!$F$1:$F$48,Worksheet!$G$1:$G$48,0)</f>
        <v>Lack of awareness</v>
      </c>
      <c r="L205" s="8" t="s">
        <v>356</v>
      </c>
      <c r="M205" s="8" t="s">
        <v>15</v>
      </c>
      <c r="N205" s="8" t="s">
        <v>58</v>
      </c>
      <c r="O205" s="8">
        <v>5</v>
      </c>
      <c r="P205" s="8" t="s">
        <v>45</v>
      </c>
      <c r="Q205" s="8" t="s">
        <v>46</v>
      </c>
      <c r="R205" s="8" t="s">
        <v>229</v>
      </c>
      <c r="S205" s="8">
        <f t="shared" si="17"/>
        <v>1</v>
      </c>
      <c r="T205" s="8">
        <f t="shared" si="16"/>
        <v>1</v>
      </c>
      <c r="U205" s="8">
        <f t="shared" si="16"/>
        <v>1</v>
      </c>
      <c r="V205" s="8">
        <f t="shared" si="16"/>
        <v>0</v>
      </c>
      <c r="W205" s="8">
        <f t="shared" si="16"/>
        <v>0</v>
      </c>
      <c r="X205" s="8">
        <f t="shared" si="16"/>
        <v>0</v>
      </c>
      <c r="Y205" s="8">
        <f t="shared" si="16"/>
        <v>0</v>
      </c>
      <c r="Z205" s="8">
        <f t="shared" si="16"/>
        <v>1</v>
      </c>
      <c r="AA205" s="8">
        <f t="shared" si="16"/>
        <v>0</v>
      </c>
      <c r="AB205" s="8">
        <f t="shared" si="16"/>
        <v>0</v>
      </c>
      <c r="AC205" s="8" t="s">
        <v>21</v>
      </c>
      <c r="AD205" s="8" t="s">
        <v>34</v>
      </c>
      <c r="AE205" s="8" t="s">
        <v>24</v>
      </c>
      <c r="AF205" s="8" t="s">
        <v>21</v>
      </c>
    </row>
    <row r="206" spans="1:32" x14ac:dyDescent="0.3">
      <c r="A206" s="5">
        <v>205</v>
      </c>
      <c r="B206" s="5" t="s">
        <v>41</v>
      </c>
      <c r="C206" s="5">
        <f t="shared" si="15"/>
        <v>0</v>
      </c>
      <c r="D206" s="5">
        <f t="shared" si="18"/>
        <v>0</v>
      </c>
      <c r="E206" s="5">
        <f t="shared" si="18"/>
        <v>0</v>
      </c>
      <c r="F206" s="5">
        <f t="shared" si="18"/>
        <v>0</v>
      </c>
      <c r="G206" s="5">
        <f t="shared" si="18"/>
        <v>1</v>
      </c>
      <c r="H206" s="5">
        <f t="shared" si="18"/>
        <v>0</v>
      </c>
      <c r="I206" s="6" t="s">
        <v>15</v>
      </c>
      <c r="J206" s="6" t="s">
        <v>223</v>
      </c>
      <c r="K206" s="6" t="str">
        <f>_xlfn.XLOOKUP(J206,Worksheet!$F$1:$F$48,Worksheet!$G$1:$G$48,0)</f>
        <v>Fear</v>
      </c>
      <c r="L206" s="6" t="s">
        <v>29</v>
      </c>
      <c r="M206" s="6" t="s">
        <v>15</v>
      </c>
      <c r="N206" s="6" t="s">
        <v>44</v>
      </c>
      <c r="O206" s="6">
        <v>4</v>
      </c>
      <c r="P206" s="6" t="s">
        <v>59</v>
      </c>
      <c r="Q206" s="6" t="s">
        <v>46</v>
      </c>
      <c r="R206" s="6" t="s">
        <v>56</v>
      </c>
      <c r="S206" s="6">
        <f t="shared" si="17"/>
        <v>1</v>
      </c>
      <c r="T206" s="6">
        <f t="shared" si="16"/>
        <v>0</v>
      </c>
      <c r="U206" s="6">
        <f t="shared" si="16"/>
        <v>0</v>
      </c>
      <c r="V206" s="6">
        <f t="shared" si="16"/>
        <v>0</v>
      </c>
      <c r="W206" s="6">
        <f t="shared" si="16"/>
        <v>0</v>
      </c>
      <c r="X206" s="6">
        <f t="shared" si="16"/>
        <v>0</v>
      </c>
      <c r="Y206" s="6">
        <f t="shared" si="16"/>
        <v>0</v>
      </c>
      <c r="Z206" s="6">
        <f t="shared" si="16"/>
        <v>0</v>
      </c>
      <c r="AA206" s="6">
        <f t="shared" si="16"/>
        <v>0</v>
      </c>
      <c r="AB206" s="6">
        <f t="shared" si="16"/>
        <v>0</v>
      </c>
      <c r="AC206" s="6" t="s">
        <v>21</v>
      </c>
      <c r="AD206" s="6" t="s">
        <v>23</v>
      </c>
      <c r="AE206" s="6" t="s">
        <v>24</v>
      </c>
      <c r="AF206" s="6" t="s">
        <v>21</v>
      </c>
    </row>
    <row r="207" spans="1:32" x14ac:dyDescent="0.3">
      <c r="A207" s="7">
        <v>206</v>
      </c>
      <c r="B207" s="7" t="s">
        <v>340</v>
      </c>
      <c r="C207" s="7">
        <f t="shared" si="15"/>
        <v>0</v>
      </c>
      <c r="D207" s="7">
        <f t="shared" si="18"/>
        <v>0</v>
      </c>
      <c r="E207" s="7">
        <f t="shared" si="18"/>
        <v>1</v>
      </c>
      <c r="F207" s="7">
        <f t="shared" si="18"/>
        <v>0</v>
      </c>
      <c r="G207" s="7">
        <f t="shared" si="18"/>
        <v>0</v>
      </c>
      <c r="H207" s="7">
        <f t="shared" si="18"/>
        <v>0</v>
      </c>
      <c r="I207" s="8" t="s">
        <v>15</v>
      </c>
      <c r="J207" s="8" t="s">
        <v>43</v>
      </c>
      <c r="K207" s="8" t="str">
        <f>_xlfn.XLOOKUP(J207,Worksheet!$F$1:$F$48,Worksheet!$G$1:$G$48,0)</f>
        <v>Lack of awareness</v>
      </c>
      <c r="L207" s="8" t="s">
        <v>356</v>
      </c>
      <c r="M207" s="8" t="s">
        <v>15</v>
      </c>
      <c r="N207" s="8" t="s">
        <v>70</v>
      </c>
      <c r="O207" s="8">
        <v>2</v>
      </c>
      <c r="P207" s="8" t="s">
        <v>45</v>
      </c>
      <c r="Q207" s="8" t="s">
        <v>63</v>
      </c>
      <c r="R207" s="8" t="s">
        <v>60</v>
      </c>
      <c r="S207" s="8">
        <f t="shared" si="17"/>
        <v>1</v>
      </c>
      <c r="T207" s="8">
        <f t="shared" si="16"/>
        <v>0</v>
      </c>
      <c r="U207" s="8">
        <f t="shared" si="16"/>
        <v>1</v>
      </c>
      <c r="V207" s="8">
        <f t="shared" si="16"/>
        <v>0</v>
      </c>
      <c r="W207" s="8">
        <f t="shared" si="16"/>
        <v>0</v>
      </c>
      <c r="X207" s="8">
        <f t="shared" ref="T207:AB235" si="19">IFERROR(IF(SEARCH(X$1,$R207)&gt;0,1,0),0)</f>
        <v>0</v>
      </c>
      <c r="Y207" s="8">
        <f t="shared" si="19"/>
        <v>0</v>
      </c>
      <c r="Z207" s="8">
        <f t="shared" si="19"/>
        <v>0</v>
      </c>
      <c r="AA207" s="8">
        <f t="shared" si="19"/>
        <v>0</v>
      </c>
      <c r="AB207" s="8">
        <f t="shared" si="19"/>
        <v>0</v>
      </c>
      <c r="AC207" s="8" t="s">
        <v>21</v>
      </c>
      <c r="AD207" s="8" t="s">
        <v>23</v>
      </c>
      <c r="AE207" s="8" t="s">
        <v>136</v>
      </c>
      <c r="AF207" s="8" t="s">
        <v>25</v>
      </c>
    </row>
    <row r="208" spans="1:32" x14ac:dyDescent="0.3">
      <c r="A208" s="5">
        <v>207</v>
      </c>
      <c r="B208" s="5" t="s">
        <v>68</v>
      </c>
      <c r="C208" s="5">
        <f t="shared" si="15"/>
        <v>0</v>
      </c>
      <c r="D208" s="5">
        <f t="shared" si="18"/>
        <v>1</v>
      </c>
      <c r="E208" s="5">
        <f t="shared" si="18"/>
        <v>0</v>
      </c>
      <c r="F208" s="5">
        <f t="shared" si="18"/>
        <v>0</v>
      </c>
      <c r="G208" s="5">
        <f t="shared" si="18"/>
        <v>0</v>
      </c>
      <c r="H208" s="5">
        <f t="shared" si="18"/>
        <v>0</v>
      </c>
      <c r="I208" s="6" t="s">
        <v>27</v>
      </c>
      <c r="J208" s="6" t="s">
        <v>83</v>
      </c>
      <c r="K208" s="6" t="str">
        <f>_xlfn.XLOOKUP(J208,Worksheet!$F$1:$F$48,Worksheet!$G$1:$G$48,0)</f>
        <v>Fear</v>
      </c>
      <c r="L208" s="6" t="s">
        <v>50</v>
      </c>
      <c r="M208" s="6" t="s">
        <v>102</v>
      </c>
      <c r="N208" s="6" t="s">
        <v>51</v>
      </c>
      <c r="O208" s="6">
        <v>1</v>
      </c>
      <c r="P208" s="6" t="s">
        <v>45</v>
      </c>
      <c r="Q208" s="6" t="s">
        <v>63</v>
      </c>
      <c r="R208" s="6" t="s">
        <v>139</v>
      </c>
      <c r="S208" s="6">
        <f t="shared" si="17"/>
        <v>0</v>
      </c>
      <c r="T208" s="6">
        <f t="shared" si="19"/>
        <v>1</v>
      </c>
      <c r="U208" s="6">
        <f t="shared" si="19"/>
        <v>0</v>
      </c>
      <c r="V208" s="6">
        <f t="shared" si="19"/>
        <v>0</v>
      </c>
      <c r="W208" s="6">
        <f t="shared" si="19"/>
        <v>0</v>
      </c>
      <c r="X208" s="6">
        <f t="shared" si="19"/>
        <v>0</v>
      </c>
      <c r="Y208" s="6">
        <f t="shared" si="19"/>
        <v>0</v>
      </c>
      <c r="Z208" s="6">
        <f t="shared" si="19"/>
        <v>0</v>
      </c>
      <c r="AA208" s="6">
        <f t="shared" si="19"/>
        <v>0</v>
      </c>
      <c r="AB208" s="6">
        <f t="shared" si="19"/>
        <v>0</v>
      </c>
      <c r="AC208" s="6" t="s">
        <v>21</v>
      </c>
      <c r="AD208" s="6" t="s">
        <v>34</v>
      </c>
      <c r="AE208" s="6" t="s">
        <v>24</v>
      </c>
      <c r="AF208" s="6" t="s">
        <v>48</v>
      </c>
    </row>
    <row r="209" spans="1:32" x14ac:dyDescent="0.3">
      <c r="A209" s="7">
        <v>208</v>
      </c>
      <c r="B209" s="7" t="s">
        <v>100</v>
      </c>
      <c r="C209" s="7">
        <f t="shared" si="15"/>
        <v>1</v>
      </c>
      <c r="D209" s="7">
        <f t="shared" si="18"/>
        <v>0</v>
      </c>
      <c r="E209" s="7">
        <f t="shared" si="18"/>
        <v>0</v>
      </c>
      <c r="F209" s="7">
        <f t="shared" si="18"/>
        <v>0</v>
      </c>
      <c r="G209" s="7">
        <f t="shared" si="18"/>
        <v>0</v>
      </c>
      <c r="H209" s="7">
        <f t="shared" si="18"/>
        <v>0</v>
      </c>
      <c r="I209" s="8" t="s">
        <v>15</v>
      </c>
      <c r="J209" s="8" t="s">
        <v>43</v>
      </c>
      <c r="K209" s="8" t="str">
        <f>_xlfn.XLOOKUP(J209,Worksheet!$F$1:$F$48,Worksheet!$G$1:$G$48,0)</f>
        <v>Lack of awareness</v>
      </c>
      <c r="L209" s="8" t="s">
        <v>17</v>
      </c>
      <c r="M209" s="8" t="s">
        <v>30</v>
      </c>
      <c r="N209" s="8" t="s">
        <v>58</v>
      </c>
      <c r="O209" s="8">
        <v>3</v>
      </c>
      <c r="P209" s="8" t="s">
        <v>45</v>
      </c>
      <c r="Q209" s="8" t="s">
        <v>63</v>
      </c>
      <c r="R209" s="8" t="s">
        <v>47</v>
      </c>
      <c r="S209" s="8">
        <f t="shared" si="17"/>
        <v>0</v>
      </c>
      <c r="T209" s="8">
        <f t="shared" si="19"/>
        <v>0</v>
      </c>
      <c r="U209" s="8">
        <f t="shared" si="19"/>
        <v>1</v>
      </c>
      <c r="V209" s="8">
        <f t="shared" si="19"/>
        <v>0</v>
      </c>
      <c r="W209" s="8">
        <f t="shared" si="19"/>
        <v>0</v>
      </c>
      <c r="X209" s="8">
        <f t="shared" si="19"/>
        <v>0</v>
      </c>
      <c r="Y209" s="8">
        <f t="shared" si="19"/>
        <v>0</v>
      </c>
      <c r="Z209" s="8">
        <f t="shared" si="19"/>
        <v>0</v>
      </c>
      <c r="AA209" s="8">
        <f t="shared" si="19"/>
        <v>0</v>
      </c>
      <c r="AB209" s="8">
        <f t="shared" si="19"/>
        <v>0</v>
      </c>
      <c r="AC209" s="8" t="s">
        <v>25</v>
      </c>
      <c r="AD209" s="8" t="s">
        <v>23</v>
      </c>
      <c r="AE209" s="8" t="s">
        <v>24</v>
      </c>
      <c r="AF209" s="8" t="s">
        <v>21</v>
      </c>
    </row>
    <row r="210" spans="1:32" x14ac:dyDescent="0.3">
      <c r="A210" s="5">
        <v>209</v>
      </c>
      <c r="B210" s="5" t="s">
        <v>230</v>
      </c>
      <c r="C210" s="5">
        <f t="shared" si="15"/>
        <v>0</v>
      </c>
      <c r="D210" s="5">
        <f t="shared" si="18"/>
        <v>0</v>
      </c>
      <c r="E210" s="5">
        <f t="shared" si="18"/>
        <v>0</v>
      </c>
      <c r="F210" s="5">
        <f t="shared" si="18"/>
        <v>1</v>
      </c>
      <c r="G210" s="5">
        <f t="shared" si="18"/>
        <v>0</v>
      </c>
      <c r="H210" s="5">
        <f t="shared" si="18"/>
        <v>0</v>
      </c>
      <c r="I210" s="6" t="s">
        <v>27</v>
      </c>
      <c r="J210" s="6" t="s">
        <v>43</v>
      </c>
      <c r="K210" s="6" t="str">
        <f>_xlfn.XLOOKUP(J210,Worksheet!$F$1:$F$48,Worksheet!$G$1:$G$48,0)</f>
        <v>Lack of awareness</v>
      </c>
      <c r="L210" s="6" t="s">
        <v>50</v>
      </c>
      <c r="M210" s="6" t="s">
        <v>102</v>
      </c>
      <c r="N210" s="6" t="s">
        <v>44</v>
      </c>
      <c r="O210" s="6">
        <v>4</v>
      </c>
      <c r="P210" s="6" t="s">
        <v>45</v>
      </c>
      <c r="Q210" s="6" t="s">
        <v>46</v>
      </c>
      <c r="R210" s="6" t="s">
        <v>231</v>
      </c>
      <c r="S210" s="6">
        <f t="shared" si="17"/>
        <v>1</v>
      </c>
      <c r="T210" s="6">
        <f t="shared" si="19"/>
        <v>0</v>
      </c>
      <c r="U210" s="6">
        <f t="shared" si="19"/>
        <v>0</v>
      </c>
      <c r="V210" s="6">
        <f t="shared" si="19"/>
        <v>0</v>
      </c>
      <c r="W210" s="6">
        <f t="shared" si="19"/>
        <v>1</v>
      </c>
      <c r="X210" s="6">
        <f t="shared" si="19"/>
        <v>1</v>
      </c>
      <c r="Y210" s="6">
        <f t="shared" si="19"/>
        <v>1</v>
      </c>
      <c r="Z210" s="6">
        <f t="shared" si="19"/>
        <v>1</v>
      </c>
      <c r="AA210" s="6">
        <f t="shared" si="19"/>
        <v>0</v>
      </c>
      <c r="AB210" s="6">
        <f t="shared" si="19"/>
        <v>0</v>
      </c>
      <c r="AC210" s="6" t="s">
        <v>21</v>
      </c>
      <c r="AD210" s="6" t="s">
        <v>23</v>
      </c>
      <c r="AE210" s="6" t="s">
        <v>24</v>
      </c>
      <c r="AF210" s="6" t="s">
        <v>48</v>
      </c>
    </row>
    <row r="211" spans="1:32" x14ac:dyDescent="0.3">
      <c r="A211" s="7">
        <v>210</v>
      </c>
      <c r="B211" s="7" t="s">
        <v>339</v>
      </c>
      <c r="C211" s="7">
        <f t="shared" si="15"/>
        <v>1</v>
      </c>
      <c r="D211" s="7">
        <f t="shared" si="18"/>
        <v>1</v>
      </c>
      <c r="E211" s="7">
        <f t="shared" si="18"/>
        <v>1</v>
      </c>
      <c r="F211" s="7">
        <f t="shared" si="18"/>
        <v>0</v>
      </c>
      <c r="G211" s="7">
        <f t="shared" si="18"/>
        <v>1</v>
      </c>
      <c r="H211" s="7">
        <f t="shared" si="18"/>
        <v>1</v>
      </c>
      <c r="I211" s="8" t="s">
        <v>15</v>
      </c>
      <c r="J211" s="8" t="s">
        <v>43</v>
      </c>
      <c r="K211" s="8" t="str">
        <f>_xlfn.XLOOKUP(J211,Worksheet!$F$1:$F$48,Worksheet!$G$1:$G$48,0)</f>
        <v>Lack of awareness</v>
      </c>
      <c r="L211" s="8" t="s">
        <v>356</v>
      </c>
      <c r="M211" s="8" t="s">
        <v>49</v>
      </c>
      <c r="N211" s="8" t="s">
        <v>70</v>
      </c>
      <c r="O211" s="8">
        <v>1</v>
      </c>
      <c r="P211" s="8" t="s">
        <v>45</v>
      </c>
      <c r="Q211" s="8" t="s">
        <v>52</v>
      </c>
      <c r="R211" s="8" t="s">
        <v>232</v>
      </c>
      <c r="S211" s="8">
        <f t="shared" si="17"/>
        <v>0</v>
      </c>
      <c r="T211" s="8">
        <f t="shared" si="19"/>
        <v>0</v>
      </c>
      <c r="U211" s="8">
        <f t="shared" si="19"/>
        <v>0</v>
      </c>
      <c r="V211" s="8">
        <f t="shared" si="19"/>
        <v>0</v>
      </c>
      <c r="W211" s="8">
        <f t="shared" si="19"/>
        <v>0</v>
      </c>
      <c r="X211" s="8">
        <f t="shared" si="19"/>
        <v>0</v>
      </c>
      <c r="Y211" s="8">
        <f t="shared" si="19"/>
        <v>0</v>
      </c>
      <c r="Z211" s="8">
        <f t="shared" si="19"/>
        <v>1</v>
      </c>
      <c r="AA211" s="8">
        <f t="shared" si="19"/>
        <v>1</v>
      </c>
      <c r="AB211" s="8">
        <f t="shared" si="19"/>
        <v>0</v>
      </c>
      <c r="AC211" s="8" t="s">
        <v>25</v>
      </c>
      <c r="AD211" s="8" t="s">
        <v>23</v>
      </c>
      <c r="AE211" s="8" t="s">
        <v>24</v>
      </c>
      <c r="AF211" s="8" t="s">
        <v>82</v>
      </c>
    </row>
    <row r="212" spans="1:32" x14ac:dyDescent="0.3">
      <c r="A212" s="5">
        <v>211</v>
      </c>
      <c r="B212" s="5" t="s">
        <v>66</v>
      </c>
      <c r="C212" s="5">
        <f t="shared" si="15"/>
        <v>0</v>
      </c>
      <c r="D212" s="5">
        <f t="shared" si="18"/>
        <v>1</v>
      </c>
      <c r="E212" s="5">
        <f t="shared" si="18"/>
        <v>0</v>
      </c>
      <c r="F212" s="5">
        <f t="shared" si="18"/>
        <v>0</v>
      </c>
      <c r="G212" s="5">
        <f t="shared" si="18"/>
        <v>0</v>
      </c>
      <c r="H212" s="5">
        <f t="shared" si="18"/>
        <v>1</v>
      </c>
      <c r="I212" s="6" t="s">
        <v>49</v>
      </c>
      <c r="J212" s="6" t="s">
        <v>43</v>
      </c>
      <c r="K212" s="6" t="str">
        <f>_xlfn.XLOOKUP(J212,Worksheet!$F$1:$F$48,Worksheet!$G$1:$G$48,0)</f>
        <v>Lack of awareness</v>
      </c>
      <c r="L212" s="6" t="s">
        <v>50</v>
      </c>
      <c r="M212" s="6" t="s">
        <v>30</v>
      </c>
      <c r="N212" s="6" t="s">
        <v>51</v>
      </c>
      <c r="O212" s="6">
        <v>5</v>
      </c>
      <c r="P212" s="6" t="s">
        <v>45</v>
      </c>
      <c r="Q212" s="6" t="s">
        <v>46</v>
      </c>
      <c r="R212" s="6" t="s">
        <v>233</v>
      </c>
      <c r="S212" s="6">
        <f t="shared" si="17"/>
        <v>1</v>
      </c>
      <c r="T212" s="6">
        <f t="shared" si="19"/>
        <v>0</v>
      </c>
      <c r="U212" s="6">
        <f t="shared" si="19"/>
        <v>0</v>
      </c>
      <c r="V212" s="6">
        <f t="shared" si="19"/>
        <v>0</v>
      </c>
      <c r="W212" s="6">
        <f t="shared" si="19"/>
        <v>1</v>
      </c>
      <c r="X212" s="6">
        <f t="shared" si="19"/>
        <v>1</v>
      </c>
      <c r="Y212" s="6">
        <f t="shared" si="19"/>
        <v>0</v>
      </c>
      <c r="Z212" s="6">
        <f t="shared" si="19"/>
        <v>0</v>
      </c>
      <c r="AA212" s="6">
        <f t="shared" si="19"/>
        <v>0</v>
      </c>
      <c r="AB212" s="6">
        <f t="shared" si="19"/>
        <v>0</v>
      </c>
      <c r="AC212" s="6" t="s">
        <v>21</v>
      </c>
      <c r="AD212" s="6" t="s">
        <v>23</v>
      </c>
      <c r="AE212" s="6" t="s">
        <v>113</v>
      </c>
      <c r="AF212" s="6" t="s">
        <v>48</v>
      </c>
    </row>
    <row r="213" spans="1:32" x14ac:dyDescent="0.3">
      <c r="A213" s="7">
        <v>212</v>
      </c>
      <c r="B213" s="7" t="s">
        <v>68</v>
      </c>
      <c r="C213" s="7">
        <f t="shared" si="15"/>
        <v>0</v>
      </c>
      <c r="D213" s="7">
        <f t="shared" si="18"/>
        <v>1</v>
      </c>
      <c r="E213" s="7">
        <f t="shared" si="18"/>
        <v>0</v>
      </c>
      <c r="F213" s="7">
        <f t="shared" si="18"/>
        <v>0</v>
      </c>
      <c r="G213" s="7">
        <f t="shared" si="18"/>
        <v>0</v>
      </c>
      <c r="H213" s="7">
        <f t="shared" si="18"/>
        <v>0</v>
      </c>
      <c r="I213" s="8" t="s">
        <v>27</v>
      </c>
      <c r="J213" s="8" t="s">
        <v>43</v>
      </c>
      <c r="K213" s="8" t="str">
        <f>_xlfn.XLOOKUP(J213,Worksheet!$F$1:$F$48,Worksheet!$G$1:$G$48,0)</f>
        <v>Lack of awareness</v>
      </c>
      <c r="L213" s="8" t="s">
        <v>29</v>
      </c>
      <c r="M213" s="8" t="s">
        <v>30</v>
      </c>
      <c r="N213" s="8" t="s">
        <v>51</v>
      </c>
      <c r="O213" s="8">
        <v>5</v>
      </c>
      <c r="P213" s="8" t="s">
        <v>45</v>
      </c>
      <c r="Q213" s="8" t="s">
        <v>63</v>
      </c>
      <c r="R213" s="8" t="s">
        <v>234</v>
      </c>
      <c r="S213" s="8">
        <f t="shared" si="17"/>
        <v>1</v>
      </c>
      <c r="T213" s="8">
        <f t="shared" si="19"/>
        <v>1</v>
      </c>
      <c r="U213" s="8">
        <f t="shared" si="19"/>
        <v>0</v>
      </c>
      <c r="V213" s="8">
        <f t="shared" si="19"/>
        <v>0</v>
      </c>
      <c r="W213" s="8">
        <f t="shared" si="19"/>
        <v>1</v>
      </c>
      <c r="X213" s="8">
        <f t="shared" si="19"/>
        <v>1</v>
      </c>
      <c r="Y213" s="8">
        <f t="shared" si="19"/>
        <v>1</v>
      </c>
      <c r="Z213" s="8">
        <f t="shared" si="19"/>
        <v>0</v>
      </c>
      <c r="AA213" s="8">
        <f t="shared" si="19"/>
        <v>0</v>
      </c>
      <c r="AB213" s="8">
        <f t="shared" si="19"/>
        <v>1</v>
      </c>
      <c r="AC213" s="8" t="s">
        <v>21</v>
      </c>
      <c r="AD213" s="8" t="s">
        <v>23</v>
      </c>
      <c r="AE213" s="8" t="s">
        <v>113</v>
      </c>
      <c r="AF213" s="8" t="s">
        <v>25</v>
      </c>
    </row>
    <row r="214" spans="1:32" x14ac:dyDescent="0.3">
      <c r="A214" s="5">
        <v>213</v>
      </c>
      <c r="B214" s="5" t="s">
        <v>61</v>
      </c>
      <c r="C214" s="5">
        <f t="shared" si="15"/>
        <v>1</v>
      </c>
      <c r="D214" s="5">
        <f t="shared" si="18"/>
        <v>1</v>
      </c>
      <c r="E214" s="5">
        <f t="shared" si="18"/>
        <v>0</v>
      </c>
      <c r="F214" s="5">
        <f t="shared" si="18"/>
        <v>0</v>
      </c>
      <c r="G214" s="5">
        <f t="shared" si="18"/>
        <v>1</v>
      </c>
      <c r="H214" s="5">
        <f t="shared" si="18"/>
        <v>1</v>
      </c>
      <c r="I214" s="6" t="s">
        <v>15</v>
      </c>
      <c r="J214" s="6" t="s">
        <v>124</v>
      </c>
      <c r="K214" s="6" t="str">
        <f>_xlfn.XLOOKUP(J214,Worksheet!$F$1:$F$48,Worksheet!$G$1:$G$48,0)</f>
        <v>Fear</v>
      </c>
      <c r="L214" s="6" t="s">
        <v>50</v>
      </c>
      <c r="M214" s="6" t="s">
        <v>30</v>
      </c>
      <c r="N214" s="6" t="s">
        <v>44</v>
      </c>
      <c r="O214" s="6">
        <v>5</v>
      </c>
      <c r="P214" s="6" t="s">
        <v>45</v>
      </c>
      <c r="Q214" s="6" t="s">
        <v>63</v>
      </c>
      <c r="R214" s="6" t="s">
        <v>195</v>
      </c>
      <c r="S214" s="6">
        <f t="shared" si="17"/>
        <v>1</v>
      </c>
      <c r="T214" s="6">
        <f t="shared" si="19"/>
        <v>1</v>
      </c>
      <c r="U214" s="6">
        <f t="shared" si="19"/>
        <v>1</v>
      </c>
      <c r="V214" s="6">
        <f t="shared" si="19"/>
        <v>0</v>
      </c>
      <c r="W214" s="6">
        <f t="shared" si="19"/>
        <v>1</v>
      </c>
      <c r="X214" s="6">
        <f t="shared" si="19"/>
        <v>0</v>
      </c>
      <c r="Y214" s="6">
        <f t="shared" si="19"/>
        <v>1</v>
      </c>
      <c r="Z214" s="6">
        <f t="shared" si="19"/>
        <v>0</v>
      </c>
      <c r="AA214" s="6">
        <f t="shared" si="19"/>
        <v>0</v>
      </c>
      <c r="AB214" s="6">
        <f t="shared" si="19"/>
        <v>0</v>
      </c>
      <c r="AC214" s="6" t="s">
        <v>21</v>
      </c>
      <c r="AD214" s="6" t="s">
        <v>23</v>
      </c>
      <c r="AE214" s="6" t="s">
        <v>24</v>
      </c>
      <c r="AF214" s="6" t="s">
        <v>25</v>
      </c>
    </row>
    <row r="215" spans="1:32" x14ac:dyDescent="0.3">
      <c r="A215" s="7">
        <v>214</v>
      </c>
      <c r="B215" s="7" t="s">
        <v>55</v>
      </c>
      <c r="C215" s="7">
        <f t="shared" si="15"/>
        <v>0</v>
      </c>
      <c r="D215" s="7">
        <f t="shared" si="18"/>
        <v>0</v>
      </c>
      <c r="E215" s="7">
        <f t="shared" si="18"/>
        <v>0</v>
      </c>
      <c r="F215" s="7">
        <f t="shared" si="18"/>
        <v>0</v>
      </c>
      <c r="G215" s="7">
        <f t="shared" si="18"/>
        <v>0</v>
      </c>
      <c r="H215" s="7">
        <f t="shared" si="18"/>
        <v>1</v>
      </c>
      <c r="I215" s="8" t="s">
        <v>27</v>
      </c>
      <c r="J215" s="8" t="s">
        <v>43</v>
      </c>
      <c r="K215" s="8" t="str">
        <f>_xlfn.XLOOKUP(J215,Worksheet!$F$1:$F$48,Worksheet!$G$1:$G$48,0)</f>
        <v>Lack of awareness</v>
      </c>
      <c r="L215" s="8" t="s">
        <v>29</v>
      </c>
      <c r="M215" s="8" t="s">
        <v>49</v>
      </c>
      <c r="N215" s="8" t="s">
        <v>51</v>
      </c>
      <c r="O215" s="8">
        <v>5</v>
      </c>
      <c r="P215" s="8" t="s">
        <v>45</v>
      </c>
      <c r="Q215" s="8" t="s">
        <v>63</v>
      </c>
      <c r="R215" s="8" t="s">
        <v>235</v>
      </c>
      <c r="S215" s="8">
        <f t="shared" si="17"/>
        <v>1</v>
      </c>
      <c r="T215" s="8">
        <f t="shared" si="19"/>
        <v>0</v>
      </c>
      <c r="U215" s="8">
        <f t="shared" si="19"/>
        <v>1</v>
      </c>
      <c r="V215" s="8">
        <f t="shared" si="19"/>
        <v>0</v>
      </c>
      <c r="W215" s="8">
        <f t="shared" si="19"/>
        <v>0</v>
      </c>
      <c r="X215" s="8">
        <f t="shared" si="19"/>
        <v>1</v>
      </c>
      <c r="Y215" s="8">
        <f t="shared" si="19"/>
        <v>0</v>
      </c>
      <c r="Z215" s="8">
        <f t="shared" si="19"/>
        <v>0</v>
      </c>
      <c r="AA215" s="8">
        <f t="shared" si="19"/>
        <v>0</v>
      </c>
      <c r="AB215" s="8">
        <f t="shared" si="19"/>
        <v>0</v>
      </c>
      <c r="AC215" s="8" t="s">
        <v>25</v>
      </c>
      <c r="AD215" s="8" t="s">
        <v>34</v>
      </c>
      <c r="AE215" s="8" t="s">
        <v>24</v>
      </c>
      <c r="AF215" s="8" t="s">
        <v>25</v>
      </c>
    </row>
    <row r="216" spans="1:32" x14ac:dyDescent="0.3">
      <c r="A216" s="5">
        <v>215</v>
      </c>
      <c r="B216" s="5" t="s">
        <v>100</v>
      </c>
      <c r="C216" s="5">
        <f t="shared" si="15"/>
        <v>1</v>
      </c>
      <c r="D216" s="5">
        <f t="shared" si="18"/>
        <v>0</v>
      </c>
      <c r="E216" s="5">
        <f t="shared" si="18"/>
        <v>0</v>
      </c>
      <c r="F216" s="5">
        <f t="shared" si="18"/>
        <v>0</v>
      </c>
      <c r="G216" s="5">
        <f t="shared" si="18"/>
        <v>0</v>
      </c>
      <c r="H216" s="5">
        <f t="shared" si="18"/>
        <v>0</v>
      </c>
      <c r="I216" s="6" t="s">
        <v>15</v>
      </c>
      <c r="J216" s="6" t="s">
        <v>83</v>
      </c>
      <c r="K216" s="6" t="str">
        <f>_xlfn.XLOOKUP(J216,Worksheet!$F$1:$F$48,Worksheet!$G$1:$G$48,0)</f>
        <v>Fear</v>
      </c>
      <c r="L216" s="6" t="s">
        <v>356</v>
      </c>
      <c r="M216" s="6" t="s">
        <v>15</v>
      </c>
      <c r="N216" s="6" t="s">
        <v>70</v>
      </c>
      <c r="O216" s="6">
        <v>5</v>
      </c>
      <c r="P216" s="6" t="s">
        <v>59</v>
      </c>
      <c r="Q216" s="6" t="s">
        <v>63</v>
      </c>
      <c r="R216" s="6" t="s">
        <v>236</v>
      </c>
      <c r="S216" s="6">
        <f t="shared" si="17"/>
        <v>0</v>
      </c>
      <c r="T216" s="6">
        <f t="shared" si="19"/>
        <v>1</v>
      </c>
      <c r="U216" s="6">
        <f t="shared" si="19"/>
        <v>0</v>
      </c>
      <c r="V216" s="6">
        <f t="shared" si="19"/>
        <v>0</v>
      </c>
      <c r="W216" s="6">
        <f t="shared" si="19"/>
        <v>1</v>
      </c>
      <c r="X216" s="6">
        <f t="shared" si="19"/>
        <v>1</v>
      </c>
      <c r="Y216" s="6">
        <f t="shared" si="19"/>
        <v>1</v>
      </c>
      <c r="Z216" s="6">
        <f t="shared" si="19"/>
        <v>1</v>
      </c>
      <c r="AA216" s="6">
        <f t="shared" si="19"/>
        <v>0</v>
      </c>
      <c r="AB216" s="6">
        <f t="shared" si="19"/>
        <v>0</v>
      </c>
      <c r="AC216" s="6" t="s">
        <v>21</v>
      </c>
      <c r="AD216" s="6" t="s">
        <v>34</v>
      </c>
      <c r="AE216" s="6" t="s">
        <v>24</v>
      </c>
      <c r="AF216" s="6" t="s">
        <v>21</v>
      </c>
    </row>
    <row r="217" spans="1:32" x14ac:dyDescent="0.3">
      <c r="A217" s="7">
        <v>216</v>
      </c>
      <c r="B217" s="7" t="s">
        <v>162</v>
      </c>
      <c r="C217" s="7">
        <f t="shared" si="15"/>
        <v>1</v>
      </c>
      <c r="D217" s="7">
        <f t="shared" si="18"/>
        <v>0</v>
      </c>
      <c r="E217" s="7">
        <f t="shared" si="18"/>
        <v>0</v>
      </c>
      <c r="F217" s="7">
        <f t="shared" si="18"/>
        <v>0</v>
      </c>
      <c r="G217" s="7">
        <f t="shared" si="18"/>
        <v>0</v>
      </c>
      <c r="H217" s="7">
        <f t="shared" si="18"/>
        <v>1</v>
      </c>
      <c r="I217" s="8" t="s">
        <v>49</v>
      </c>
      <c r="J217" s="8" t="s">
        <v>43</v>
      </c>
      <c r="K217" s="8" t="str">
        <f>_xlfn.XLOOKUP(J217,Worksheet!$F$1:$F$48,Worksheet!$G$1:$G$48,0)</f>
        <v>Lack of awareness</v>
      </c>
      <c r="L217" s="8" t="s">
        <v>356</v>
      </c>
      <c r="M217" s="8" t="s">
        <v>49</v>
      </c>
      <c r="N217" s="8" t="s">
        <v>58</v>
      </c>
      <c r="O217" s="8">
        <v>5</v>
      </c>
      <c r="P217" s="8" t="s">
        <v>45</v>
      </c>
      <c r="Q217" s="8" t="s">
        <v>46</v>
      </c>
      <c r="R217" s="8" t="s">
        <v>237</v>
      </c>
      <c r="S217" s="8">
        <f t="shared" si="17"/>
        <v>0</v>
      </c>
      <c r="T217" s="8">
        <f t="shared" si="19"/>
        <v>0</v>
      </c>
      <c r="U217" s="8">
        <f t="shared" si="19"/>
        <v>1</v>
      </c>
      <c r="V217" s="8">
        <f t="shared" si="19"/>
        <v>1</v>
      </c>
      <c r="W217" s="8">
        <f t="shared" si="19"/>
        <v>0</v>
      </c>
      <c r="X217" s="8">
        <f t="shared" si="19"/>
        <v>0</v>
      </c>
      <c r="Y217" s="8">
        <f t="shared" si="19"/>
        <v>0</v>
      </c>
      <c r="Z217" s="8">
        <f t="shared" si="19"/>
        <v>1</v>
      </c>
      <c r="AA217" s="8">
        <f t="shared" si="19"/>
        <v>0</v>
      </c>
      <c r="AB217" s="8">
        <f t="shared" si="19"/>
        <v>0</v>
      </c>
      <c r="AC217" s="8" t="s">
        <v>21</v>
      </c>
      <c r="AD217" s="8" t="s">
        <v>23</v>
      </c>
      <c r="AE217" s="8" t="s">
        <v>24</v>
      </c>
      <c r="AF217" s="8" t="s">
        <v>48</v>
      </c>
    </row>
    <row r="218" spans="1:32" x14ac:dyDescent="0.3">
      <c r="A218" s="5">
        <v>217</v>
      </c>
      <c r="B218" s="5" t="s">
        <v>68</v>
      </c>
      <c r="C218" s="5">
        <f t="shared" si="15"/>
        <v>0</v>
      </c>
      <c r="D218" s="5">
        <f t="shared" si="18"/>
        <v>1</v>
      </c>
      <c r="E218" s="5">
        <f t="shared" si="18"/>
        <v>0</v>
      </c>
      <c r="F218" s="5">
        <f t="shared" si="18"/>
        <v>0</v>
      </c>
      <c r="G218" s="5">
        <f t="shared" si="18"/>
        <v>0</v>
      </c>
      <c r="H218" s="5">
        <f t="shared" si="18"/>
        <v>0</v>
      </c>
      <c r="I218" s="6" t="s">
        <v>42</v>
      </c>
      <c r="J218" s="6" t="s">
        <v>83</v>
      </c>
      <c r="K218" s="6" t="str">
        <f>_xlfn.XLOOKUP(J218,Worksheet!$F$1:$F$48,Worksheet!$G$1:$G$48,0)</f>
        <v>Fear</v>
      </c>
      <c r="L218" s="6" t="s">
        <v>29</v>
      </c>
      <c r="M218" s="6" t="s">
        <v>15</v>
      </c>
      <c r="N218" s="6" t="s">
        <v>44</v>
      </c>
      <c r="O218" s="6">
        <v>4</v>
      </c>
      <c r="P218" s="6" t="s">
        <v>59</v>
      </c>
      <c r="Q218" s="6" t="s">
        <v>63</v>
      </c>
      <c r="R218" s="6" t="s">
        <v>238</v>
      </c>
      <c r="S218" s="6">
        <f t="shared" si="17"/>
        <v>0</v>
      </c>
      <c r="T218" s="6">
        <f t="shared" si="19"/>
        <v>1</v>
      </c>
      <c r="U218" s="6">
        <f t="shared" si="19"/>
        <v>1</v>
      </c>
      <c r="V218" s="6">
        <f t="shared" si="19"/>
        <v>0</v>
      </c>
      <c r="W218" s="6">
        <f t="shared" si="19"/>
        <v>0</v>
      </c>
      <c r="X218" s="6">
        <f t="shared" si="19"/>
        <v>0</v>
      </c>
      <c r="Y218" s="6">
        <f t="shared" si="19"/>
        <v>1</v>
      </c>
      <c r="Z218" s="6">
        <f t="shared" si="19"/>
        <v>0</v>
      </c>
      <c r="AA218" s="6">
        <f t="shared" si="19"/>
        <v>1</v>
      </c>
      <c r="AB218" s="6">
        <f t="shared" si="19"/>
        <v>0</v>
      </c>
      <c r="AC218" s="6" t="s">
        <v>25</v>
      </c>
      <c r="AD218" s="6" t="s">
        <v>23</v>
      </c>
      <c r="AE218" s="6" t="s">
        <v>24</v>
      </c>
      <c r="AF218" s="6" t="s">
        <v>25</v>
      </c>
    </row>
    <row r="219" spans="1:32" x14ac:dyDescent="0.3">
      <c r="A219" s="7">
        <v>218</v>
      </c>
      <c r="B219" s="7" t="s">
        <v>41</v>
      </c>
      <c r="C219" s="7">
        <f t="shared" si="15"/>
        <v>0</v>
      </c>
      <c r="D219" s="7">
        <f t="shared" si="18"/>
        <v>0</v>
      </c>
      <c r="E219" s="7">
        <f t="shared" si="18"/>
        <v>0</v>
      </c>
      <c r="F219" s="7">
        <f t="shared" si="18"/>
        <v>0</v>
      </c>
      <c r="G219" s="7">
        <f t="shared" si="18"/>
        <v>1</v>
      </c>
      <c r="H219" s="7">
        <f t="shared" si="18"/>
        <v>0</v>
      </c>
      <c r="I219" s="8" t="s">
        <v>27</v>
      </c>
      <c r="J219" s="8" t="s">
        <v>43</v>
      </c>
      <c r="K219" s="8" t="str">
        <f>_xlfn.XLOOKUP(J219,Worksheet!$F$1:$F$48,Worksheet!$G$1:$G$48,0)</f>
        <v>Lack of awareness</v>
      </c>
      <c r="L219" s="8" t="s">
        <v>356</v>
      </c>
      <c r="M219" s="8" t="s">
        <v>30</v>
      </c>
      <c r="N219" s="8" t="s">
        <v>44</v>
      </c>
      <c r="O219" s="8">
        <v>5</v>
      </c>
      <c r="P219" s="8" t="s">
        <v>59</v>
      </c>
      <c r="Q219" s="8" t="s">
        <v>46</v>
      </c>
      <c r="R219" s="8" t="s">
        <v>67</v>
      </c>
      <c r="S219" s="8">
        <f t="shared" si="17"/>
        <v>1</v>
      </c>
      <c r="T219" s="8">
        <f t="shared" si="19"/>
        <v>1</v>
      </c>
      <c r="U219" s="8">
        <f t="shared" si="19"/>
        <v>1</v>
      </c>
      <c r="V219" s="8">
        <f t="shared" si="19"/>
        <v>1</v>
      </c>
      <c r="W219" s="8">
        <f t="shared" si="19"/>
        <v>1</v>
      </c>
      <c r="X219" s="8">
        <f t="shared" si="19"/>
        <v>1</v>
      </c>
      <c r="Y219" s="8">
        <f t="shared" si="19"/>
        <v>1</v>
      </c>
      <c r="Z219" s="8">
        <f t="shared" si="19"/>
        <v>1</v>
      </c>
      <c r="AA219" s="8">
        <f t="shared" si="19"/>
        <v>1</v>
      </c>
      <c r="AB219" s="8">
        <f t="shared" si="19"/>
        <v>1</v>
      </c>
      <c r="AC219" s="8" t="s">
        <v>21</v>
      </c>
      <c r="AD219" s="8" t="s">
        <v>40</v>
      </c>
      <c r="AE219" s="8" t="s">
        <v>24</v>
      </c>
      <c r="AF219" s="8" t="s">
        <v>25</v>
      </c>
    </row>
    <row r="220" spans="1:32" x14ac:dyDescent="0.3">
      <c r="A220" s="5">
        <v>219</v>
      </c>
      <c r="B220" s="5" t="s">
        <v>55</v>
      </c>
      <c r="C220" s="5">
        <f t="shared" si="15"/>
        <v>0</v>
      </c>
      <c r="D220" s="5">
        <f t="shared" si="18"/>
        <v>0</v>
      </c>
      <c r="E220" s="5">
        <f t="shared" si="18"/>
        <v>0</v>
      </c>
      <c r="F220" s="5">
        <f t="shared" si="18"/>
        <v>0</v>
      </c>
      <c r="G220" s="5">
        <f t="shared" si="18"/>
        <v>0</v>
      </c>
      <c r="H220" s="5">
        <f t="shared" si="18"/>
        <v>1</v>
      </c>
      <c r="I220" s="6" t="s">
        <v>27</v>
      </c>
      <c r="J220" s="6" t="s">
        <v>43</v>
      </c>
      <c r="K220" s="6" t="str">
        <f>_xlfn.XLOOKUP(J220,Worksheet!$F$1:$F$48,Worksheet!$G$1:$G$48,0)</f>
        <v>Lack of awareness</v>
      </c>
      <c r="L220" s="6" t="s">
        <v>50</v>
      </c>
      <c r="M220" s="6" t="s">
        <v>30</v>
      </c>
      <c r="N220" s="6" t="s">
        <v>58</v>
      </c>
      <c r="O220" s="6">
        <v>2</v>
      </c>
      <c r="P220" s="6" t="s">
        <v>45</v>
      </c>
      <c r="Q220" s="6" t="s">
        <v>63</v>
      </c>
      <c r="R220" s="6" t="s">
        <v>239</v>
      </c>
      <c r="S220" s="6">
        <f t="shared" si="17"/>
        <v>1</v>
      </c>
      <c r="T220" s="6">
        <f t="shared" si="19"/>
        <v>0</v>
      </c>
      <c r="U220" s="6">
        <f t="shared" si="19"/>
        <v>1</v>
      </c>
      <c r="V220" s="6">
        <f t="shared" si="19"/>
        <v>1</v>
      </c>
      <c r="W220" s="6">
        <f t="shared" si="19"/>
        <v>0</v>
      </c>
      <c r="X220" s="6">
        <f t="shared" si="19"/>
        <v>0</v>
      </c>
      <c r="Y220" s="6">
        <f t="shared" si="19"/>
        <v>0</v>
      </c>
      <c r="Z220" s="6">
        <f t="shared" si="19"/>
        <v>1</v>
      </c>
      <c r="AA220" s="6">
        <f t="shared" si="19"/>
        <v>1</v>
      </c>
      <c r="AB220" s="6">
        <f t="shared" si="19"/>
        <v>0</v>
      </c>
      <c r="AC220" s="6" t="s">
        <v>21</v>
      </c>
      <c r="AD220" s="6" t="s">
        <v>23</v>
      </c>
      <c r="AE220" s="6" t="s">
        <v>24</v>
      </c>
      <c r="AF220" s="6" t="s">
        <v>48</v>
      </c>
    </row>
    <row r="221" spans="1:32" x14ac:dyDescent="0.3">
      <c r="A221" s="7">
        <v>220</v>
      </c>
      <c r="B221" s="7" t="s">
        <v>55</v>
      </c>
      <c r="C221" s="7">
        <f t="shared" si="15"/>
        <v>0</v>
      </c>
      <c r="D221" s="7">
        <f t="shared" si="18"/>
        <v>0</v>
      </c>
      <c r="E221" s="7">
        <f t="shared" si="18"/>
        <v>0</v>
      </c>
      <c r="F221" s="7">
        <f t="shared" si="18"/>
        <v>0</v>
      </c>
      <c r="G221" s="7">
        <f t="shared" si="18"/>
        <v>0</v>
      </c>
      <c r="H221" s="7">
        <f t="shared" si="18"/>
        <v>1</v>
      </c>
      <c r="I221" s="8" t="s">
        <v>15</v>
      </c>
      <c r="J221" s="8" t="s">
        <v>16</v>
      </c>
      <c r="K221" s="8" t="str">
        <f>_xlfn.XLOOKUP(J221,Worksheet!$F$1:$F$48,Worksheet!$G$1:$G$48,0)</f>
        <v>Cost</v>
      </c>
      <c r="L221" s="8" t="s">
        <v>50</v>
      </c>
      <c r="M221" s="8" t="s">
        <v>18</v>
      </c>
      <c r="N221" s="8" t="s">
        <v>44</v>
      </c>
      <c r="O221" s="8">
        <v>5</v>
      </c>
      <c r="P221" s="8" t="s">
        <v>59</v>
      </c>
      <c r="Q221" s="8" t="s">
        <v>63</v>
      </c>
      <c r="R221" s="8" t="s">
        <v>161</v>
      </c>
      <c r="S221" s="8">
        <f t="shared" si="17"/>
        <v>0</v>
      </c>
      <c r="T221" s="8">
        <f t="shared" si="19"/>
        <v>0</v>
      </c>
      <c r="U221" s="8">
        <f t="shared" si="19"/>
        <v>0</v>
      </c>
      <c r="V221" s="8">
        <f t="shared" si="19"/>
        <v>0</v>
      </c>
      <c r="W221" s="8">
        <f t="shared" si="19"/>
        <v>0</v>
      </c>
      <c r="X221" s="8">
        <f t="shared" si="19"/>
        <v>0</v>
      </c>
      <c r="Y221" s="8">
        <f t="shared" si="19"/>
        <v>0</v>
      </c>
      <c r="Z221" s="8">
        <f t="shared" si="19"/>
        <v>0</v>
      </c>
      <c r="AA221" s="8">
        <f t="shared" si="19"/>
        <v>0</v>
      </c>
      <c r="AB221" s="8">
        <f t="shared" si="19"/>
        <v>1</v>
      </c>
      <c r="AC221" s="8" t="s">
        <v>25</v>
      </c>
      <c r="AD221" s="8" t="s">
        <v>34</v>
      </c>
      <c r="AE221" s="8" t="s">
        <v>24</v>
      </c>
      <c r="AF221" s="8" t="s">
        <v>48</v>
      </c>
    </row>
    <row r="222" spans="1:32" x14ac:dyDescent="0.3">
      <c r="A222" s="5">
        <v>221</v>
      </c>
      <c r="B222" s="5" t="s">
        <v>55</v>
      </c>
      <c r="C222" s="5">
        <f t="shared" si="15"/>
        <v>0</v>
      </c>
      <c r="D222" s="5">
        <f t="shared" si="18"/>
        <v>0</v>
      </c>
      <c r="E222" s="5">
        <f t="shared" si="18"/>
        <v>0</v>
      </c>
      <c r="F222" s="5">
        <f t="shared" si="18"/>
        <v>0</v>
      </c>
      <c r="G222" s="5">
        <f t="shared" si="18"/>
        <v>0</v>
      </c>
      <c r="H222" s="5">
        <f t="shared" si="18"/>
        <v>1</v>
      </c>
      <c r="I222" s="6" t="s">
        <v>15</v>
      </c>
      <c r="J222" s="6" t="s">
        <v>83</v>
      </c>
      <c r="K222" s="6" t="str">
        <f>_xlfn.XLOOKUP(J222,Worksheet!$F$1:$F$48,Worksheet!$G$1:$G$48,0)</f>
        <v>Fear</v>
      </c>
      <c r="L222" s="6" t="s">
        <v>37</v>
      </c>
      <c r="M222" s="6" t="s">
        <v>30</v>
      </c>
      <c r="N222" s="6" t="s">
        <v>51</v>
      </c>
      <c r="O222" s="6">
        <v>1</v>
      </c>
      <c r="P222" s="6" t="s">
        <v>59</v>
      </c>
      <c r="Q222" s="6" t="s">
        <v>46</v>
      </c>
      <c r="R222" s="6" t="s">
        <v>111</v>
      </c>
      <c r="S222" s="6">
        <f t="shared" si="17"/>
        <v>0</v>
      </c>
      <c r="T222" s="6">
        <f t="shared" si="19"/>
        <v>0</v>
      </c>
      <c r="U222" s="6">
        <f t="shared" si="19"/>
        <v>0</v>
      </c>
      <c r="V222" s="6">
        <f t="shared" si="19"/>
        <v>0</v>
      </c>
      <c r="W222" s="6">
        <f t="shared" si="19"/>
        <v>0</v>
      </c>
      <c r="X222" s="6">
        <f t="shared" si="19"/>
        <v>0</v>
      </c>
      <c r="Y222" s="6">
        <f t="shared" si="19"/>
        <v>1</v>
      </c>
      <c r="Z222" s="6">
        <f t="shared" si="19"/>
        <v>0</v>
      </c>
      <c r="AA222" s="6">
        <f t="shared" si="19"/>
        <v>0</v>
      </c>
      <c r="AB222" s="6">
        <f t="shared" si="19"/>
        <v>0</v>
      </c>
      <c r="AC222" s="6" t="s">
        <v>21</v>
      </c>
      <c r="AD222" s="6" t="s">
        <v>23</v>
      </c>
      <c r="AE222" s="6" t="s">
        <v>24</v>
      </c>
      <c r="AF222" s="6" t="s">
        <v>21</v>
      </c>
    </row>
    <row r="223" spans="1:32" x14ac:dyDescent="0.3">
      <c r="A223" s="7">
        <v>222</v>
      </c>
      <c r="B223" s="7" t="s">
        <v>75</v>
      </c>
      <c r="C223" s="7">
        <f t="shared" si="15"/>
        <v>1</v>
      </c>
      <c r="D223" s="7">
        <f t="shared" si="18"/>
        <v>1</v>
      </c>
      <c r="E223" s="7">
        <f t="shared" si="18"/>
        <v>0</v>
      </c>
      <c r="F223" s="7">
        <f t="shared" si="18"/>
        <v>0</v>
      </c>
      <c r="G223" s="7">
        <f t="shared" si="18"/>
        <v>0</v>
      </c>
      <c r="H223" s="7">
        <f t="shared" si="18"/>
        <v>1</v>
      </c>
      <c r="I223" s="8" t="s">
        <v>42</v>
      </c>
      <c r="J223" s="8" t="s">
        <v>83</v>
      </c>
      <c r="K223" s="8" t="str">
        <f>_xlfn.XLOOKUP(J223,Worksheet!$F$1:$F$48,Worksheet!$G$1:$G$48,0)</f>
        <v>Fear</v>
      </c>
      <c r="L223" s="8" t="s">
        <v>17</v>
      </c>
      <c r="M223" s="8" t="s">
        <v>18</v>
      </c>
      <c r="N223" s="8" t="s">
        <v>51</v>
      </c>
      <c r="O223" s="8">
        <v>1</v>
      </c>
      <c r="P223" s="8" t="s">
        <v>45</v>
      </c>
      <c r="Q223" s="8" t="s">
        <v>46</v>
      </c>
      <c r="R223" s="8" t="s">
        <v>240</v>
      </c>
      <c r="S223" s="8">
        <f t="shared" si="17"/>
        <v>1</v>
      </c>
      <c r="T223" s="8">
        <f t="shared" si="19"/>
        <v>1</v>
      </c>
      <c r="U223" s="8">
        <f t="shared" si="19"/>
        <v>1</v>
      </c>
      <c r="V223" s="8">
        <f t="shared" si="19"/>
        <v>1</v>
      </c>
      <c r="W223" s="8">
        <f t="shared" si="19"/>
        <v>1</v>
      </c>
      <c r="X223" s="8">
        <f t="shared" si="19"/>
        <v>0</v>
      </c>
      <c r="Y223" s="8">
        <f t="shared" si="19"/>
        <v>0</v>
      </c>
      <c r="Z223" s="8">
        <f t="shared" si="19"/>
        <v>1</v>
      </c>
      <c r="AA223" s="8">
        <f t="shared" si="19"/>
        <v>1</v>
      </c>
      <c r="AB223" s="8">
        <f t="shared" si="19"/>
        <v>1</v>
      </c>
      <c r="AC223" s="8" t="s">
        <v>21</v>
      </c>
      <c r="AD223" s="8" t="s">
        <v>40</v>
      </c>
      <c r="AE223" s="8" t="s">
        <v>113</v>
      </c>
      <c r="AF223" s="8" t="s">
        <v>21</v>
      </c>
    </row>
    <row r="224" spans="1:32" x14ac:dyDescent="0.3">
      <c r="A224" s="5">
        <v>223</v>
      </c>
      <c r="B224" s="5" t="s">
        <v>68</v>
      </c>
      <c r="C224" s="5">
        <f t="shared" si="15"/>
        <v>0</v>
      </c>
      <c r="D224" s="5">
        <f t="shared" si="18"/>
        <v>1</v>
      </c>
      <c r="E224" s="5">
        <f t="shared" si="18"/>
        <v>0</v>
      </c>
      <c r="F224" s="5">
        <f t="shared" si="18"/>
        <v>0</v>
      </c>
      <c r="G224" s="5">
        <f t="shared" si="18"/>
        <v>0</v>
      </c>
      <c r="H224" s="5">
        <f t="shared" si="18"/>
        <v>0</v>
      </c>
      <c r="I224" s="6" t="s">
        <v>49</v>
      </c>
      <c r="J224" s="6" t="s">
        <v>43</v>
      </c>
      <c r="K224" s="6" t="str">
        <f>_xlfn.XLOOKUP(J224,Worksheet!$F$1:$F$48,Worksheet!$G$1:$G$48,0)</f>
        <v>Lack of awareness</v>
      </c>
      <c r="L224" s="6" t="s">
        <v>17</v>
      </c>
      <c r="M224" s="6" t="s">
        <v>15</v>
      </c>
      <c r="N224" s="6" t="s">
        <v>51</v>
      </c>
      <c r="O224" s="6">
        <v>4</v>
      </c>
      <c r="P224" s="6" t="s">
        <v>45</v>
      </c>
      <c r="Q224" s="6" t="s">
        <v>63</v>
      </c>
      <c r="R224" s="6" t="s">
        <v>39</v>
      </c>
      <c r="S224" s="6">
        <f t="shared" si="17"/>
        <v>0</v>
      </c>
      <c r="T224" s="6">
        <f t="shared" si="19"/>
        <v>0</v>
      </c>
      <c r="U224" s="6">
        <f t="shared" si="19"/>
        <v>0</v>
      </c>
      <c r="V224" s="6">
        <f t="shared" si="19"/>
        <v>0</v>
      </c>
      <c r="W224" s="6">
        <f t="shared" si="19"/>
        <v>1</v>
      </c>
      <c r="X224" s="6">
        <f t="shared" si="19"/>
        <v>0</v>
      </c>
      <c r="Y224" s="6">
        <f t="shared" si="19"/>
        <v>0</v>
      </c>
      <c r="Z224" s="6">
        <f t="shared" si="19"/>
        <v>0</v>
      </c>
      <c r="AA224" s="6">
        <f t="shared" si="19"/>
        <v>0</v>
      </c>
      <c r="AB224" s="6">
        <f t="shared" si="19"/>
        <v>0</v>
      </c>
      <c r="AC224" s="6" t="s">
        <v>21</v>
      </c>
      <c r="AD224" s="6" t="s">
        <v>40</v>
      </c>
      <c r="AE224" s="6" t="s">
        <v>88</v>
      </c>
      <c r="AF224" s="6" t="s">
        <v>21</v>
      </c>
    </row>
    <row r="225" spans="1:32" x14ac:dyDescent="0.3">
      <c r="A225" s="7">
        <v>224</v>
      </c>
      <c r="B225" s="7" t="s">
        <v>68</v>
      </c>
      <c r="C225" s="7">
        <f t="shared" si="15"/>
        <v>0</v>
      </c>
      <c r="D225" s="7">
        <f t="shared" si="18"/>
        <v>1</v>
      </c>
      <c r="E225" s="7">
        <f t="shared" si="18"/>
        <v>0</v>
      </c>
      <c r="F225" s="7">
        <f t="shared" si="18"/>
        <v>0</v>
      </c>
      <c r="G225" s="7">
        <f t="shared" si="18"/>
        <v>0</v>
      </c>
      <c r="H225" s="7">
        <f t="shared" si="18"/>
        <v>0</v>
      </c>
      <c r="I225" s="8" t="s">
        <v>15</v>
      </c>
      <c r="J225" s="8" t="s">
        <v>43</v>
      </c>
      <c r="K225" s="8" t="str">
        <f>_xlfn.XLOOKUP(J225,Worksheet!$F$1:$F$48,Worksheet!$G$1:$G$48,0)</f>
        <v>Lack of awareness</v>
      </c>
      <c r="L225" s="8" t="s">
        <v>356</v>
      </c>
      <c r="M225" s="8" t="s">
        <v>15</v>
      </c>
      <c r="N225" s="8" t="s">
        <v>44</v>
      </c>
      <c r="O225" s="8">
        <v>3</v>
      </c>
      <c r="P225" s="8" t="s">
        <v>45</v>
      </c>
      <c r="Q225" s="8" t="s">
        <v>63</v>
      </c>
      <c r="R225" s="8" t="s">
        <v>241</v>
      </c>
      <c r="S225" s="8">
        <f t="shared" si="17"/>
        <v>1</v>
      </c>
      <c r="T225" s="8">
        <f t="shared" si="19"/>
        <v>1</v>
      </c>
      <c r="U225" s="8">
        <f t="shared" si="19"/>
        <v>0</v>
      </c>
      <c r="V225" s="8">
        <f t="shared" si="19"/>
        <v>0</v>
      </c>
      <c r="W225" s="8">
        <f t="shared" si="19"/>
        <v>1</v>
      </c>
      <c r="X225" s="8">
        <f t="shared" si="19"/>
        <v>1</v>
      </c>
      <c r="Y225" s="8">
        <f t="shared" si="19"/>
        <v>0</v>
      </c>
      <c r="Z225" s="8">
        <f t="shared" si="19"/>
        <v>0</v>
      </c>
      <c r="AA225" s="8">
        <f t="shared" si="19"/>
        <v>0</v>
      </c>
      <c r="AB225" s="8">
        <f t="shared" si="19"/>
        <v>0</v>
      </c>
      <c r="AC225" s="8" t="s">
        <v>25</v>
      </c>
      <c r="AD225" s="8" t="s">
        <v>23</v>
      </c>
      <c r="AE225" s="8" t="s">
        <v>24</v>
      </c>
      <c r="AF225" s="8" t="s">
        <v>48</v>
      </c>
    </row>
    <row r="226" spans="1:32" x14ac:dyDescent="0.3">
      <c r="A226" s="5">
        <v>225</v>
      </c>
      <c r="B226" s="5" t="s">
        <v>55</v>
      </c>
      <c r="C226" s="5">
        <f t="shared" si="15"/>
        <v>0</v>
      </c>
      <c r="D226" s="5">
        <f t="shared" si="18"/>
        <v>0</v>
      </c>
      <c r="E226" s="5">
        <f t="shared" si="18"/>
        <v>0</v>
      </c>
      <c r="F226" s="5">
        <f t="shared" si="18"/>
        <v>0</v>
      </c>
      <c r="G226" s="5">
        <f t="shared" si="18"/>
        <v>0</v>
      </c>
      <c r="H226" s="5">
        <f t="shared" si="18"/>
        <v>1</v>
      </c>
      <c r="I226" s="6" t="s">
        <v>42</v>
      </c>
      <c r="J226" s="6" t="s">
        <v>43</v>
      </c>
      <c r="K226" s="6" t="str">
        <f>_xlfn.XLOOKUP(J226,Worksheet!$F$1:$F$48,Worksheet!$G$1:$G$48,0)</f>
        <v>Lack of awareness</v>
      </c>
      <c r="L226" s="6" t="s">
        <v>50</v>
      </c>
      <c r="M226" s="6" t="s">
        <v>30</v>
      </c>
      <c r="N226" s="6" t="s">
        <v>70</v>
      </c>
      <c r="O226" s="6">
        <v>3</v>
      </c>
      <c r="P226" s="6" t="s">
        <v>45</v>
      </c>
      <c r="Q226" s="6" t="s">
        <v>46</v>
      </c>
      <c r="R226" s="6" t="s">
        <v>227</v>
      </c>
      <c r="S226" s="6">
        <f t="shared" si="17"/>
        <v>1</v>
      </c>
      <c r="T226" s="6">
        <f t="shared" si="19"/>
        <v>0</v>
      </c>
      <c r="U226" s="6">
        <f t="shared" si="19"/>
        <v>1</v>
      </c>
      <c r="V226" s="6">
        <f t="shared" si="19"/>
        <v>1</v>
      </c>
      <c r="W226" s="6">
        <f t="shared" si="19"/>
        <v>1</v>
      </c>
      <c r="X226" s="6">
        <f t="shared" si="19"/>
        <v>1</v>
      </c>
      <c r="Y226" s="6">
        <f t="shared" si="19"/>
        <v>1</v>
      </c>
      <c r="Z226" s="6">
        <f t="shared" si="19"/>
        <v>1</v>
      </c>
      <c r="AA226" s="6">
        <f t="shared" si="19"/>
        <v>1</v>
      </c>
      <c r="AB226" s="6">
        <f t="shared" si="19"/>
        <v>0</v>
      </c>
      <c r="AC226" s="6" t="s">
        <v>21</v>
      </c>
      <c r="AD226" s="6" t="s">
        <v>23</v>
      </c>
      <c r="AE226" s="6" t="s">
        <v>24</v>
      </c>
      <c r="AF226" s="6" t="s">
        <v>25</v>
      </c>
    </row>
    <row r="227" spans="1:32" x14ac:dyDescent="0.3">
      <c r="A227" s="7">
        <v>226</v>
      </c>
      <c r="B227" s="7" t="s">
        <v>68</v>
      </c>
      <c r="C227" s="7">
        <f t="shared" si="15"/>
        <v>0</v>
      </c>
      <c r="D227" s="7">
        <f t="shared" si="18"/>
        <v>1</v>
      </c>
      <c r="E227" s="7">
        <f t="shared" si="18"/>
        <v>0</v>
      </c>
      <c r="F227" s="7">
        <f t="shared" si="18"/>
        <v>0</v>
      </c>
      <c r="G227" s="7">
        <f t="shared" si="18"/>
        <v>0</v>
      </c>
      <c r="H227" s="7">
        <f t="shared" si="18"/>
        <v>0</v>
      </c>
      <c r="I227" s="8" t="s">
        <v>27</v>
      </c>
      <c r="J227" s="8" t="s">
        <v>43</v>
      </c>
      <c r="K227" s="8" t="str">
        <f>_xlfn.XLOOKUP(J227,Worksheet!$F$1:$F$48,Worksheet!$G$1:$G$48,0)</f>
        <v>Lack of awareness</v>
      </c>
      <c r="L227" s="8" t="s">
        <v>50</v>
      </c>
      <c r="M227" s="8" t="s">
        <v>15</v>
      </c>
      <c r="N227" s="8" t="s">
        <v>51</v>
      </c>
      <c r="O227" s="8">
        <v>3</v>
      </c>
      <c r="P227" s="8" t="s">
        <v>45</v>
      </c>
      <c r="Q227" s="8" t="s">
        <v>46</v>
      </c>
      <c r="R227" s="8" t="s">
        <v>163</v>
      </c>
      <c r="S227" s="8">
        <f t="shared" si="17"/>
        <v>1</v>
      </c>
      <c r="T227" s="8">
        <f t="shared" si="19"/>
        <v>0</v>
      </c>
      <c r="U227" s="8">
        <f t="shared" si="19"/>
        <v>1</v>
      </c>
      <c r="V227" s="8">
        <f t="shared" si="19"/>
        <v>0</v>
      </c>
      <c r="W227" s="8">
        <f t="shared" si="19"/>
        <v>1</v>
      </c>
      <c r="X227" s="8">
        <f t="shared" si="19"/>
        <v>0</v>
      </c>
      <c r="Y227" s="8">
        <f t="shared" si="19"/>
        <v>1</v>
      </c>
      <c r="Z227" s="8">
        <f t="shared" si="19"/>
        <v>0</v>
      </c>
      <c r="AA227" s="8">
        <f t="shared" si="19"/>
        <v>0</v>
      </c>
      <c r="AB227" s="8">
        <f t="shared" si="19"/>
        <v>0</v>
      </c>
      <c r="AC227" s="8" t="s">
        <v>21</v>
      </c>
      <c r="AD227" s="8" t="s">
        <v>23</v>
      </c>
      <c r="AE227" s="8" t="s">
        <v>113</v>
      </c>
      <c r="AF227" s="8" t="s">
        <v>48</v>
      </c>
    </row>
    <row r="228" spans="1:32" x14ac:dyDescent="0.3">
      <c r="A228" s="5">
        <v>227</v>
      </c>
      <c r="B228" s="5" t="s">
        <v>340</v>
      </c>
      <c r="C228" s="5">
        <f t="shared" si="15"/>
        <v>0</v>
      </c>
      <c r="D228" s="5">
        <f t="shared" si="18"/>
        <v>0</v>
      </c>
      <c r="E228" s="5">
        <f t="shared" si="18"/>
        <v>1</v>
      </c>
      <c r="F228" s="5">
        <f t="shared" si="18"/>
        <v>0</v>
      </c>
      <c r="G228" s="5">
        <f t="shared" si="18"/>
        <v>0</v>
      </c>
      <c r="H228" s="5">
        <f t="shared" si="18"/>
        <v>0</v>
      </c>
      <c r="I228" s="6" t="s">
        <v>15</v>
      </c>
      <c r="J228" s="6" t="s">
        <v>43</v>
      </c>
      <c r="K228" s="6" t="str">
        <f>_xlfn.XLOOKUP(J228,Worksheet!$F$1:$F$48,Worksheet!$G$1:$G$48,0)</f>
        <v>Lack of awareness</v>
      </c>
      <c r="L228" s="6" t="s">
        <v>37</v>
      </c>
      <c r="M228" s="6" t="s">
        <v>15</v>
      </c>
      <c r="N228" s="6" t="s">
        <v>70</v>
      </c>
      <c r="O228" s="6">
        <v>2</v>
      </c>
      <c r="P228" s="6" t="s">
        <v>72</v>
      </c>
      <c r="Q228" s="6" t="s">
        <v>63</v>
      </c>
      <c r="R228" s="6" t="s">
        <v>47</v>
      </c>
      <c r="S228" s="6">
        <f t="shared" si="17"/>
        <v>0</v>
      </c>
      <c r="T228" s="6">
        <f t="shared" si="19"/>
        <v>0</v>
      </c>
      <c r="U228" s="6">
        <f t="shared" si="19"/>
        <v>1</v>
      </c>
      <c r="V228" s="6">
        <f t="shared" si="19"/>
        <v>0</v>
      </c>
      <c r="W228" s="6">
        <f t="shared" si="19"/>
        <v>0</v>
      </c>
      <c r="X228" s="6">
        <f t="shared" si="19"/>
        <v>0</v>
      </c>
      <c r="Y228" s="6">
        <f t="shared" si="19"/>
        <v>0</v>
      </c>
      <c r="Z228" s="6">
        <f t="shared" si="19"/>
        <v>0</v>
      </c>
      <c r="AA228" s="6">
        <f t="shared" si="19"/>
        <v>0</v>
      </c>
      <c r="AB228" s="6">
        <f t="shared" si="19"/>
        <v>0</v>
      </c>
      <c r="AC228" s="6" t="s">
        <v>25</v>
      </c>
      <c r="AD228" s="6" t="s">
        <v>34</v>
      </c>
      <c r="AE228" s="6" t="s">
        <v>24</v>
      </c>
      <c r="AF228" s="6" t="s">
        <v>25</v>
      </c>
    </row>
    <row r="229" spans="1:32" x14ac:dyDescent="0.3">
      <c r="A229" s="7">
        <v>228</v>
      </c>
      <c r="B229" s="7" t="s">
        <v>14</v>
      </c>
      <c r="C229" s="7">
        <f t="shared" ref="C229:C292" si="20">IFERROR(IF(SEARCH(C$1,$B229)&gt;0,1,0),0)</f>
        <v>0</v>
      </c>
      <c r="D229" s="7">
        <f t="shared" si="18"/>
        <v>1</v>
      </c>
      <c r="E229" s="7">
        <f t="shared" si="18"/>
        <v>0</v>
      </c>
      <c r="F229" s="7">
        <f t="shared" si="18"/>
        <v>0</v>
      </c>
      <c r="G229" s="7">
        <f t="shared" si="18"/>
        <v>1</v>
      </c>
      <c r="H229" s="7">
        <f t="shared" si="18"/>
        <v>1</v>
      </c>
      <c r="I229" s="8" t="s">
        <v>15</v>
      </c>
      <c r="J229" s="8" t="s">
        <v>242</v>
      </c>
      <c r="K229" s="8" t="str">
        <f>_xlfn.XLOOKUP(J229,Worksheet!$F$1:$F$48,Worksheet!$G$1:$G$48,0)</f>
        <v>Cost</v>
      </c>
      <c r="L229" s="8" t="s">
        <v>37</v>
      </c>
      <c r="M229" s="8" t="s">
        <v>30</v>
      </c>
      <c r="N229" s="8" t="s">
        <v>44</v>
      </c>
      <c r="O229" s="8">
        <v>5</v>
      </c>
      <c r="P229" s="8" t="s">
        <v>45</v>
      </c>
      <c r="Q229" s="8" t="s">
        <v>46</v>
      </c>
      <c r="R229" s="8" t="s">
        <v>166</v>
      </c>
      <c r="S229" s="8">
        <f t="shared" si="17"/>
        <v>1</v>
      </c>
      <c r="T229" s="8">
        <f t="shared" si="19"/>
        <v>1</v>
      </c>
      <c r="U229" s="8">
        <f t="shared" si="19"/>
        <v>0</v>
      </c>
      <c r="V229" s="8">
        <f t="shared" si="19"/>
        <v>1</v>
      </c>
      <c r="W229" s="8">
        <f t="shared" si="19"/>
        <v>0</v>
      </c>
      <c r="X229" s="8">
        <f t="shared" si="19"/>
        <v>0</v>
      </c>
      <c r="Y229" s="8">
        <f t="shared" si="19"/>
        <v>0</v>
      </c>
      <c r="Z229" s="8">
        <f t="shared" si="19"/>
        <v>1</v>
      </c>
      <c r="AA229" s="8">
        <f t="shared" si="19"/>
        <v>0</v>
      </c>
      <c r="AB229" s="8">
        <f t="shared" si="19"/>
        <v>0</v>
      </c>
      <c r="AC229" s="8" t="s">
        <v>21</v>
      </c>
      <c r="AD229" s="8" t="s">
        <v>23</v>
      </c>
      <c r="AE229" s="8" t="s">
        <v>54</v>
      </c>
      <c r="AF229" s="8" t="s">
        <v>48</v>
      </c>
    </row>
    <row r="230" spans="1:32" x14ac:dyDescent="0.3">
      <c r="A230" s="5">
        <v>229</v>
      </c>
      <c r="B230" s="5" t="s">
        <v>41</v>
      </c>
      <c r="C230" s="5">
        <f t="shared" si="20"/>
        <v>0</v>
      </c>
      <c r="D230" s="5">
        <f t="shared" si="18"/>
        <v>0</v>
      </c>
      <c r="E230" s="5">
        <f t="shared" si="18"/>
        <v>0</v>
      </c>
      <c r="F230" s="5">
        <f t="shared" si="18"/>
        <v>0</v>
      </c>
      <c r="G230" s="5">
        <f t="shared" si="18"/>
        <v>1</v>
      </c>
      <c r="H230" s="5">
        <f t="shared" si="18"/>
        <v>0</v>
      </c>
      <c r="I230" s="6" t="s">
        <v>15</v>
      </c>
      <c r="J230" s="6" t="s">
        <v>243</v>
      </c>
      <c r="K230" s="6" t="str">
        <f>_xlfn.XLOOKUP(J230,Worksheet!$F$1:$F$48,Worksheet!$G$1:$G$48,0)</f>
        <v>Fear</v>
      </c>
      <c r="L230" s="6" t="s">
        <v>29</v>
      </c>
      <c r="M230" s="6" t="s">
        <v>30</v>
      </c>
      <c r="N230" s="6" t="s">
        <v>51</v>
      </c>
      <c r="O230" s="6">
        <v>1</v>
      </c>
      <c r="P230" s="6" t="s">
        <v>45</v>
      </c>
      <c r="Q230" s="6" t="s">
        <v>63</v>
      </c>
      <c r="R230" s="6" t="s">
        <v>67</v>
      </c>
      <c r="S230" s="6">
        <f t="shared" si="17"/>
        <v>1</v>
      </c>
      <c r="T230" s="6">
        <f t="shared" si="19"/>
        <v>1</v>
      </c>
      <c r="U230" s="6">
        <f t="shared" si="19"/>
        <v>1</v>
      </c>
      <c r="V230" s="6">
        <f t="shared" si="19"/>
        <v>1</v>
      </c>
      <c r="W230" s="6">
        <f t="shared" si="19"/>
        <v>1</v>
      </c>
      <c r="X230" s="6">
        <f t="shared" si="19"/>
        <v>1</v>
      </c>
      <c r="Y230" s="6">
        <f t="shared" si="19"/>
        <v>1</v>
      </c>
      <c r="Z230" s="6">
        <f t="shared" si="19"/>
        <v>1</v>
      </c>
      <c r="AA230" s="6">
        <f t="shared" si="19"/>
        <v>1</v>
      </c>
      <c r="AB230" s="6">
        <f t="shared" si="19"/>
        <v>1</v>
      </c>
      <c r="AC230" s="6" t="s">
        <v>21</v>
      </c>
      <c r="AD230" s="6" t="s">
        <v>34</v>
      </c>
      <c r="AE230" s="6" t="s">
        <v>24</v>
      </c>
      <c r="AF230" s="6" t="s">
        <v>21</v>
      </c>
    </row>
    <row r="231" spans="1:32" x14ac:dyDescent="0.3">
      <c r="A231" s="7">
        <v>230</v>
      </c>
      <c r="B231" s="7" t="s">
        <v>55</v>
      </c>
      <c r="C231" s="7">
        <f t="shared" si="20"/>
        <v>0</v>
      </c>
      <c r="D231" s="7">
        <f t="shared" si="18"/>
        <v>0</v>
      </c>
      <c r="E231" s="7">
        <f t="shared" si="18"/>
        <v>0</v>
      </c>
      <c r="F231" s="7">
        <f t="shared" si="18"/>
        <v>0</v>
      </c>
      <c r="G231" s="7">
        <f t="shared" si="18"/>
        <v>0</v>
      </c>
      <c r="H231" s="7">
        <f t="shared" si="18"/>
        <v>1</v>
      </c>
      <c r="I231" s="8" t="s">
        <v>42</v>
      </c>
      <c r="J231" s="8" t="s">
        <v>16</v>
      </c>
      <c r="K231" s="8" t="str">
        <f>_xlfn.XLOOKUP(J231,Worksheet!$F$1:$F$48,Worksheet!$G$1:$G$48,0)</f>
        <v>Cost</v>
      </c>
      <c r="L231" s="8" t="s">
        <v>29</v>
      </c>
      <c r="M231" s="8" t="s">
        <v>18</v>
      </c>
      <c r="N231" s="8" t="s">
        <v>44</v>
      </c>
      <c r="O231" s="8">
        <v>1</v>
      </c>
      <c r="P231" s="8" t="s">
        <v>72</v>
      </c>
      <c r="Q231" s="8" t="s">
        <v>46</v>
      </c>
      <c r="R231" s="8" t="s">
        <v>96</v>
      </c>
      <c r="S231" s="8">
        <f t="shared" si="17"/>
        <v>0</v>
      </c>
      <c r="T231" s="8">
        <f t="shared" si="19"/>
        <v>0</v>
      </c>
      <c r="U231" s="8">
        <f t="shared" si="19"/>
        <v>0</v>
      </c>
      <c r="V231" s="8">
        <f t="shared" si="19"/>
        <v>1</v>
      </c>
      <c r="W231" s="8">
        <f t="shared" si="19"/>
        <v>0</v>
      </c>
      <c r="X231" s="8">
        <f t="shared" si="19"/>
        <v>0</v>
      </c>
      <c r="Y231" s="8">
        <f t="shared" si="19"/>
        <v>0</v>
      </c>
      <c r="Z231" s="8">
        <f t="shared" si="19"/>
        <v>0</v>
      </c>
      <c r="AA231" s="8">
        <f t="shared" si="19"/>
        <v>0</v>
      </c>
      <c r="AB231" s="8">
        <f t="shared" si="19"/>
        <v>0</v>
      </c>
      <c r="AC231" s="8" t="s">
        <v>21</v>
      </c>
      <c r="AD231" s="8" t="s">
        <v>34</v>
      </c>
      <c r="AE231" s="8" t="s">
        <v>24</v>
      </c>
      <c r="AF231" s="8" t="s">
        <v>48</v>
      </c>
    </row>
    <row r="232" spans="1:32" x14ac:dyDescent="0.3">
      <c r="A232" s="5">
        <v>231</v>
      </c>
      <c r="B232" s="5" t="s">
        <v>55</v>
      </c>
      <c r="C232" s="5">
        <f t="shared" si="20"/>
        <v>0</v>
      </c>
      <c r="D232" s="5">
        <f t="shared" si="18"/>
        <v>0</v>
      </c>
      <c r="E232" s="5">
        <f t="shared" si="18"/>
        <v>0</v>
      </c>
      <c r="F232" s="5">
        <f t="shared" si="18"/>
        <v>0</v>
      </c>
      <c r="G232" s="5">
        <f t="shared" si="18"/>
        <v>0</v>
      </c>
      <c r="H232" s="5">
        <f t="shared" si="18"/>
        <v>1</v>
      </c>
      <c r="I232" s="6" t="s">
        <v>27</v>
      </c>
      <c r="J232" s="6" t="s">
        <v>43</v>
      </c>
      <c r="K232" s="6" t="str">
        <f>_xlfn.XLOOKUP(J232,Worksheet!$F$1:$F$48,Worksheet!$G$1:$G$48,0)</f>
        <v>Lack of awareness</v>
      </c>
      <c r="L232" s="6" t="s">
        <v>29</v>
      </c>
      <c r="M232" s="6" t="s">
        <v>30</v>
      </c>
      <c r="N232" s="6" t="s">
        <v>51</v>
      </c>
      <c r="O232" s="6">
        <v>4</v>
      </c>
      <c r="P232" s="6" t="s">
        <v>45</v>
      </c>
      <c r="Q232" s="6" t="s">
        <v>63</v>
      </c>
      <c r="R232" s="6" t="s">
        <v>244</v>
      </c>
      <c r="S232" s="6">
        <f t="shared" si="17"/>
        <v>0</v>
      </c>
      <c r="T232" s="6">
        <f t="shared" si="19"/>
        <v>0</v>
      </c>
      <c r="U232" s="6">
        <f t="shared" si="19"/>
        <v>0</v>
      </c>
      <c r="V232" s="6">
        <f t="shared" si="19"/>
        <v>0</v>
      </c>
      <c r="W232" s="6">
        <f t="shared" si="19"/>
        <v>1</v>
      </c>
      <c r="X232" s="6">
        <f t="shared" si="19"/>
        <v>0</v>
      </c>
      <c r="Y232" s="6">
        <f t="shared" si="19"/>
        <v>1</v>
      </c>
      <c r="Z232" s="6">
        <f t="shared" si="19"/>
        <v>1</v>
      </c>
      <c r="AA232" s="6">
        <f t="shared" si="19"/>
        <v>0</v>
      </c>
      <c r="AB232" s="6">
        <f t="shared" si="19"/>
        <v>0</v>
      </c>
      <c r="AC232" s="6" t="s">
        <v>21</v>
      </c>
      <c r="AD232" s="6" t="s">
        <v>34</v>
      </c>
      <c r="AE232" s="6" t="s">
        <v>113</v>
      </c>
      <c r="AF232" s="6" t="s">
        <v>48</v>
      </c>
    </row>
    <row r="233" spans="1:32" x14ac:dyDescent="0.3">
      <c r="A233" s="7">
        <v>232</v>
      </c>
      <c r="B233" s="7" t="s">
        <v>162</v>
      </c>
      <c r="C233" s="7">
        <f t="shared" si="20"/>
        <v>1</v>
      </c>
      <c r="D233" s="7">
        <f t="shared" si="18"/>
        <v>0</v>
      </c>
      <c r="E233" s="7">
        <f t="shared" si="18"/>
        <v>0</v>
      </c>
      <c r="F233" s="7">
        <f t="shared" si="18"/>
        <v>0</v>
      </c>
      <c r="G233" s="7">
        <f t="shared" si="18"/>
        <v>0</v>
      </c>
      <c r="H233" s="7">
        <f t="shared" si="18"/>
        <v>1</v>
      </c>
      <c r="I233" s="8" t="s">
        <v>15</v>
      </c>
      <c r="J233" s="8" t="s">
        <v>43</v>
      </c>
      <c r="K233" s="8" t="str">
        <f>_xlfn.XLOOKUP(J233,Worksheet!$F$1:$F$48,Worksheet!$G$1:$G$48,0)</f>
        <v>Lack of awareness</v>
      </c>
      <c r="L233" s="8" t="s">
        <v>29</v>
      </c>
      <c r="M233" s="8" t="s">
        <v>18</v>
      </c>
      <c r="N233" s="8" t="s">
        <v>70</v>
      </c>
      <c r="O233" s="8">
        <v>5</v>
      </c>
      <c r="P233" s="8" t="s">
        <v>45</v>
      </c>
      <c r="Q233" s="8" t="s">
        <v>46</v>
      </c>
      <c r="R233" s="8" t="s">
        <v>67</v>
      </c>
      <c r="S233" s="8">
        <f t="shared" si="17"/>
        <v>1</v>
      </c>
      <c r="T233" s="8">
        <f t="shared" si="19"/>
        <v>1</v>
      </c>
      <c r="U233" s="8">
        <f t="shared" si="19"/>
        <v>1</v>
      </c>
      <c r="V233" s="8">
        <f t="shared" si="19"/>
        <v>1</v>
      </c>
      <c r="W233" s="8">
        <f t="shared" si="19"/>
        <v>1</v>
      </c>
      <c r="X233" s="8">
        <f t="shared" si="19"/>
        <v>1</v>
      </c>
      <c r="Y233" s="8">
        <f t="shared" si="19"/>
        <v>1</v>
      </c>
      <c r="Z233" s="8">
        <f t="shared" si="19"/>
        <v>1</v>
      </c>
      <c r="AA233" s="8">
        <f t="shared" si="19"/>
        <v>1</v>
      </c>
      <c r="AB233" s="8">
        <f t="shared" si="19"/>
        <v>1</v>
      </c>
      <c r="AC233" s="8" t="s">
        <v>21</v>
      </c>
      <c r="AD233" s="8" t="s">
        <v>34</v>
      </c>
      <c r="AE233" s="8" t="s">
        <v>24</v>
      </c>
      <c r="AF233" s="8" t="s">
        <v>21</v>
      </c>
    </row>
    <row r="234" spans="1:32" x14ac:dyDescent="0.3">
      <c r="A234" s="5">
        <v>233</v>
      </c>
      <c r="B234" s="5" t="s">
        <v>100</v>
      </c>
      <c r="C234" s="5">
        <f t="shared" si="20"/>
        <v>1</v>
      </c>
      <c r="D234" s="5">
        <f t="shared" si="18"/>
        <v>0</v>
      </c>
      <c r="E234" s="5">
        <f t="shared" si="18"/>
        <v>0</v>
      </c>
      <c r="F234" s="5">
        <f t="shared" si="18"/>
        <v>0</v>
      </c>
      <c r="G234" s="5">
        <f t="shared" si="18"/>
        <v>0</v>
      </c>
      <c r="H234" s="5">
        <f t="shared" si="18"/>
        <v>0</v>
      </c>
      <c r="I234" s="6" t="s">
        <v>15</v>
      </c>
      <c r="J234" s="6" t="s">
        <v>43</v>
      </c>
      <c r="K234" s="6" t="str">
        <f>_xlfn.XLOOKUP(J234,Worksheet!$F$1:$F$48,Worksheet!$G$1:$G$48,0)</f>
        <v>Lack of awareness</v>
      </c>
      <c r="L234" s="6" t="s">
        <v>17</v>
      </c>
      <c r="M234" s="6" t="s">
        <v>15</v>
      </c>
      <c r="N234" s="6" t="s">
        <v>44</v>
      </c>
      <c r="O234" s="6">
        <v>4</v>
      </c>
      <c r="P234" s="6" t="s">
        <v>45</v>
      </c>
      <c r="Q234" s="6" t="s">
        <v>63</v>
      </c>
      <c r="R234" s="6" t="s">
        <v>170</v>
      </c>
      <c r="S234" s="6">
        <f t="shared" si="17"/>
        <v>0</v>
      </c>
      <c r="T234" s="6">
        <f t="shared" si="19"/>
        <v>1</v>
      </c>
      <c r="U234" s="6">
        <f t="shared" si="19"/>
        <v>0</v>
      </c>
      <c r="V234" s="6">
        <f t="shared" si="19"/>
        <v>0</v>
      </c>
      <c r="W234" s="6">
        <f t="shared" si="19"/>
        <v>1</v>
      </c>
      <c r="X234" s="6">
        <f t="shared" si="19"/>
        <v>0</v>
      </c>
      <c r="Y234" s="6">
        <f t="shared" si="19"/>
        <v>0</v>
      </c>
      <c r="Z234" s="6">
        <f t="shared" si="19"/>
        <v>0</v>
      </c>
      <c r="AA234" s="6">
        <f t="shared" si="19"/>
        <v>0</v>
      </c>
      <c r="AB234" s="6">
        <f t="shared" si="19"/>
        <v>0</v>
      </c>
      <c r="AC234" s="6" t="s">
        <v>25</v>
      </c>
      <c r="AD234" s="6" t="s">
        <v>34</v>
      </c>
      <c r="AE234" s="6" t="s">
        <v>24</v>
      </c>
      <c r="AF234" s="6" t="s">
        <v>25</v>
      </c>
    </row>
    <row r="235" spans="1:32" x14ac:dyDescent="0.3">
      <c r="A235" s="7">
        <v>234</v>
      </c>
      <c r="B235" s="7" t="s">
        <v>121</v>
      </c>
      <c r="C235" s="7">
        <f t="shared" si="20"/>
        <v>1</v>
      </c>
      <c r="D235" s="7">
        <f t="shared" si="18"/>
        <v>0</v>
      </c>
      <c r="E235" s="7">
        <f t="shared" si="18"/>
        <v>0</v>
      </c>
      <c r="F235" s="7">
        <f t="shared" si="18"/>
        <v>0</v>
      </c>
      <c r="G235" s="7">
        <f t="shared" si="18"/>
        <v>1</v>
      </c>
      <c r="H235" s="7">
        <f t="shared" si="18"/>
        <v>1</v>
      </c>
      <c r="I235" s="8" t="s">
        <v>49</v>
      </c>
      <c r="J235" s="8" t="s">
        <v>245</v>
      </c>
      <c r="K235" s="8" t="str">
        <f>_xlfn.XLOOKUP(J235,Worksheet!$F$1:$F$48,Worksheet!$G$1:$G$48,0)</f>
        <v>No need</v>
      </c>
      <c r="L235" s="8" t="s">
        <v>50</v>
      </c>
      <c r="M235" s="8" t="s">
        <v>30</v>
      </c>
      <c r="N235" s="8" t="s">
        <v>51</v>
      </c>
      <c r="O235" s="8">
        <v>4</v>
      </c>
      <c r="P235" s="8" t="s">
        <v>45</v>
      </c>
      <c r="Q235" s="8" t="s">
        <v>52</v>
      </c>
      <c r="R235" s="8" t="s">
        <v>157</v>
      </c>
      <c r="S235" s="8">
        <f t="shared" si="17"/>
        <v>0</v>
      </c>
      <c r="T235" s="8">
        <f t="shared" si="19"/>
        <v>0</v>
      </c>
      <c r="U235" s="8">
        <f t="shared" si="19"/>
        <v>0</v>
      </c>
      <c r="V235" s="8">
        <f t="shared" si="19"/>
        <v>0</v>
      </c>
      <c r="W235" s="8">
        <f t="shared" si="19"/>
        <v>0</v>
      </c>
      <c r="X235" s="8">
        <f t="shared" si="19"/>
        <v>0</v>
      </c>
      <c r="Y235" s="8">
        <f t="shared" si="19"/>
        <v>0</v>
      </c>
      <c r="Z235" s="8">
        <f t="shared" si="19"/>
        <v>1</v>
      </c>
      <c r="AA235" s="8">
        <f t="shared" ref="T235:AB264" si="21">IFERROR(IF(SEARCH(AA$1,$R235)&gt;0,1,0),0)</f>
        <v>0</v>
      </c>
      <c r="AB235" s="8">
        <f t="shared" si="21"/>
        <v>0</v>
      </c>
      <c r="AC235" s="8" t="s">
        <v>21</v>
      </c>
      <c r="AD235" s="8" t="s">
        <v>34</v>
      </c>
      <c r="AE235" s="8" t="s">
        <v>24</v>
      </c>
      <c r="AF235" s="8" t="s">
        <v>48</v>
      </c>
    </row>
    <row r="236" spans="1:32" x14ac:dyDescent="0.3">
      <c r="A236" s="5">
        <v>235</v>
      </c>
      <c r="B236" s="5" t="s">
        <v>68</v>
      </c>
      <c r="C236" s="5">
        <f t="shared" si="20"/>
        <v>0</v>
      </c>
      <c r="D236" s="5">
        <f t="shared" si="18"/>
        <v>1</v>
      </c>
      <c r="E236" s="5">
        <f t="shared" si="18"/>
        <v>0</v>
      </c>
      <c r="F236" s="5">
        <f t="shared" si="18"/>
        <v>0</v>
      </c>
      <c r="G236" s="5">
        <f t="shared" si="18"/>
        <v>0</v>
      </c>
      <c r="H236" s="5">
        <f t="shared" si="18"/>
        <v>0</v>
      </c>
      <c r="I236" s="6" t="s">
        <v>15</v>
      </c>
      <c r="J236" s="6" t="s">
        <v>43</v>
      </c>
      <c r="K236" s="6" t="str">
        <f>_xlfn.XLOOKUP(J236,Worksheet!$F$1:$F$48,Worksheet!$G$1:$G$48,0)</f>
        <v>Lack of awareness</v>
      </c>
      <c r="L236" s="6" t="s">
        <v>356</v>
      </c>
      <c r="M236" s="6" t="s">
        <v>15</v>
      </c>
      <c r="N236" s="6" t="s">
        <v>51</v>
      </c>
      <c r="O236" s="6">
        <v>5</v>
      </c>
      <c r="P236" s="6" t="s">
        <v>45</v>
      </c>
      <c r="Q236" s="6" t="s">
        <v>63</v>
      </c>
      <c r="R236" s="6" t="s">
        <v>99</v>
      </c>
      <c r="S236" s="6">
        <f t="shared" si="17"/>
        <v>1</v>
      </c>
      <c r="T236" s="6">
        <f t="shared" si="21"/>
        <v>1</v>
      </c>
      <c r="U236" s="6">
        <f t="shared" si="21"/>
        <v>0</v>
      </c>
      <c r="V236" s="6">
        <f t="shared" si="21"/>
        <v>0</v>
      </c>
      <c r="W236" s="6">
        <f t="shared" si="21"/>
        <v>0</v>
      </c>
      <c r="X236" s="6">
        <f t="shared" si="21"/>
        <v>0</v>
      </c>
      <c r="Y236" s="6">
        <f t="shared" si="21"/>
        <v>0</v>
      </c>
      <c r="Z236" s="6">
        <f t="shared" si="21"/>
        <v>0</v>
      </c>
      <c r="AA236" s="6">
        <f t="shared" si="21"/>
        <v>0</v>
      </c>
      <c r="AB236" s="6">
        <f t="shared" si="21"/>
        <v>0</v>
      </c>
      <c r="AC236" s="6" t="s">
        <v>21</v>
      </c>
      <c r="AD236" s="6" t="s">
        <v>23</v>
      </c>
      <c r="AE236" s="6" t="s">
        <v>113</v>
      </c>
      <c r="AF236" s="6" t="s">
        <v>25</v>
      </c>
    </row>
    <row r="237" spans="1:32" x14ac:dyDescent="0.3">
      <c r="A237" s="7">
        <v>236</v>
      </c>
      <c r="B237" s="7" t="s">
        <v>100</v>
      </c>
      <c r="C237" s="7">
        <f t="shared" si="20"/>
        <v>1</v>
      </c>
      <c r="D237" s="7">
        <f t="shared" si="18"/>
        <v>0</v>
      </c>
      <c r="E237" s="7">
        <f t="shared" si="18"/>
        <v>0</v>
      </c>
      <c r="F237" s="7">
        <f t="shared" si="18"/>
        <v>0</v>
      </c>
      <c r="G237" s="7">
        <f t="shared" si="18"/>
        <v>0</v>
      </c>
      <c r="H237" s="7">
        <f t="shared" si="18"/>
        <v>0</v>
      </c>
      <c r="I237" s="8" t="s">
        <v>15</v>
      </c>
      <c r="J237" s="8" t="s">
        <v>36</v>
      </c>
      <c r="K237" s="8" t="str">
        <f>_xlfn.XLOOKUP(J237,Worksheet!$F$1:$F$48,Worksheet!$G$1:$G$48,0)</f>
        <v>Shame</v>
      </c>
      <c r="L237" s="8" t="s">
        <v>356</v>
      </c>
      <c r="M237" s="8" t="s">
        <v>18</v>
      </c>
      <c r="N237" s="8" t="s">
        <v>44</v>
      </c>
      <c r="O237" s="8">
        <v>1</v>
      </c>
      <c r="P237" s="8" t="s">
        <v>72</v>
      </c>
      <c r="Q237" s="8" t="s">
        <v>63</v>
      </c>
      <c r="R237" s="8" t="s">
        <v>56</v>
      </c>
      <c r="S237" s="8">
        <f t="shared" si="17"/>
        <v>1</v>
      </c>
      <c r="T237" s="8">
        <f t="shared" si="21"/>
        <v>0</v>
      </c>
      <c r="U237" s="8">
        <f t="shared" si="21"/>
        <v>0</v>
      </c>
      <c r="V237" s="8">
        <f t="shared" si="21"/>
        <v>0</v>
      </c>
      <c r="W237" s="8">
        <f t="shared" si="21"/>
        <v>0</v>
      </c>
      <c r="X237" s="8">
        <f t="shared" si="21"/>
        <v>0</v>
      </c>
      <c r="Y237" s="8">
        <f t="shared" si="21"/>
        <v>0</v>
      </c>
      <c r="Z237" s="8">
        <f t="shared" si="21"/>
        <v>0</v>
      </c>
      <c r="AA237" s="8">
        <f t="shared" si="21"/>
        <v>0</v>
      </c>
      <c r="AB237" s="8">
        <f t="shared" si="21"/>
        <v>0</v>
      </c>
      <c r="AC237" s="8" t="s">
        <v>21</v>
      </c>
      <c r="AD237" s="8" t="s">
        <v>40</v>
      </c>
      <c r="AE237" s="8" t="s">
        <v>24</v>
      </c>
      <c r="AF237" s="8" t="s">
        <v>48</v>
      </c>
    </row>
    <row r="238" spans="1:32" x14ac:dyDescent="0.3">
      <c r="A238" s="5">
        <v>237</v>
      </c>
      <c r="B238" s="5" t="s">
        <v>103</v>
      </c>
      <c r="C238" s="5">
        <f t="shared" si="20"/>
        <v>1</v>
      </c>
      <c r="D238" s="5">
        <f t="shared" si="18"/>
        <v>1</v>
      </c>
      <c r="E238" s="5">
        <f t="shared" si="18"/>
        <v>0</v>
      </c>
      <c r="F238" s="5">
        <f t="shared" si="18"/>
        <v>0</v>
      </c>
      <c r="G238" s="5">
        <f t="shared" si="18"/>
        <v>0</v>
      </c>
      <c r="H238" s="5">
        <f t="shared" si="18"/>
        <v>0</v>
      </c>
      <c r="I238" s="6" t="s">
        <v>42</v>
      </c>
      <c r="J238" s="6" t="s">
        <v>43</v>
      </c>
      <c r="K238" s="6" t="str">
        <f>_xlfn.XLOOKUP(J238,Worksheet!$F$1:$F$48,Worksheet!$G$1:$G$48,0)</f>
        <v>Lack of awareness</v>
      </c>
      <c r="L238" s="6" t="s">
        <v>17</v>
      </c>
      <c r="M238" s="6" t="s">
        <v>18</v>
      </c>
      <c r="N238" s="6" t="s">
        <v>44</v>
      </c>
      <c r="O238" s="6">
        <v>4</v>
      </c>
      <c r="P238" s="6" t="s">
        <v>45</v>
      </c>
      <c r="Q238" s="6" t="s">
        <v>63</v>
      </c>
      <c r="R238" s="6" t="s">
        <v>246</v>
      </c>
      <c r="S238" s="6">
        <f t="shared" si="17"/>
        <v>0</v>
      </c>
      <c r="T238" s="6">
        <f t="shared" si="21"/>
        <v>1</v>
      </c>
      <c r="U238" s="6">
        <f t="shared" si="21"/>
        <v>1</v>
      </c>
      <c r="V238" s="6">
        <f t="shared" si="21"/>
        <v>1</v>
      </c>
      <c r="W238" s="6">
        <f t="shared" si="21"/>
        <v>0</v>
      </c>
      <c r="X238" s="6">
        <f t="shared" si="21"/>
        <v>0</v>
      </c>
      <c r="Y238" s="6">
        <f t="shared" si="21"/>
        <v>1</v>
      </c>
      <c r="Z238" s="6">
        <f t="shared" si="21"/>
        <v>0</v>
      </c>
      <c r="AA238" s="6">
        <f t="shared" si="21"/>
        <v>0</v>
      </c>
      <c r="AB238" s="6">
        <f t="shared" si="21"/>
        <v>0</v>
      </c>
      <c r="AC238" s="6" t="s">
        <v>25</v>
      </c>
      <c r="AD238" s="6" t="s">
        <v>34</v>
      </c>
      <c r="AE238" s="6" t="s">
        <v>24</v>
      </c>
      <c r="AF238" s="6" t="s">
        <v>25</v>
      </c>
    </row>
    <row r="239" spans="1:32" x14ac:dyDescent="0.3">
      <c r="A239" s="7">
        <v>238</v>
      </c>
      <c r="B239" s="7" t="s">
        <v>66</v>
      </c>
      <c r="C239" s="7">
        <f t="shared" si="20"/>
        <v>0</v>
      </c>
      <c r="D239" s="7">
        <f t="shared" si="18"/>
        <v>1</v>
      </c>
      <c r="E239" s="7">
        <f t="shared" si="18"/>
        <v>0</v>
      </c>
      <c r="F239" s="7">
        <f t="shared" si="18"/>
        <v>0</v>
      </c>
      <c r="G239" s="7">
        <f t="shared" si="18"/>
        <v>0</v>
      </c>
      <c r="H239" s="7">
        <f t="shared" si="18"/>
        <v>1</v>
      </c>
      <c r="I239" s="8" t="s">
        <v>27</v>
      </c>
      <c r="J239" s="8" t="s">
        <v>83</v>
      </c>
      <c r="K239" s="8" t="str">
        <f>_xlfn.XLOOKUP(J239,Worksheet!$F$1:$F$48,Worksheet!$G$1:$G$48,0)</f>
        <v>Fear</v>
      </c>
      <c r="L239" s="8" t="s">
        <v>29</v>
      </c>
      <c r="M239" s="8" t="s">
        <v>30</v>
      </c>
      <c r="N239" s="8" t="s">
        <v>51</v>
      </c>
      <c r="O239" s="8">
        <v>5</v>
      </c>
      <c r="P239" s="8" t="s">
        <v>45</v>
      </c>
      <c r="Q239" s="8" t="s">
        <v>63</v>
      </c>
      <c r="R239" s="8" t="s">
        <v>56</v>
      </c>
      <c r="S239" s="8">
        <f t="shared" si="17"/>
        <v>1</v>
      </c>
      <c r="T239" s="8">
        <f t="shared" si="21"/>
        <v>0</v>
      </c>
      <c r="U239" s="8">
        <f t="shared" si="21"/>
        <v>0</v>
      </c>
      <c r="V239" s="8">
        <f t="shared" si="21"/>
        <v>0</v>
      </c>
      <c r="W239" s="8">
        <f t="shared" si="21"/>
        <v>0</v>
      </c>
      <c r="X239" s="8">
        <f t="shared" si="21"/>
        <v>0</v>
      </c>
      <c r="Y239" s="8">
        <f t="shared" si="21"/>
        <v>0</v>
      </c>
      <c r="Z239" s="8">
        <f t="shared" si="21"/>
        <v>0</v>
      </c>
      <c r="AA239" s="8">
        <f t="shared" si="21"/>
        <v>0</v>
      </c>
      <c r="AB239" s="8">
        <f t="shared" si="21"/>
        <v>0</v>
      </c>
      <c r="AC239" s="8" t="s">
        <v>25</v>
      </c>
      <c r="AD239" s="8" t="s">
        <v>23</v>
      </c>
      <c r="AE239" s="8" t="s">
        <v>24</v>
      </c>
      <c r="AF239" s="8" t="s">
        <v>25</v>
      </c>
    </row>
    <row r="240" spans="1:32" x14ac:dyDescent="0.3">
      <c r="A240" s="5">
        <v>239</v>
      </c>
      <c r="B240" s="5" t="s">
        <v>68</v>
      </c>
      <c r="C240" s="5">
        <f t="shared" si="20"/>
        <v>0</v>
      </c>
      <c r="D240" s="5">
        <f t="shared" si="18"/>
        <v>1</v>
      </c>
      <c r="E240" s="5">
        <f t="shared" si="18"/>
        <v>0</v>
      </c>
      <c r="F240" s="5">
        <f t="shared" si="18"/>
        <v>0</v>
      </c>
      <c r="G240" s="5">
        <f t="shared" si="18"/>
        <v>0</v>
      </c>
      <c r="H240" s="5">
        <f t="shared" si="18"/>
        <v>0</v>
      </c>
      <c r="I240" s="6" t="s">
        <v>27</v>
      </c>
      <c r="J240" s="6" t="s">
        <v>43</v>
      </c>
      <c r="K240" s="6" t="str">
        <f>_xlfn.XLOOKUP(J240,Worksheet!$F$1:$F$48,Worksheet!$G$1:$G$48,0)</f>
        <v>Lack of awareness</v>
      </c>
      <c r="L240" s="6" t="s">
        <v>50</v>
      </c>
      <c r="M240" s="6" t="s">
        <v>30</v>
      </c>
      <c r="N240" s="6" t="s">
        <v>44</v>
      </c>
      <c r="O240" s="6">
        <v>5</v>
      </c>
      <c r="P240" s="6" t="s">
        <v>72</v>
      </c>
      <c r="Q240" s="6" t="s">
        <v>46</v>
      </c>
      <c r="R240" s="6" t="s">
        <v>139</v>
      </c>
      <c r="S240" s="6">
        <f t="shared" si="17"/>
        <v>0</v>
      </c>
      <c r="T240" s="6">
        <f t="shared" si="21"/>
        <v>1</v>
      </c>
      <c r="U240" s="6">
        <f t="shared" si="21"/>
        <v>0</v>
      </c>
      <c r="V240" s="6">
        <f t="shared" si="21"/>
        <v>0</v>
      </c>
      <c r="W240" s="6">
        <f t="shared" si="21"/>
        <v>0</v>
      </c>
      <c r="X240" s="6">
        <f t="shared" si="21"/>
        <v>0</v>
      </c>
      <c r="Y240" s="6">
        <f t="shared" si="21"/>
        <v>0</v>
      </c>
      <c r="Z240" s="6">
        <f t="shared" si="21"/>
        <v>0</v>
      </c>
      <c r="AA240" s="6">
        <f t="shared" si="21"/>
        <v>0</v>
      </c>
      <c r="AB240" s="6">
        <f t="shared" si="21"/>
        <v>0</v>
      </c>
      <c r="AC240" s="6" t="s">
        <v>21</v>
      </c>
      <c r="AD240" s="6" t="s">
        <v>34</v>
      </c>
      <c r="AE240" s="6" t="s">
        <v>24</v>
      </c>
      <c r="AF240" s="6" t="s">
        <v>48</v>
      </c>
    </row>
    <row r="241" spans="1:32" x14ac:dyDescent="0.3">
      <c r="A241" s="7">
        <v>240</v>
      </c>
      <c r="B241" s="7" t="s">
        <v>55</v>
      </c>
      <c r="C241" s="7">
        <f t="shared" si="20"/>
        <v>0</v>
      </c>
      <c r="D241" s="7">
        <f t="shared" si="18"/>
        <v>0</v>
      </c>
      <c r="E241" s="7">
        <f t="shared" si="18"/>
        <v>0</v>
      </c>
      <c r="F241" s="7">
        <f t="shared" si="18"/>
        <v>0</v>
      </c>
      <c r="G241" s="7">
        <f t="shared" si="18"/>
        <v>0</v>
      </c>
      <c r="H241" s="7">
        <f t="shared" si="18"/>
        <v>1</v>
      </c>
      <c r="I241" s="8" t="s">
        <v>27</v>
      </c>
      <c r="J241" s="8" t="s">
        <v>16</v>
      </c>
      <c r="K241" s="8" t="str">
        <f>_xlfn.XLOOKUP(J241,Worksheet!$F$1:$F$48,Worksheet!$G$1:$G$48,0)</f>
        <v>Cost</v>
      </c>
      <c r="L241" s="8" t="s">
        <v>37</v>
      </c>
      <c r="M241" s="8" t="s">
        <v>30</v>
      </c>
      <c r="N241" s="8" t="s">
        <v>51</v>
      </c>
      <c r="O241" s="8">
        <v>5</v>
      </c>
      <c r="P241" s="8" t="s">
        <v>72</v>
      </c>
      <c r="Q241" s="8" t="s">
        <v>46</v>
      </c>
      <c r="R241" s="8" t="s">
        <v>247</v>
      </c>
      <c r="S241" s="8">
        <f t="shared" si="17"/>
        <v>0</v>
      </c>
      <c r="T241" s="8">
        <f t="shared" si="21"/>
        <v>0</v>
      </c>
      <c r="U241" s="8">
        <f t="shared" si="21"/>
        <v>0</v>
      </c>
      <c r="V241" s="8">
        <f t="shared" si="21"/>
        <v>0</v>
      </c>
      <c r="W241" s="8">
        <f t="shared" si="21"/>
        <v>1</v>
      </c>
      <c r="X241" s="8">
        <f t="shared" si="21"/>
        <v>1</v>
      </c>
      <c r="Y241" s="8">
        <f t="shared" si="21"/>
        <v>0</v>
      </c>
      <c r="Z241" s="8">
        <f t="shared" si="21"/>
        <v>0</v>
      </c>
      <c r="AA241" s="8">
        <f t="shared" si="21"/>
        <v>0</v>
      </c>
      <c r="AB241" s="8">
        <f t="shared" si="21"/>
        <v>0</v>
      </c>
      <c r="AC241" s="8" t="s">
        <v>21</v>
      </c>
      <c r="AD241" s="8" t="s">
        <v>34</v>
      </c>
      <c r="AE241" s="8" t="s">
        <v>187</v>
      </c>
      <c r="AF241" s="8" t="s">
        <v>48</v>
      </c>
    </row>
    <row r="242" spans="1:32" x14ac:dyDescent="0.3">
      <c r="A242" s="5">
        <v>241</v>
      </c>
      <c r="B242" s="5" t="s">
        <v>100</v>
      </c>
      <c r="C242" s="5">
        <f t="shared" si="20"/>
        <v>1</v>
      </c>
      <c r="D242" s="5">
        <f t="shared" si="18"/>
        <v>0</v>
      </c>
      <c r="E242" s="5">
        <f t="shared" si="18"/>
        <v>0</v>
      </c>
      <c r="F242" s="5">
        <f t="shared" si="18"/>
        <v>0</v>
      </c>
      <c r="G242" s="5">
        <f t="shared" si="18"/>
        <v>0</v>
      </c>
      <c r="H242" s="5">
        <f t="shared" si="18"/>
        <v>0</v>
      </c>
      <c r="I242" s="6" t="s">
        <v>27</v>
      </c>
      <c r="J242" s="6" t="s">
        <v>248</v>
      </c>
      <c r="K242" s="6" t="str">
        <f>_xlfn.XLOOKUP(J242,Worksheet!$F$1:$F$48,Worksheet!$G$1:$G$48,0)</f>
        <v>No need</v>
      </c>
      <c r="L242" s="6" t="s">
        <v>50</v>
      </c>
      <c r="M242" s="6" t="s">
        <v>30</v>
      </c>
      <c r="N242" s="6" t="s">
        <v>51</v>
      </c>
      <c r="O242" s="6">
        <v>5</v>
      </c>
      <c r="P242" s="6" t="s">
        <v>45</v>
      </c>
      <c r="Q242" s="6" t="s">
        <v>46</v>
      </c>
      <c r="R242" s="6" t="s">
        <v>47</v>
      </c>
      <c r="S242" s="6">
        <f t="shared" si="17"/>
        <v>0</v>
      </c>
      <c r="T242" s="6">
        <f t="shared" si="21"/>
        <v>0</v>
      </c>
      <c r="U242" s="6">
        <f t="shared" si="21"/>
        <v>1</v>
      </c>
      <c r="V242" s="6">
        <f t="shared" si="21"/>
        <v>0</v>
      </c>
      <c r="W242" s="6">
        <f t="shared" si="21"/>
        <v>0</v>
      </c>
      <c r="X242" s="6">
        <f t="shared" si="21"/>
        <v>0</v>
      </c>
      <c r="Y242" s="6">
        <f t="shared" si="21"/>
        <v>0</v>
      </c>
      <c r="Z242" s="6">
        <f t="shared" si="21"/>
        <v>0</v>
      </c>
      <c r="AA242" s="6">
        <f t="shared" si="21"/>
        <v>0</v>
      </c>
      <c r="AB242" s="6">
        <f t="shared" si="21"/>
        <v>0</v>
      </c>
      <c r="AC242" s="6" t="s">
        <v>21</v>
      </c>
      <c r="AD242" s="6" t="s">
        <v>34</v>
      </c>
      <c r="AE242" s="6" t="s">
        <v>187</v>
      </c>
      <c r="AF242" s="6" t="s">
        <v>25</v>
      </c>
    </row>
    <row r="243" spans="1:32" x14ac:dyDescent="0.3">
      <c r="A243" s="7">
        <v>242</v>
      </c>
      <c r="B243" s="7" t="s">
        <v>55</v>
      </c>
      <c r="C243" s="7">
        <f t="shared" si="20"/>
        <v>0</v>
      </c>
      <c r="D243" s="7">
        <f t="shared" si="18"/>
        <v>0</v>
      </c>
      <c r="E243" s="7">
        <f t="shared" si="18"/>
        <v>0</v>
      </c>
      <c r="F243" s="7">
        <f t="shared" si="18"/>
        <v>0</v>
      </c>
      <c r="G243" s="7">
        <f t="shared" si="18"/>
        <v>0</v>
      </c>
      <c r="H243" s="7">
        <f t="shared" si="18"/>
        <v>1</v>
      </c>
      <c r="I243" s="8" t="s">
        <v>27</v>
      </c>
      <c r="J243" s="8" t="s">
        <v>16</v>
      </c>
      <c r="K243" s="8" t="str">
        <f>_xlfn.XLOOKUP(J243,Worksheet!$F$1:$F$48,Worksheet!$G$1:$G$48,0)</f>
        <v>Cost</v>
      </c>
      <c r="L243" s="8" t="s">
        <v>50</v>
      </c>
      <c r="M243" s="8" t="s">
        <v>49</v>
      </c>
      <c r="N243" s="8" t="s">
        <v>44</v>
      </c>
      <c r="O243" s="8">
        <v>5</v>
      </c>
      <c r="P243" s="8" t="s">
        <v>45</v>
      </c>
      <c r="Q243" s="8" t="s">
        <v>63</v>
      </c>
      <c r="R243" s="8" t="s">
        <v>249</v>
      </c>
      <c r="S243" s="8">
        <f t="shared" si="17"/>
        <v>0</v>
      </c>
      <c r="T243" s="8">
        <f t="shared" si="21"/>
        <v>1</v>
      </c>
      <c r="U243" s="8">
        <f t="shared" si="21"/>
        <v>0</v>
      </c>
      <c r="V243" s="8">
        <f t="shared" si="21"/>
        <v>1</v>
      </c>
      <c r="W243" s="8">
        <f t="shared" si="21"/>
        <v>1</v>
      </c>
      <c r="X243" s="8">
        <f t="shared" si="21"/>
        <v>1</v>
      </c>
      <c r="Y243" s="8">
        <f t="shared" si="21"/>
        <v>1</v>
      </c>
      <c r="Z243" s="8">
        <f t="shared" si="21"/>
        <v>0</v>
      </c>
      <c r="AA243" s="8">
        <f t="shared" si="21"/>
        <v>1</v>
      </c>
      <c r="AB243" s="8">
        <f t="shared" si="21"/>
        <v>0</v>
      </c>
      <c r="AC243" s="8" t="s">
        <v>21</v>
      </c>
      <c r="AD243" s="8" t="s">
        <v>23</v>
      </c>
      <c r="AE243" s="8" t="s">
        <v>24</v>
      </c>
      <c r="AF243" s="8" t="s">
        <v>25</v>
      </c>
    </row>
    <row r="244" spans="1:32" x14ac:dyDescent="0.3">
      <c r="A244" s="5">
        <v>243</v>
      </c>
      <c r="B244" s="5" t="s">
        <v>66</v>
      </c>
      <c r="C244" s="5">
        <f t="shared" si="20"/>
        <v>0</v>
      </c>
      <c r="D244" s="5">
        <f t="shared" si="18"/>
        <v>1</v>
      </c>
      <c r="E244" s="5">
        <f t="shared" si="18"/>
        <v>0</v>
      </c>
      <c r="F244" s="5">
        <f t="shared" si="18"/>
        <v>0</v>
      </c>
      <c r="G244" s="5">
        <f t="shared" si="18"/>
        <v>0</v>
      </c>
      <c r="H244" s="5">
        <f t="shared" si="18"/>
        <v>1</v>
      </c>
      <c r="I244" s="6" t="s">
        <v>49</v>
      </c>
      <c r="J244" s="6" t="s">
        <v>43</v>
      </c>
      <c r="K244" s="6" t="str">
        <f>_xlfn.XLOOKUP(J244,Worksheet!$F$1:$F$48,Worksheet!$G$1:$G$48,0)</f>
        <v>Lack of awareness</v>
      </c>
      <c r="L244" s="6" t="s">
        <v>50</v>
      </c>
      <c r="M244" s="6" t="s">
        <v>15</v>
      </c>
      <c r="N244" s="6" t="s">
        <v>44</v>
      </c>
      <c r="O244" s="6">
        <v>3</v>
      </c>
      <c r="P244" s="6" t="s">
        <v>45</v>
      </c>
      <c r="Q244" s="6" t="s">
        <v>63</v>
      </c>
      <c r="R244" s="6" t="s">
        <v>95</v>
      </c>
      <c r="S244" s="6">
        <f t="shared" si="17"/>
        <v>1</v>
      </c>
      <c r="T244" s="6">
        <f t="shared" si="21"/>
        <v>1</v>
      </c>
      <c r="U244" s="6">
        <f t="shared" si="21"/>
        <v>0</v>
      </c>
      <c r="V244" s="6">
        <f t="shared" si="21"/>
        <v>1</v>
      </c>
      <c r="W244" s="6">
        <f t="shared" si="21"/>
        <v>1</v>
      </c>
      <c r="X244" s="6">
        <f t="shared" si="21"/>
        <v>1</v>
      </c>
      <c r="Y244" s="6">
        <f t="shared" si="21"/>
        <v>1</v>
      </c>
      <c r="Z244" s="6">
        <f t="shared" si="21"/>
        <v>0</v>
      </c>
      <c r="AA244" s="6">
        <f t="shared" si="21"/>
        <v>0</v>
      </c>
      <c r="AB244" s="6">
        <f t="shared" si="21"/>
        <v>0</v>
      </c>
      <c r="AC244" s="6" t="s">
        <v>21</v>
      </c>
      <c r="AD244" s="6" t="s">
        <v>23</v>
      </c>
      <c r="AE244" s="6" t="s">
        <v>24</v>
      </c>
      <c r="AF244" s="6" t="s">
        <v>48</v>
      </c>
    </row>
    <row r="245" spans="1:32" x14ac:dyDescent="0.3">
      <c r="A245" s="7">
        <v>244</v>
      </c>
      <c r="B245" s="7" t="s">
        <v>342</v>
      </c>
      <c r="C245" s="7">
        <f t="shared" si="20"/>
        <v>1</v>
      </c>
      <c r="D245" s="7">
        <f t="shared" si="18"/>
        <v>0</v>
      </c>
      <c r="E245" s="7">
        <f t="shared" si="18"/>
        <v>1</v>
      </c>
      <c r="F245" s="7">
        <f t="shared" si="18"/>
        <v>0</v>
      </c>
      <c r="G245" s="7">
        <f t="shared" si="18"/>
        <v>0</v>
      </c>
      <c r="H245" s="7">
        <f t="shared" si="18"/>
        <v>0</v>
      </c>
      <c r="I245" s="8" t="s">
        <v>15</v>
      </c>
      <c r="J245" s="8" t="s">
        <v>43</v>
      </c>
      <c r="K245" s="8" t="str">
        <f>_xlfn.XLOOKUP(J245,Worksheet!$F$1:$F$48,Worksheet!$G$1:$G$48,0)</f>
        <v>Lack of awareness</v>
      </c>
      <c r="L245" s="8" t="s">
        <v>356</v>
      </c>
      <c r="M245" s="8" t="s">
        <v>18</v>
      </c>
      <c r="N245" s="8" t="s">
        <v>51</v>
      </c>
      <c r="O245" s="8">
        <v>2</v>
      </c>
      <c r="P245" s="8" t="s">
        <v>45</v>
      </c>
      <c r="Q245" s="8" t="s">
        <v>46</v>
      </c>
      <c r="R245" s="8" t="s">
        <v>39</v>
      </c>
      <c r="S245" s="8">
        <f t="shared" si="17"/>
        <v>0</v>
      </c>
      <c r="T245" s="8">
        <f t="shared" si="21"/>
        <v>0</v>
      </c>
      <c r="U245" s="8">
        <f t="shared" si="21"/>
        <v>0</v>
      </c>
      <c r="V245" s="8">
        <f t="shared" si="21"/>
        <v>0</v>
      </c>
      <c r="W245" s="8">
        <f t="shared" si="21"/>
        <v>1</v>
      </c>
      <c r="X245" s="8">
        <f t="shared" si="21"/>
        <v>0</v>
      </c>
      <c r="Y245" s="8">
        <f t="shared" si="21"/>
        <v>0</v>
      </c>
      <c r="Z245" s="8">
        <f t="shared" si="21"/>
        <v>0</v>
      </c>
      <c r="AA245" s="8">
        <f t="shared" si="21"/>
        <v>0</v>
      </c>
      <c r="AB245" s="8">
        <f t="shared" si="21"/>
        <v>0</v>
      </c>
      <c r="AC245" s="8" t="s">
        <v>21</v>
      </c>
      <c r="AD245" s="8" t="s">
        <v>34</v>
      </c>
      <c r="AE245" s="8" t="s">
        <v>24</v>
      </c>
      <c r="AF245" s="8" t="s">
        <v>21</v>
      </c>
    </row>
    <row r="246" spans="1:32" x14ac:dyDescent="0.3">
      <c r="A246" s="5">
        <v>245</v>
      </c>
      <c r="B246" s="5" t="s">
        <v>68</v>
      </c>
      <c r="C246" s="5">
        <f t="shared" si="20"/>
        <v>0</v>
      </c>
      <c r="D246" s="5">
        <f t="shared" si="18"/>
        <v>1</v>
      </c>
      <c r="E246" s="5">
        <f t="shared" si="18"/>
        <v>0</v>
      </c>
      <c r="F246" s="5">
        <f t="shared" si="18"/>
        <v>0</v>
      </c>
      <c r="G246" s="5">
        <f t="shared" si="18"/>
        <v>0</v>
      </c>
      <c r="H246" s="5">
        <f t="shared" si="18"/>
        <v>0</v>
      </c>
      <c r="I246" s="6" t="s">
        <v>27</v>
      </c>
      <c r="J246" s="6" t="s">
        <v>43</v>
      </c>
      <c r="K246" s="6" t="str">
        <f>_xlfn.XLOOKUP(J246,Worksheet!$F$1:$F$48,Worksheet!$G$1:$G$48,0)</f>
        <v>Lack of awareness</v>
      </c>
      <c r="L246" s="6" t="s">
        <v>17</v>
      </c>
      <c r="M246" s="6" t="s">
        <v>102</v>
      </c>
      <c r="N246" s="6" t="s">
        <v>44</v>
      </c>
      <c r="O246" s="6">
        <v>4</v>
      </c>
      <c r="P246" s="6" t="s">
        <v>45</v>
      </c>
      <c r="Q246" s="6" t="s">
        <v>63</v>
      </c>
      <c r="R246" s="6" t="s">
        <v>251</v>
      </c>
      <c r="S246" s="6">
        <f t="shared" si="17"/>
        <v>1</v>
      </c>
      <c r="T246" s="6">
        <f t="shared" si="21"/>
        <v>0</v>
      </c>
      <c r="U246" s="6">
        <f t="shared" si="21"/>
        <v>1</v>
      </c>
      <c r="V246" s="6">
        <f t="shared" si="21"/>
        <v>0</v>
      </c>
      <c r="W246" s="6">
        <f t="shared" si="21"/>
        <v>1</v>
      </c>
      <c r="X246" s="6">
        <f t="shared" si="21"/>
        <v>0</v>
      </c>
      <c r="Y246" s="6">
        <f t="shared" si="21"/>
        <v>1</v>
      </c>
      <c r="Z246" s="6">
        <f t="shared" si="21"/>
        <v>1</v>
      </c>
      <c r="AA246" s="6">
        <f t="shared" si="21"/>
        <v>0</v>
      </c>
      <c r="AB246" s="6">
        <f t="shared" si="21"/>
        <v>0</v>
      </c>
      <c r="AC246" s="6" t="s">
        <v>21</v>
      </c>
      <c r="AD246" s="6" t="s">
        <v>23</v>
      </c>
      <c r="AE246" s="6" t="s">
        <v>24</v>
      </c>
      <c r="AF246" s="6" t="s">
        <v>82</v>
      </c>
    </row>
    <row r="247" spans="1:32" x14ac:dyDescent="0.3">
      <c r="A247" s="7">
        <v>246</v>
      </c>
      <c r="B247" s="7" t="s">
        <v>55</v>
      </c>
      <c r="C247" s="7">
        <f t="shared" si="20"/>
        <v>0</v>
      </c>
      <c r="D247" s="7">
        <f t="shared" si="18"/>
        <v>0</v>
      </c>
      <c r="E247" s="7">
        <f t="shared" si="18"/>
        <v>0</v>
      </c>
      <c r="F247" s="7">
        <f t="shared" si="18"/>
        <v>0</v>
      </c>
      <c r="G247" s="7">
        <f t="shared" si="18"/>
        <v>0</v>
      </c>
      <c r="H247" s="7">
        <f t="shared" si="18"/>
        <v>1</v>
      </c>
      <c r="I247" s="8" t="s">
        <v>15</v>
      </c>
      <c r="J247" s="8" t="s">
        <v>43</v>
      </c>
      <c r="K247" s="8" t="str">
        <f>_xlfn.XLOOKUP(J247,Worksheet!$F$1:$F$48,Worksheet!$G$1:$G$48,0)</f>
        <v>Lack of awareness</v>
      </c>
      <c r="L247" s="8" t="s">
        <v>29</v>
      </c>
      <c r="M247" s="8" t="s">
        <v>30</v>
      </c>
      <c r="N247" s="8" t="s">
        <v>51</v>
      </c>
      <c r="O247" s="8">
        <v>5</v>
      </c>
      <c r="P247" s="8" t="s">
        <v>59</v>
      </c>
      <c r="Q247" s="8" t="s">
        <v>63</v>
      </c>
      <c r="R247" s="8" t="s">
        <v>252</v>
      </c>
      <c r="S247" s="8">
        <f t="shared" si="17"/>
        <v>0</v>
      </c>
      <c r="T247" s="8">
        <f t="shared" si="21"/>
        <v>0</v>
      </c>
      <c r="U247" s="8">
        <f t="shared" si="21"/>
        <v>1</v>
      </c>
      <c r="V247" s="8">
        <f t="shared" si="21"/>
        <v>1</v>
      </c>
      <c r="W247" s="8">
        <f t="shared" si="21"/>
        <v>1</v>
      </c>
      <c r="X247" s="8">
        <f t="shared" si="21"/>
        <v>1</v>
      </c>
      <c r="Y247" s="8">
        <f t="shared" si="21"/>
        <v>1</v>
      </c>
      <c r="Z247" s="8">
        <f t="shared" si="21"/>
        <v>0</v>
      </c>
      <c r="AA247" s="8">
        <f t="shared" si="21"/>
        <v>0</v>
      </c>
      <c r="AB247" s="8">
        <f t="shared" si="21"/>
        <v>0</v>
      </c>
      <c r="AC247" s="8" t="s">
        <v>21</v>
      </c>
      <c r="AD247" s="8" t="s">
        <v>23</v>
      </c>
      <c r="AE247" s="8" t="s">
        <v>24</v>
      </c>
      <c r="AF247" s="8" t="s">
        <v>48</v>
      </c>
    </row>
    <row r="248" spans="1:32" x14ac:dyDescent="0.3">
      <c r="A248" s="5">
        <v>247</v>
      </c>
      <c r="B248" s="5" t="s">
        <v>68</v>
      </c>
      <c r="C248" s="5">
        <f t="shared" si="20"/>
        <v>0</v>
      </c>
      <c r="D248" s="5">
        <f t="shared" si="18"/>
        <v>1</v>
      </c>
      <c r="E248" s="5">
        <f t="shared" si="18"/>
        <v>0</v>
      </c>
      <c r="F248" s="5">
        <f t="shared" si="18"/>
        <v>0</v>
      </c>
      <c r="G248" s="5">
        <f t="shared" si="18"/>
        <v>0</v>
      </c>
      <c r="H248" s="5">
        <f t="shared" si="18"/>
        <v>0</v>
      </c>
      <c r="I248" s="6" t="s">
        <v>49</v>
      </c>
      <c r="J248" s="6" t="s">
        <v>43</v>
      </c>
      <c r="K248" s="6" t="str">
        <f>_xlfn.XLOOKUP(J248,Worksheet!$F$1:$F$48,Worksheet!$G$1:$G$48,0)</f>
        <v>Lack of awareness</v>
      </c>
      <c r="L248" s="6" t="s">
        <v>356</v>
      </c>
      <c r="M248" s="6" t="s">
        <v>15</v>
      </c>
      <c r="N248" s="6" t="s">
        <v>58</v>
      </c>
      <c r="O248" s="6">
        <v>5</v>
      </c>
      <c r="P248" s="6" t="s">
        <v>45</v>
      </c>
      <c r="Q248" s="6" t="s">
        <v>46</v>
      </c>
      <c r="R248" s="6" t="s">
        <v>47</v>
      </c>
      <c r="S248" s="6">
        <f t="shared" si="17"/>
        <v>0</v>
      </c>
      <c r="T248" s="6">
        <f t="shared" si="21"/>
        <v>0</v>
      </c>
      <c r="U248" s="6">
        <f t="shared" si="21"/>
        <v>1</v>
      </c>
      <c r="V248" s="6">
        <f t="shared" si="21"/>
        <v>0</v>
      </c>
      <c r="W248" s="6">
        <f t="shared" si="21"/>
        <v>0</v>
      </c>
      <c r="X248" s="6">
        <f t="shared" si="21"/>
        <v>0</v>
      </c>
      <c r="Y248" s="6">
        <f t="shared" si="21"/>
        <v>0</v>
      </c>
      <c r="Z248" s="6">
        <f t="shared" si="21"/>
        <v>0</v>
      </c>
      <c r="AA248" s="6">
        <f t="shared" si="21"/>
        <v>0</v>
      </c>
      <c r="AB248" s="6">
        <f t="shared" si="21"/>
        <v>0</v>
      </c>
      <c r="AC248" s="6" t="s">
        <v>21</v>
      </c>
      <c r="AD248" s="6" t="s">
        <v>34</v>
      </c>
      <c r="AE248" s="6" t="s">
        <v>24</v>
      </c>
      <c r="AF248" s="6" t="s">
        <v>21</v>
      </c>
    </row>
    <row r="249" spans="1:32" x14ac:dyDescent="0.3">
      <c r="A249" s="7">
        <v>248</v>
      </c>
      <c r="B249" s="7" t="s">
        <v>55</v>
      </c>
      <c r="C249" s="7">
        <f t="shared" si="20"/>
        <v>0</v>
      </c>
      <c r="D249" s="7">
        <f t="shared" si="18"/>
        <v>0</v>
      </c>
      <c r="E249" s="7">
        <f t="shared" si="18"/>
        <v>0</v>
      </c>
      <c r="F249" s="7">
        <f t="shared" si="18"/>
        <v>0</v>
      </c>
      <c r="G249" s="7">
        <f t="shared" si="18"/>
        <v>0</v>
      </c>
      <c r="H249" s="7">
        <f t="shared" si="18"/>
        <v>1</v>
      </c>
      <c r="I249" s="8" t="s">
        <v>27</v>
      </c>
      <c r="J249" s="8" t="s">
        <v>43</v>
      </c>
      <c r="K249" s="8" t="str">
        <f>_xlfn.XLOOKUP(J249,Worksheet!$F$1:$F$48,Worksheet!$G$1:$G$48,0)</f>
        <v>Lack of awareness</v>
      </c>
      <c r="L249" s="8" t="s">
        <v>50</v>
      </c>
      <c r="M249" s="8" t="s">
        <v>49</v>
      </c>
      <c r="N249" s="8" t="s">
        <v>51</v>
      </c>
      <c r="O249" s="8">
        <v>5</v>
      </c>
      <c r="P249" s="8" t="s">
        <v>45</v>
      </c>
      <c r="Q249" s="8" t="s">
        <v>63</v>
      </c>
      <c r="R249" s="8" t="s">
        <v>96</v>
      </c>
      <c r="S249" s="8">
        <f t="shared" si="17"/>
        <v>0</v>
      </c>
      <c r="T249" s="8">
        <f t="shared" si="21"/>
        <v>0</v>
      </c>
      <c r="U249" s="8">
        <f t="shared" si="21"/>
        <v>0</v>
      </c>
      <c r="V249" s="8">
        <f t="shared" si="21"/>
        <v>1</v>
      </c>
      <c r="W249" s="8">
        <f t="shared" si="21"/>
        <v>0</v>
      </c>
      <c r="X249" s="8">
        <f t="shared" si="21"/>
        <v>0</v>
      </c>
      <c r="Y249" s="8">
        <f t="shared" si="21"/>
        <v>0</v>
      </c>
      <c r="Z249" s="8">
        <f t="shared" si="21"/>
        <v>0</v>
      </c>
      <c r="AA249" s="8">
        <f t="shared" si="21"/>
        <v>0</v>
      </c>
      <c r="AB249" s="8">
        <f t="shared" si="21"/>
        <v>0</v>
      </c>
      <c r="AC249" s="8" t="s">
        <v>21</v>
      </c>
      <c r="AD249" s="8" t="s">
        <v>23</v>
      </c>
      <c r="AE249" s="8" t="s">
        <v>24</v>
      </c>
      <c r="AF249" s="8" t="s">
        <v>48</v>
      </c>
    </row>
    <row r="250" spans="1:32" x14ac:dyDescent="0.3">
      <c r="A250" s="5">
        <v>249</v>
      </c>
      <c r="B250" s="5" t="s">
        <v>121</v>
      </c>
      <c r="C250" s="5">
        <f t="shared" si="20"/>
        <v>1</v>
      </c>
      <c r="D250" s="5">
        <f t="shared" si="18"/>
        <v>0</v>
      </c>
      <c r="E250" s="5">
        <f t="shared" si="18"/>
        <v>0</v>
      </c>
      <c r="F250" s="5">
        <f t="shared" si="18"/>
        <v>0</v>
      </c>
      <c r="G250" s="5">
        <f t="shared" si="18"/>
        <v>1</v>
      </c>
      <c r="H250" s="5">
        <f t="shared" si="18"/>
        <v>1</v>
      </c>
      <c r="I250" s="6" t="s">
        <v>49</v>
      </c>
      <c r="J250" s="6" t="s">
        <v>253</v>
      </c>
      <c r="K250" s="6" t="str">
        <f>_xlfn.XLOOKUP(J250,Worksheet!$F$1:$F$48,Worksheet!$G$1:$G$48,0)</f>
        <v>No need</v>
      </c>
      <c r="L250" s="6" t="s">
        <v>50</v>
      </c>
      <c r="M250" s="6" t="s">
        <v>49</v>
      </c>
      <c r="N250" s="6" t="s">
        <v>70</v>
      </c>
      <c r="O250" s="6">
        <v>5</v>
      </c>
      <c r="P250" s="6" t="s">
        <v>45</v>
      </c>
      <c r="Q250" s="6" t="s">
        <v>46</v>
      </c>
      <c r="R250" s="6" t="s">
        <v>254</v>
      </c>
      <c r="S250" s="6">
        <f t="shared" si="17"/>
        <v>1</v>
      </c>
      <c r="T250" s="6">
        <f t="shared" si="21"/>
        <v>0</v>
      </c>
      <c r="U250" s="6">
        <f t="shared" si="21"/>
        <v>1</v>
      </c>
      <c r="V250" s="6">
        <f t="shared" si="21"/>
        <v>1</v>
      </c>
      <c r="W250" s="6">
        <f t="shared" si="21"/>
        <v>0</v>
      </c>
      <c r="X250" s="6">
        <f t="shared" si="21"/>
        <v>0</v>
      </c>
      <c r="Y250" s="6">
        <f t="shared" si="21"/>
        <v>0</v>
      </c>
      <c r="Z250" s="6">
        <f t="shared" si="21"/>
        <v>1</v>
      </c>
      <c r="AA250" s="6">
        <f t="shared" si="21"/>
        <v>0</v>
      </c>
      <c r="AB250" s="6">
        <f t="shared" si="21"/>
        <v>0</v>
      </c>
      <c r="AC250" s="6" t="s">
        <v>21</v>
      </c>
      <c r="AD250" s="6" t="s">
        <v>23</v>
      </c>
      <c r="AE250" s="6" t="s">
        <v>24</v>
      </c>
      <c r="AF250" s="6" t="s">
        <v>48</v>
      </c>
    </row>
    <row r="251" spans="1:32" x14ac:dyDescent="0.3">
      <c r="A251" s="7">
        <v>250</v>
      </c>
      <c r="B251" s="7" t="s">
        <v>100</v>
      </c>
      <c r="C251" s="7">
        <f t="shared" si="20"/>
        <v>1</v>
      </c>
      <c r="D251" s="7">
        <f t="shared" si="18"/>
        <v>0</v>
      </c>
      <c r="E251" s="7">
        <f t="shared" si="18"/>
        <v>0</v>
      </c>
      <c r="F251" s="7">
        <f t="shared" si="18"/>
        <v>0</v>
      </c>
      <c r="G251" s="7">
        <f t="shared" si="18"/>
        <v>0</v>
      </c>
      <c r="H251" s="7">
        <f t="shared" si="18"/>
        <v>0</v>
      </c>
      <c r="I251" s="8" t="s">
        <v>27</v>
      </c>
      <c r="J251" s="8" t="s">
        <v>43</v>
      </c>
      <c r="K251" s="8" t="str">
        <f>_xlfn.XLOOKUP(J251,Worksheet!$F$1:$F$48,Worksheet!$G$1:$G$48,0)</f>
        <v>Lack of awareness</v>
      </c>
      <c r="L251" s="8" t="s">
        <v>50</v>
      </c>
      <c r="M251" s="8" t="s">
        <v>18</v>
      </c>
      <c r="N251" s="8" t="s">
        <v>44</v>
      </c>
      <c r="O251" s="8">
        <v>3</v>
      </c>
      <c r="P251" s="8" t="s">
        <v>45</v>
      </c>
      <c r="Q251" s="8" t="s">
        <v>52</v>
      </c>
      <c r="R251" s="8" t="s">
        <v>67</v>
      </c>
      <c r="S251" s="8">
        <f t="shared" ref="S251:S314" si="22">IFERROR(IF(SEARCH(S$1,$R251)&gt;0,1,0),0)</f>
        <v>1</v>
      </c>
      <c r="T251" s="8">
        <f t="shared" si="21"/>
        <v>1</v>
      </c>
      <c r="U251" s="8">
        <f t="shared" si="21"/>
        <v>1</v>
      </c>
      <c r="V251" s="8">
        <f t="shared" si="21"/>
        <v>1</v>
      </c>
      <c r="W251" s="8">
        <f t="shared" si="21"/>
        <v>1</v>
      </c>
      <c r="X251" s="8">
        <f t="shared" si="21"/>
        <v>1</v>
      </c>
      <c r="Y251" s="8">
        <f t="shared" si="21"/>
        <v>1</v>
      </c>
      <c r="Z251" s="8">
        <f t="shared" si="21"/>
        <v>1</v>
      </c>
      <c r="AA251" s="8">
        <f t="shared" si="21"/>
        <v>1</v>
      </c>
      <c r="AB251" s="8">
        <f t="shared" si="21"/>
        <v>1</v>
      </c>
      <c r="AC251" s="8" t="s">
        <v>25</v>
      </c>
      <c r="AD251" s="8" t="s">
        <v>34</v>
      </c>
      <c r="AE251" s="8" t="s">
        <v>24</v>
      </c>
      <c r="AF251" s="8" t="s">
        <v>48</v>
      </c>
    </row>
    <row r="252" spans="1:32" x14ac:dyDescent="0.3">
      <c r="A252" s="5">
        <v>251</v>
      </c>
      <c r="B252" s="5" t="s">
        <v>41</v>
      </c>
      <c r="C252" s="5">
        <f t="shared" si="20"/>
        <v>0</v>
      </c>
      <c r="D252" s="5">
        <f t="shared" si="18"/>
        <v>0</v>
      </c>
      <c r="E252" s="5">
        <f t="shared" si="18"/>
        <v>0</v>
      </c>
      <c r="F252" s="5">
        <f t="shared" si="18"/>
        <v>0</v>
      </c>
      <c r="G252" s="5">
        <f t="shared" si="18"/>
        <v>1</v>
      </c>
      <c r="H252" s="5">
        <f t="shared" si="18"/>
        <v>0</v>
      </c>
      <c r="I252" s="6" t="s">
        <v>27</v>
      </c>
      <c r="J252" s="6" t="s">
        <v>43</v>
      </c>
      <c r="K252" s="6" t="str">
        <f>_xlfn.XLOOKUP(J252,Worksheet!$F$1:$F$48,Worksheet!$G$1:$G$48,0)</f>
        <v>Lack of awareness</v>
      </c>
      <c r="L252" s="6" t="s">
        <v>356</v>
      </c>
      <c r="M252" s="6" t="s">
        <v>102</v>
      </c>
      <c r="N252" s="6" t="s">
        <v>58</v>
      </c>
      <c r="O252" s="6">
        <v>5</v>
      </c>
      <c r="P252" s="6" t="s">
        <v>72</v>
      </c>
      <c r="Q252" s="6" t="s">
        <v>63</v>
      </c>
      <c r="R252" s="6" t="s">
        <v>255</v>
      </c>
      <c r="S252" s="6">
        <f t="shared" si="22"/>
        <v>1</v>
      </c>
      <c r="T252" s="6">
        <f t="shared" si="21"/>
        <v>1</v>
      </c>
      <c r="U252" s="6">
        <f t="shared" si="21"/>
        <v>0</v>
      </c>
      <c r="V252" s="6">
        <f t="shared" si="21"/>
        <v>1</v>
      </c>
      <c r="W252" s="6">
        <f t="shared" si="21"/>
        <v>0</v>
      </c>
      <c r="X252" s="6">
        <f t="shared" si="21"/>
        <v>1</v>
      </c>
      <c r="Y252" s="6">
        <f t="shared" si="21"/>
        <v>0</v>
      </c>
      <c r="Z252" s="6">
        <f t="shared" si="21"/>
        <v>1</v>
      </c>
      <c r="AA252" s="6">
        <f t="shared" si="21"/>
        <v>0</v>
      </c>
      <c r="AB252" s="6">
        <f t="shared" si="21"/>
        <v>1</v>
      </c>
      <c r="AC252" s="6" t="s">
        <v>21</v>
      </c>
      <c r="AD252" s="6" t="s">
        <v>40</v>
      </c>
      <c r="AE252" s="6" t="s">
        <v>24</v>
      </c>
      <c r="AF252" s="6" t="s">
        <v>48</v>
      </c>
    </row>
    <row r="253" spans="1:32" x14ac:dyDescent="0.3">
      <c r="A253" s="7">
        <v>252</v>
      </c>
      <c r="B253" s="7" t="s">
        <v>68</v>
      </c>
      <c r="C253" s="7">
        <f t="shared" si="20"/>
        <v>0</v>
      </c>
      <c r="D253" s="7">
        <f t="shared" si="18"/>
        <v>1</v>
      </c>
      <c r="E253" s="7">
        <f t="shared" si="18"/>
        <v>0</v>
      </c>
      <c r="F253" s="7">
        <f t="shared" ref="D253:H304" si="23">IFERROR(IF(SEARCH(F$1,$B253)&gt;0,1,0),0)</f>
        <v>0</v>
      </c>
      <c r="G253" s="7">
        <f t="shared" si="23"/>
        <v>0</v>
      </c>
      <c r="H253" s="7">
        <f t="shared" si="23"/>
        <v>0</v>
      </c>
      <c r="I253" s="8" t="s">
        <v>15</v>
      </c>
      <c r="J253" s="8" t="s">
        <v>43</v>
      </c>
      <c r="K253" s="8" t="str">
        <f>_xlfn.XLOOKUP(J253,Worksheet!$F$1:$F$48,Worksheet!$G$1:$G$48,0)</f>
        <v>Lack of awareness</v>
      </c>
      <c r="L253" s="8" t="s">
        <v>17</v>
      </c>
      <c r="M253" s="8" t="s">
        <v>15</v>
      </c>
      <c r="N253" s="8" t="s">
        <v>44</v>
      </c>
      <c r="O253" s="8">
        <v>4</v>
      </c>
      <c r="P253" s="8" t="s">
        <v>45</v>
      </c>
      <c r="Q253" s="8" t="s">
        <v>63</v>
      </c>
      <c r="R253" s="8" t="s">
        <v>256</v>
      </c>
      <c r="S253" s="8">
        <f t="shared" si="22"/>
        <v>1</v>
      </c>
      <c r="T253" s="8">
        <f t="shared" si="21"/>
        <v>1</v>
      </c>
      <c r="U253" s="8">
        <f t="shared" si="21"/>
        <v>1</v>
      </c>
      <c r="V253" s="8">
        <f t="shared" si="21"/>
        <v>1</v>
      </c>
      <c r="W253" s="8">
        <f t="shared" si="21"/>
        <v>1</v>
      </c>
      <c r="X253" s="8">
        <f t="shared" si="21"/>
        <v>1</v>
      </c>
      <c r="Y253" s="8">
        <f t="shared" si="21"/>
        <v>1</v>
      </c>
      <c r="Z253" s="8">
        <f t="shared" si="21"/>
        <v>1</v>
      </c>
      <c r="AA253" s="8">
        <f t="shared" si="21"/>
        <v>1</v>
      </c>
      <c r="AB253" s="8">
        <f t="shared" si="21"/>
        <v>1</v>
      </c>
      <c r="AC253" s="8" t="s">
        <v>25</v>
      </c>
      <c r="AD253" s="8" t="s">
        <v>34</v>
      </c>
      <c r="AE253" s="8" t="s">
        <v>24</v>
      </c>
      <c r="AF253" s="8" t="s">
        <v>48</v>
      </c>
    </row>
    <row r="254" spans="1:32" x14ac:dyDescent="0.3">
      <c r="A254" s="5">
        <v>253</v>
      </c>
      <c r="B254" s="5" t="s">
        <v>41</v>
      </c>
      <c r="C254" s="5">
        <f t="shared" si="20"/>
        <v>0</v>
      </c>
      <c r="D254" s="5">
        <f t="shared" si="23"/>
        <v>0</v>
      </c>
      <c r="E254" s="5">
        <f t="shared" si="23"/>
        <v>0</v>
      </c>
      <c r="F254" s="5">
        <f t="shared" si="23"/>
        <v>0</v>
      </c>
      <c r="G254" s="5">
        <f t="shared" si="23"/>
        <v>1</v>
      </c>
      <c r="H254" s="5">
        <f t="shared" si="23"/>
        <v>0</v>
      </c>
      <c r="I254" s="6" t="s">
        <v>27</v>
      </c>
      <c r="J254" s="6" t="s">
        <v>43</v>
      </c>
      <c r="K254" s="6" t="str">
        <f>_xlfn.XLOOKUP(J254,Worksheet!$F$1:$F$48,Worksheet!$G$1:$G$48,0)</f>
        <v>Lack of awareness</v>
      </c>
      <c r="L254" s="6" t="s">
        <v>356</v>
      </c>
      <c r="M254" s="6" t="s">
        <v>18</v>
      </c>
      <c r="N254" s="6" t="s">
        <v>58</v>
      </c>
      <c r="O254" s="6">
        <v>5</v>
      </c>
      <c r="P254" s="6" t="s">
        <v>45</v>
      </c>
      <c r="Q254" s="6" t="s">
        <v>52</v>
      </c>
      <c r="R254" s="6" t="s">
        <v>257</v>
      </c>
      <c r="S254" s="6">
        <f t="shared" si="22"/>
        <v>1</v>
      </c>
      <c r="T254" s="6">
        <f t="shared" si="21"/>
        <v>0</v>
      </c>
      <c r="U254" s="6">
        <f t="shared" si="21"/>
        <v>0</v>
      </c>
      <c r="V254" s="6">
        <f t="shared" si="21"/>
        <v>1</v>
      </c>
      <c r="W254" s="6">
        <f t="shared" si="21"/>
        <v>1</v>
      </c>
      <c r="X254" s="6">
        <f t="shared" si="21"/>
        <v>0</v>
      </c>
      <c r="Y254" s="6">
        <f t="shared" si="21"/>
        <v>0</v>
      </c>
      <c r="Z254" s="6">
        <f t="shared" si="21"/>
        <v>0</v>
      </c>
      <c r="AA254" s="6">
        <f t="shared" si="21"/>
        <v>0</v>
      </c>
      <c r="AB254" s="6">
        <f t="shared" si="21"/>
        <v>0</v>
      </c>
      <c r="AC254" s="6" t="s">
        <v>21</v>
      </c>
      <c r="AD254" s="6" t="s">
        <v>23</v>
      </c>
      <c r="AE254" s="6" t="s">
        <v>24</v>
      </c>
      <c r="AF254" s="6" t="s">
        <v>25</v>
      </c>
    </row>
    <row r="255" spans="1:32" x14ac:dyDescent="0.3">
      <c r="A255" s="7">
        <v>254</v>
      </c>
      <c r="B255" s="7" t="s">
        <v>41</v>
      </c>
      <c r="C255" s="7">
        <f t="shared" si="20"/>
        <v>0</v>
      </c>
      <c r="D255" s="7">
        <f t="shared" si="23"/>
        <v>0</v>
      </c>
      <c r="E255" s="7">
        <f t="shared" si="23"/>
        <v>0</v>
      </c>
      <c r="F255" s="7">
        <f t="shared" si="23"/>
        <v>0</v>
      </c>
      <c r="G255" s="7">
        <f t="shared" si="23"/>
        <v>1</v>
      </c>
      <c r="H255" s="7">
        <f t="shared" si="23"/>
        <v>0</v>
      </c>
      <c r="I255" s="8" t="s">
        <v>15</v>
      </c>
      <c r="J255" s="8" t="s">
        <v>43</v>
      </c>
      <c r="K255" s="8" t="str">
        <f>_xlfn.XLOOKUP(J255,Worksheet!$F$1:$F$48,Worksheet!$G$1:$G$48,0)</f>
        <v>Lack of awareness</v>
      </c>
      <c r="L255" s="8" t="s">
        <v>37</v>
      </c>
      <c r="M255" s="8" t="s">
        <v>49</v>
      </c>
      <c r="N255" s="8" t="s">
        <v>58</v>
      </c>
      <c r="O255" s="8">
        <v>4</v>
      </c>
      <c r="P255" s="8" t="s">
        <v>45</v>
      </c>
      <c r="Q255" s="8" t="s">
        <v>46</v>
      </c>
      <c r="R255" s="8" t="s">
        <v>111</v>
      </c>
      <c r="S255" s="8">
        <f t="shared" si="22"/>
        <v>0</v>
      </c>
      <c r="T255" s="8">
        <f t="shared" si="21"/>
        <v>0</v>
      </c>
      <c r="U255" s="8">
        <f t="shared" si="21"/>
        <v>0</v>
      </c>
      <c r="V255" s="8">
        <f t="shared" si="21"/>
        <v>0</v>
      </c>
      <c r="W255" s="8">
        <f t="shared" si="21"/>
        <v>0</v>
      </c>
      <c r="X255" s="8">
        <f t="shared" si="21"/>
        <v>0</v>
      </c>
      <c r="Y255" s="8">
        <f t="shared" si="21"/>
        <v>1</v>
      </c>
      <c r="Z255" s="8">
        <f t="shared" si="21"/>
        <v>0</v>
      </c>
      <c r="AA255" s="8">
        <f t="shared" si="21"/>
        <v>0</v>
      </c>
      <c r="AB255" s="8">
        <f t="shared" si="21"/>
        <v>0</v>
      </c>
      <c r="AC255" s="8" t="s">
        <v>21</v>
      </c>
      <c r="AD255" s="8" t="s">
        <v>34</v>
      </c>
      <c r="AE255" s="8" t="s">
        <v>24</v>
      </c>
      <c r="AF255" s="8" t="s">
        <v>25</v>
      </c>
    </row>
    <row r="256" spans="1:32" x14ac:dyDescent="0.3">
      <c r="A256" s="5">
        <v>255</v>
      </c>
      <c r="B256" s="5" t="s">
        <v>340</v>
      </c>
      <c r="C256" s="5">
        <f t="shared" si="20"/>
        <v>0</v>
      </c>
      <c r="D256" s="5">
        <f t="shared" si="23"/>
        <v>0</v>
      </c>
      <c r="E256" s="5">
        <f t="shared" si="23"/>
        <v>1</v>
      </c>
      <c r="F256" s="5">
        <f t="shared" si="23"/>
        <v>0</v>
      </c>
      <c r="G256" s="5">
        <f t="shared" si="23"/>
        <v>0</v>
      </c>
      <c r="H256" s="5">
        <f t="shared" si="23"/>
        <v>0</v>
      </c>
      <c r="I256" s="6" t="s">
        <v>49</v>
      </c>
      <c r="J256" s="6" t="s">
        <v>258</v>
      </c>
      <c r="K256" s="6" t="str">
        <f>_xlfn.XLOOKUP(J256,Worksheet!$F$1:$F$48,Worksheet!$G$1:$G$48,0)</f>
        <v>No need</v>
      </c>
      <c r="L256" s="6" t="s">
        <v>50</v>
      </c>
      <c r="M256" s="6" t="s">
        <v>49</v>
      </c>
      <c r="N256" s="6" t="s">
        <v>70</v>
      </c>
      <c r="O256" s="6">
        <v>5</v>
      </c>
      <c r="P256" s="6" t="s">
        <v>45</v>
      </c>
      <c r="Q256" s="6" t="s">
        <v>63</v>
      </c>
      <c r="R256" s="6" t="s">
        <v>146</v>
      </c>
      <c r="S256" s="6">
        <f t="shared" si="22"/>
        <v>0</v>
      </c>
      <c r="T256" s="6">
        <f t="shared" si="21"/>
        <v>0</v>
      </c>
      <c r="U256" s="6">
        <f t="shared" si="21"/>
        <v>1</v>
      </c>
      <c r="V256" s="6">
        <f t="shared" si="21"/>
        <v>0</v>
      </c>
      <c r="W256" s="6">
        <f t="shared" si="21"/>
        <v>0</v>
      </c>
      <c r="X256" s="6">
        <f t="shared" si="21"/>
        <v>1</v>
      </c>
      <c r="Y256" s="6">
        <f t="shared" si="21"/>
        <v>0</v>
      </c>
      <c r="Z256" s="6">
        <f t="shared" si="21"/>
        <v>0</v>
      </c>
      <c r="AA256" s="6">
        <f t="shared" si="21"/>
        <v>1</v>
      </c>
      <c r="AB256" s="6">
        <f t="shared" si="21"/>
        <v>0</v>
      </c>
      <c r="AC256" s="6" t="s">
        <v>25</v>
      </c>
      <c r="AD256" s="6" t="s">
        <v>23</v>
      </c>
      <c r="AE256" s="6" t="s">
        <v>136</v>
      </c>
      <c r="AF256" s="6" t="s">
        <v>48</v>
      </c>
    </row>
    <row r="257" spans="1:32" x14ac:dyDescent="0.3">
      <c r="A257" s="7">
        <v>256</v>
      </c>
      <c r="B257" s="7" t="s">
        <v>68</v>
      </c>
      <c r="C257" s="7">
        <f t="shared" si="20"/>
        <v>0</v>
      </c>
      <c r="D257" s="7">
        <f t="shared" si="23"/>
        <v>1</v>
      </c>
      <c r="E257" s="7">
        <f t="shared" si="23"/>
        <v>0</v>
      </c>
      <c r="F257" s="7">
        <f t="shared" si="23"/>
        <v>0</v>
      </c>
      <c r="G257" s="7">
        <f t="shared" si="23"/>
        <v>0</v>
      </c>
      <c r="H257" s="7">
        <f t="shared" si="23"/>
        <v>0</v>
      </c>
      <c r="I257" s="8" t="s">
        <v>15</v>
      </c>
      <c r="J257" s="8" t="s">
        <v>43</v>
      </c>
      <c r="K257" s="8" t="str">
        <f>_xlfn.XLOOKUP(J257,Worksheet!$F$1:$F$48,Worksheet!$G$1:$G$48,0)</f>
        <v>Lack of awareness</v>
      </c>
      <c r="L257" s="8" t="s">
        <v>37</v>
      </c>
      <c r="M257" s="8" t="s">
        <v>30</v>
      </c>
      <c r="N257" s="8" t="s">
        <v>44</v>
      </c>
      <c r="O257" s="8">
        <v>4</v>
      </c>
      <c r="P257" s="8" t="s">
        <v>45</v>
      </c>
      <c r="Q257" s="8" t="s">
        <v>63</v>
      </c>
      <c r="R257" s="8" t="s">
        <v>259</v>
      </c>
      <c r="S257" s="8">
        <f t="shared" si="22"/>
        <v>1</v>
      </c>
      <c r="T257" s="8">
        <f t="shared" si="21"/>
        <v>0</v>
      </c>
      <c r="U257" s="8">
        <f t="shared" si="21"/>
        <v>1</v>
      </c>
      <c r="V257" s="8">
        <f t="shared" si="21"/>
        <v>1</v>
      </c>
      <c r="W257" s="8">
        <f t="shared" si="21"/>
        <v>0</v>
      </c>
      <c r="X257" s="8">
        <f t="shared" si="21"/>
        <v>0</v>
      </c>
      <c r="Y257" s="8">
        <f t="shared" si="21"/>
        <v>0</v>
      </c>
      <c r="Z257" s="8">
        <f t="shared" si="21"/>
        <v>0</v>
      </c>
      <c r="AA257" s="8">
        <f t="shared" si="21"/>
        <v>1</v>
      </c>
      <c r="AB257" s="8">
        <f t="shared" si="21"/>
        <v>0</v>
      </c>
      <c r="AC257" s="8" t="s">
        <v>25</v>
      </c>
      <c r="AD257" s="8" t="s">
        <v>23</v>
      </c>
      <c r="AE257" s="8" t="s">
        <v>24</v>
      </c>
      <c r="AF257" s="8" t="s">
        <v>82</v>
      </c>
    </row>
    <row r="258" spans="1:32" x14ac:dyDescent="0.3">
      <c r="A258" s="5">
        <v>257</v>
      </c>
      <c r="B258" s="5" t="s">
        <v>66</v>
      </c>
      <c r="C258" s="5">
        <f t="shared" si="20"/>
        <v>0</v>
      </c>
      <c r="D258" s="5">
        <f t="shared" si="23"/>
        <v>1</v>
      </c>
      <c r="E258" s="5">
        <f t="shared" si="23"/>
        <v>0</v>
      </c>
      <c r="F258" s="5">
        <f t="shared" si="23"/>
        <v>0</v>
      </c>
      <c r="G258" s="5">
        <f t="shared" si="23"/>
        <v>0</v>
      </c>
      <c r="H258" s="5">
        <f t="shared" si="23"/>
        <v>1</v>
      </c>
      <c r="I258" s="6" t="s">
        <v>15</v>
      </c>
      <c r="J258" s="6" t="s">
        <v>43</v>
      </c>
      <c r="K258" s="6" t="str">
        <f>_xlfn.XLOOKUP(J258,Worksheet!$F$1:$F$48,Worksheet!$G$1:$G$48,0)</f>
        <v>Lack of awareness</v>
      </c>
      <c r="L258" s="6" t="s">
        <v>29</v>
      </c>
      <c r="M258" s="6" t="s">
        <v>102</v>
      </c>
      <c r="N258" s="6" t="s">
        <v>44</v>
      </c>
      <c r="O258" s="6">
        <v>5</v>
      </c>
      <c r="P258" s="6" t="s">
        <v>45</v>
      </c>
      <c r="Q258" s="6" t="s">
        <v>63</v>
      </c>
      <c r="R258" s="6" t="s">
        <v>260</v>
      </c>
      <c r="S258" s="6">
        <f t="shared" si="22"/>
        <v>1</v>
      </c>
      <c r="T258" s="6">
        <f t="shared" si="21"/>
        <v>0</v>
      </c>
      <c r="U258" s="6">
        <f t="shared" si="21"/>
        <v>1</v>
      </c>
      <c r="V258" s="6">
        <f t="shared" si="21"/>
        <v>0</v>
      </c>
      <c r="W258" s="6">
        <f t="shared" si="21"/>
        <v>0</v>
      </c>
      <c r="X258" s="6">
        <f t="shared" si="21"/>
        <v>0</v>
      </c>
      <c r="Y258" s="6">
        <f t="shared" si="21"/>
        <v>0</v>
      </c>
      <c r="Z258" s="6">
        <f t="shared" si="21"/>
        <v>0</v>
      </c>
      <c r="AA258" s="6">
        <f t="shared" si="21"/>
        <v>1</v>
      </c>
      <c r="AB258" s="6">
        <f t="shared" si="21"/>
        <v>0</v>
      </c>
      <c r="AC258" s="6" t="s">
        <v>21</v>
      </c>
      <c r="AD258" s="6" t="s">
        <v>23</v>
      </c>
      <c r="AE258" s="6" t="s">
        <v>24</v>
      </c>
      <c r="AF258" s="6" t="s">
        <v>48</v>
      </c>
    </row>
    <row r="259" spans="1:32" x14ac:dyDescent="0.3">
      <c r="A259" s="7">
        <v>258</v>
      </c>
      <c r="B259" s="7" t="s">
        <v>100</v>
      </c>
      <c r="C259" s="7">
        <f t="shared" si="20"/>
        <v>1</v>
      </c>
      <c r="D259" s="7">
        <f t="shared" si="23"/>
        <v>0</v>
      </c>
      <c r="E259" s="7">
        <f t="shared" si="23"/>
        <v>0</v>
      </c>
      <c r="F259" s="7">
        <f t="shared" si="23"/>
        <v>0</v>
      </c>
      <c r="G259" s="7">
        <f t="shared" si="23"/>
        <v>0</v>
      </c>
      <c r="H259" s="7">
        <f t="shared" si="23"/>
        <v>0</v>
      </c>
      <c r="I259" s="8" t="s">
        <v>15</v>
      </c>
      <c r="J259" s="8" t="s">
        <v>83</v>
      </c>
      <c r="K259" s="8" t="str">
        <f>_xlfn.XLOOKUP(J259,Worksheet!$F$1:$F$48,Worksheet!$G$1:$G$48,0)</f>
        <v>Fear</v>
      </c>
      <c r="L259" s="8" t="s">
        <v>17</v>
      </c>
      <c r="M259" s="8" t="s">
        <v>18</v>
      </c>
      <c r="N259" s="8" t="s">
        <v>70</v>
      </c>
      <c r="O259" s="8">
        <v>5</v>
      </c>
      <c r="P259" s="8" t="s">
        <v>45</v>
      </c>
      <c r="Q259" s="8" t="s">
        <v>46</v>
      </c>
      <c r="R259" s="8" t="s">
        <v>56</v>
      </c>
      <c r="S259" s="8">
        <f t="shared" si="22"/>
        <v>1</v>
      </c>
      <c r="T259" s="8">
        <f t="shared" si="21"/>
        <v>0</v>
      </c>
      <c r="U259" s="8">
        <f t="shared" si="21"/>
        <v>0</v>
      </c>
      <c r="V259" s="8">
        <f t="shared" si="21"/>
        <v>0</v>
      </c>
      <c r="W259" s="8">
        <f t="shared" si="21"/>
        <v>0</v>
      </c>
      <c r="X259" s="8">
        <f t="shared" si="21"/>
        <v>0</v>
      </c>
      <c r="Y259" s="8">
        <f t="shared" si="21"/>
        <v>0</v>
      </c>
      <c r="Z259" s="8">
        <f t="shared" si="21"/>
        <v>0</v>
      </c>
      <c r="AA259" s="8">
        <f t="shared" si="21"/>
        <v>0</v>
      </c>
      <c r="AB259" s="8">
        <f t="shared" si="21"/>
        <v>0</v>
      </c>
      <c r="AC259" s="8" t="s">
        <v>21</v>
      </c>
      <c r="AD259" s="8" t="s">
        <v>40</v>
      </c>
      <c r="AE259" s="8" t="s">
        <v>24</v>
      </c>
      <c r="AF259" s="8" t="s">
        <v>21</v>
      </c>
    </row>
    <row r="260" spans="1:32" x14ac:dyDescent="0.3">
      <c r="A260" s="5">
        <v>259</v>
      </c>
      <c r="B260" s="5" t="s">
        <v>55</v>
      </c>
      <c r="C260" s="5">
        <f t="shared" si="20"/>
        <v>0</v>
      </c>
      <c r="D260" s="5">
        <f t="shared" si="23"/>
        <v>0</v>
      </c>
      <c r="E260" s="5">
        <f t="shared" si="23"/>
        <v>0</v>
      </c>
      <c r="F260" s="5">
        <f t="shared" si="23"/>
        <v>0</v>
      </c>
      <c r="G260" s="5">
        <f t="shared" si="23"/>
        <v>0</v>
      </c>
      <c r="H260" s="5">
        <f t="shared" si="23"/>
        <v>1</v>
      </c>
      <c r="I260" s="6" t="s">
        <v>27</v>
      </c>
      <c r="J260" s="6" t="s">
        <v>83</v>
      </c>
      <c r="K260" s="6" t="str">
        <f>_xlfn.XLOOKUP(J260,Worksheet!$F$1:$F$48,Worksheet!$G$1:$G$48,0)</f>
        <v>Fear</v>
      </c>
      <c r="L260" s="6" t="s">
        <v>17</v>
      </c>
      <c r="M260" s="6" t="s">
        <v>15</v>
      </c>
      <c r="N260" s="6" t="s">
        <v>70</v>
      </c>
      <c r="O260" s="6">
        <v>3</v>
      </c>
      <c r="P260" s="6" t="s">
        <v>45</v>
      </c>
      <c r="Q260" s="6" t="s">
        <v>46</v>
      </c>
      <c r="R260" s="6" t="s">
        <v>261</v>
      </c>
      <c r="S260" s="6">
        <f t="shared" si="22"/>
        <v>1</v>
      </c>
      <c r="T260" s="6">
        <f t="shared" si="21"/>
        <v>1</v>
      </c>
      <c r="U260" s="6">
        <f t="shared" si="21"/>
        <v>0</v>
      </c>
      <c r="V260" s="6">
        <f t="shared" si="21"/>
        <v>0</v>
      </c>
      <c r="W260" s="6">
        <f t="shared" si="21"/>
        <v>1</v>
      </c>
      <c r="X260" s="6">
        <f t="shared" si="21"/>
        <v>1</v>
      </c>
      <c r="Y260" s="6">
        <f t="shared" si="21"/>
        <v>0</v>
      </c>
      <c r="Z260" s="6">
        <f t="shared" si="21"/>
        <v>1</v>
      </c>
      <c r="AA260" s="6">
        <f t="shared" si="21"/>
        <v>0</v>
      </c>
      <c r="AB260" s="6">
        <f t="shared" si="21"/>
        <v>0</v>
      </c>
      <c r="AC260" s="6" t="s">
        <v>21</v>
      </c>
      <c r="AD260" s="6" t="s">
        <v>34</v>
      </c>
      <c r="AE260" s="6" t="s">
        <v>24</v>
      </c>
      <c r="AF260" s="6" t="s">
        <v>48</v>
      </c>
    </row>
    <row r="261" spans="1:32" x14ac:dyDescent="0.3">
      <c r="A261" s="7">
        <v>260</v>
      </c>
      <c r="B261" s="7" t="s">
        <v>55</v>
      </c>
      <c r="C261" s="7">
        <f t="shared" si="20"/>
        <v>0</v>
      </c>
      <c r="D261" s="7">
        <f t="shared" si="23"/>
        <v>0</v>
      </c>
      <c r="E261" s="7">
        <f t="shared" si="23"/>
        <v>0</v>
      </c>
      <c r="F261" s="7">
        <f t="shared" si="23"/>
        <v>0</v>
      </c>
      <c r="G261" s="7">
        <f t="shared" si="23"/>
        <v>0</v>
      </c>
      <c r="H261" s="7">
        <f t="shared" si="23"/>
        <v>1</v>
      </c>
      <c r="I261" s="8" t="s">
        <v>42</v>
      </c>
      <c r="J261" s="8" t="s">
        <v>36</v>
      </c>
      <c r="K261" s="8" t="str">
        <f>_xlfn.XLOOKUP(J261,Worksheet!$F$1:$F$48,Worksheet!$G$1:$G$48,0)</f>
        <v>Shame</v>
      </c>
      <c r="L261" s="8" t="s">
        <v>29</v>
      </c>
      <c r="M261" s="8" t="s">
        <v>15</v>
      </c>
      <c r="N261" s="8" t="s">
        <v>51</v>
      </c>
      <c r="O261" s="8">
        <v>4</v>
      </c>
      <c r="P261" s="8" t="s">
        <v>84</v>
      </c>
      <c r="Q261" s="8" t="s">
        <v>46</v>
      </c>
      <c r="R261" s="8" t="s">
        <v>56</v>
      </c>
      <c r="S261" s="8">
        <f t="shared" si="22"/>
        <v>1</v>
      </c>
      <c r="T261" s="8">
        <f t="shared" si="21"/>
        <v>0</v>
      </c>
      <c r="U261" s="8">
        <f t="shared" si="21"/>
        <v>0</v>
      </c>
      <c r="V261" s="8">
        <f t="shared" si="21"/>
        <v>0</v>
      </c>
      <c r="W261" s="8">
        <f t="shared" si="21"/>
        <v>0</v>
      </c>
      <c r="X261" s="8">
        <f t="shared" si="21"/>
        <v>0</v>
      </c>
      <c r="Y261" s="8">
        <f t="shared" si="21"/>
        <v>0</v>
      </c>
      <c r="Z261" s="8">
        <f t="shared" si="21"/>
        <v>0</v>
      </c>
      <c r="AA261" s="8">
        <f t="shared" si="21"/>
        <v>0</v>
      </c>
      <c r="AB261" s="8">
        <f t="shared" si="21"/>
        <v>0</v>
      </c>
      <c r="AC261" s="8" t="s">
        <v>25</v>
      </c>
      <c r="AD261" s="8" t="s">
        <v>34</v>
      </c>
      <c r="AE261" s="8" t="s">
        <v>24</v>
      </c>
      <c r="AF261" s="8" t="s">
        <v>21</v>
      </c>
    </row>
    <row r="262" spans="1:32" x14ac:dyDescent="0.3">
      <c r="A262" s="5">
        <v>261</v>
      </c>
      <c r="B262" s="5" t="s">
        <v>55</v>
      </c>
      <c r="C262" s="5">
        <f t="shared" si="20"/>
        <v>0</v>
      </c>
      <c r="D262" s="5">
        <f t="shared" si="23"/>
        <v>0</v>
      </c>
      <c r="E262" s="5">
        <f t="shared" si="23"/>
        <v>0</v>
      </c>
      <c r="F262" s="5">
        <f t="shared" si="23"/>
        <v>0</v>
      </c>
      <c r="G262" s="5">
        <f t="shared" si="23"/>
        <v>0</v>
      </c>
      <c r="H262" s="5">
        <f t="shared" si="23"/>
        <v>1</v>
      </c>
      <c r="I262" s="6" t="s">
        <v>49</v>
      </c>
      <c r="J262" s="6" t="s">
        <v>43</v>
      </c>
      <c r="K262" s="6" t="str">
        <f>_xlfn.XLOOKUP(J262,Worksheet!$F$1:$F$48,Worksheet!$G$1:$G$48,0)</f>
        <v>Lack of awareness</v>
      </c>
      <c r="L262" s="6" t="s">
        <v>50</v>
      </c>
      <c r="M262" s="6" t="s">
        <v>30</v>
      </c>
      <c r="N262" s="6" t="s">
        <v>51</v>
      </c>
      <c r="O262" s="6">
        <v>5</v>
      </c>
      <c r="P262" s="6" t="s">
        <v>45</v>
      </c>
      <c r="Q262" s="6" t="s">
        <v>63</v>
      </c>
      <c r="R262" s="6" t="s">
        <v>132</v>
      </c>
      <c r="S262" s="6">
        <f t="shared" si="22"/>
        <v>1</v>
      </c>
      <c r="T262" s="6">
        <f t="shared" si="21"/>
        <v>0</v>
      </c>
      <c r="U262" s="6">
        <f t="shared" si="21"/>
        <v>1</v>
      </c>
      <c r="V262" s="6">
        <f t="shared" si="21"/>
        <v>0</v>
      </c>
      <c r="W262" s="6">
        <f t="shared" si="21"/>
        <v>0</v>
      </c>
      <c r="X262" s="6">
        <f t="shared" si="21"/>
        <v>0</v>
      </c>
      <c r="Y262" s="6">
        <f t="shared" si="21"/>
        <v>0</v>
      </c>
      <c r="Z262" s="6">
        <f t="shared" si="21"/>
        <v>1</v>
      </c>
      <c r="AA262" s="6">
        <f t="shared" si="21"/>
        <v>0</v>
      </c>
      <c r="AB262" s="6">
        <f t="shared" si="21"/>
        <v>0</v>
      </c>
      <c r="AC262" s="6" t="s">
        <v>21</v>
      </c>
      <c r="AD262" s="6" t="s">
        <v>23</v>
      </c>
      <c r="AE262" s="6" t="s">
        <v>24</v>
      </c>
      <c r="AF262" s="6" t="s">
        <v>25</v>
      </c>
    </row>
    <row r="263" spans="1:32" x14ac:dyDescent="0.3">
      <c r="A263" s="7">
        <v>262</v>
      </c>
      <c r="B263" s="7" t="s">
        <v>41</v>
      </c>
      <c r="C263" s="7">
        <f t="shared" si="20"/>
        <v>0</v>
      </c>
      <c r="D263" s="7">
        <f t="shared" si="23"/>
        <v>0</v>
      </c>
      <c r="E263" s="7">
        <f t="shared" si="23"/>
        <v>0</v>
      </c>
      <c r="F263" s="7">
        <f t="shared" si="23"/>
        <v>0</v>
      </c>
      <c r="G263" s="7">
        <f t="shared" si="23"/>
        <v>1</v>
      </c>
      <c r="H263" s="7">
        <f t="shared" si="23"/>
        <v>0</v>
      </c>
      <c r="I263" s="8" t="s">
        <v>42</v>
      </c>
      <c r="J263" s="8" t="s">
        <v>36</v>
      </c>
      <c r="K263" s="8" t="str">
        <f>_xlfn.XLOOKUP(J263,Worksheet!$F$1:$F$48,Worksheet!$G$1:$G$48,0)</f>
        <v>Shame</v>
      </c>
      <c r="L263" s="8" t="s">
        <v>17</v>
      </c>
      <c r="M263" s="8" t="s">
        <v>15</v>
      </c>
      <c r="N263" s="8" t="s">
        <v>70</v>
      </c>
      <c r="O263" s="8">
        <v>2</v>
      </c>
      <c r="P263" s="8" t="s">
        <v>45</v>
      </c>
      <c r="Q263" s="8" t="s">
        <v>52</v>
      </c>
      <c r="R263" s="8" t="s">
        <v>67</v>
      </c>
      <c r="S263" s="8">
        <f t="shared" si="22"/>
        <v>1</v>
      </c>
      <c r="T263" s="8">
        <f t="shared" si="21"/>
        <v>1</v>
      </c>
      <c r="U263" s="8">
        <f t="shared" si="21"/>
        <v>1</v>
      </c>
      <c r="V263" s="8">
        <f t="shared" si="21"/>
        <v>1</v>
      </c>
      <c r="W263" s="8">
        <f t="shared" si="21"/>
        <v>1</v>
      </c>
      <c r="X263" s="8">
        <f t="shared" si="21"/>
        <v>1</v>
      </c>
      <c r="Y263" s="8">
        <f t="shared" si="21"/>
        <v>1</v>
      </c>
      <c r="Z263" s="8">
        <f t="shared" si="21"/>
        <v>1</v>
      </c>
      <c r="AA263" s="8">
        <f t="shared" si="21"/>
        <v>1</v>
      </c>
      <c r="AB263" s="8">
        <f t="shared" si="21"/>
        <v>1</v>
      </c>
      <c r="AC263" s="8" t="s">
        <v>21</v>
      </c>
      <c r="AD263" s="8" t="s">
        <v>23</v>
      </c>
      <c r="AE263" s="8" t="s">
        <v>24</v>
      </c>
      <c r="AF263" s="8" t="s">
        <v>25</v>
      </c>
    </row>
    <row r="264" spans="1:32" x14ac:dyDescent="0.3">
      <c r="A264" s="5">
        <v>263</v>
      </c>
      <c r="B264" s="5" t="s">
        <v>68</v>
      </c>
      <c r="C264" s="5">
        <f t="shared" si="20"/>
        <v>0</v>
      </c>
      <c r="D264" s="5">
        <f t="shared" si="23"/>
        <v>1</v>
      </c>
      <c r="E264" s="5">
        <f t="shared" si="23"/>
        <v>0</v>
      </c>
      <c r="F264" s="5">
        <f t="shared" si="23"/>
        <v>0</v>
      </c>
      <c r="G264" s="5">
        <f t="shared" si="23"/>
        <v>0</v>
      </c>
      <c r="H264" s="5">
        <f t="shared" si="23"/>
        <v>0</v>
      </c>
      <c r="I264" s="6" t="s">
        <v>15</v>
      </c>
      <c r="J264" s="6" t="s">
        <v>43</v>
      </c>
      <c r="K264" s="6" t="str">
        <f>_xlfn.XLOOKUP(J264,Worksheet!$F$1:$F$48,Worksheet!$G$1:$G$48,0)</f>
        <v>Lack of awareness</v>
      </c>
      <c r="L264" s="6" t="s">
        <v>50</v>
      </c>
      <c r="M264" s="6" t="s">
        <v>49</v>
      </c>
      <c r="N264" s="6" t="s">
        <v>51</v>
      </c>
      <c r="O264" s="6">
        <v>5</v>
      </c>
      <c r="P264" s="6" t="s">
        <v>45</v>
      </c>
      <c r="Q264" s="6" t="s">
        <v>52</v>
      </c>
      <c r="R264" s="6" t="s">
        <v>47</v>
      </c>
      <c r="S264" s="6">
        <f t="shared" si="22"/>
        <v>0</v>
      </c>
      <c r="T264" s="6">
        <f t="shared" si="21"/>
        <v>0</v>
      </c>
      <c r="U264" s="6">
        <f t="shared" ref="T264:AB292" si="24">IFERROR(IF(SEARCH(U$1,$R264)&gt;0,1,0),0)</f>
        <v>1</v>
      </c>
      <c r="V264" s="6">
        <f t="shared" si="24"/>
        <v>0</v>
      </c>
      <c r="W264" s="6">
        <f t="shared" si="24"/>
        <v>0</v>
      </c>
      <c r="X264" s="6">
        <f t="shared" si="24"/>
        <v>0</v>
      </c>
      <c r="Y264" s="6">
        <f t="shared" si="24"/>
        <v>0</v>
      </c>
      <c r="Z264" s="6">
        <f t="shared" si="24"/>
        <v>0</v>
      </c>
      <c r="AA264" s="6">
        <f t="shared" si="24"/>
        <v>0</v>
      </c>
      <c r="AB264" s="6">
        <f t="shared" si="24"/>
        <v>0</v>
      </c>
      <c r="AC264" s="6" t="s">
        <v>25</v>
      </c>
      <c r="AD264" s="6" t="s">
        <v>34</v>
      </c>
      <c r="AE264" s="6" t="s">
        <v>88</v>
      </c>
      <c r="AF264" s="6" t="s">
        <v>25</v>
      </c>
    </row>
    <row r="265" spans="1:32" x14ac:dyDescent="0.3">
      <c r="A265" s="7">
        <v>264</v>
      </c>
      <c r="B265" s="7" t="s">
        <v>68</v>
      </c>
      <c r="C265" s="7">
        <f t="shared" si="20"/>
        <v>0</v>
      </c>
      <c r="D265" s="7">
        <f t="shared" si="23"/>
        <v>1</v>
      </c>
      <c r="E265" s="7">
        <f t="shared" si="23"/>
        <v>0</v>
      </c>
      <c r="F265" s="7">
        <f t="shared" si="23"/>
        <v>0</v>
      </c>
      <c r="G265" s="7">
        <f t="shared" si="23"/>
        <v>0</v>
      </c>
      <c r="H265" s="7">
        <f t="shared" si="23"/>
        <v>0</v>
      </c>
      <c r="I265" s="8" t="s">
        <v>15</v>
      </c>
      <c r="J265" s="8" t="s">
        <v>43</v>
      </c>
      <c r="K265" s="8" t="str">
        <f>_xlfn.XLOOKUP(J265,Worksheet!$F$1:$F$48,Worksheet!$G$1:$G$48,0)</f>
        <v>Lack of awareness</v>
      </c>
      <c r="L265" s="8" t="s">
        <v>37</v>
      </c>
      <c r="M265" s="8" t="s">
        <v>30</v>
      </c>
      <c r="N265" s="8" t="s">
        <v>51</v>
      </c>
      <c r="O265" s="8">
        <v>4</v>
      </c>
      <c r="P265" s="8" t="s">
        <v>45</v>
      </c>
      <c r="Q265" s="8" t="s">
        <v>46</v>
      </c>
      <c r="R265" s="8" t="s">
        <v>262</v>
      </c>
      <c r="S265" s="8">
        <f t="shared" si="22"/>
        <v>1</v>
      </c>
      <c r="T265" s="8">
        <f t="shared" si="24"/>
        <v>1</v>
      </c>
      <c r="U265" s="8">
        <f t="shared" si="24"/>
        <v>0</v>
      </c>
      <c r="V265" s="8">
        <f t="shared" si="24"/>
        <v>0</v>
      </c>
      <c r="W265" s="8">
        <f t="shared" si="24"/>
        <v>0</v>
      </c>
      <c r="X265" s="8">
        <f t="shared" si="24"/>
        <v>0</v>
      </c>
      <c r="Y265" s="8">
        <f t="shared" si="24"/>
        <v>0</v>
      </c>
      <c r="Z265" s="8">
        <f t="shared" si="24"/>
        <v>1</v>
      </c>
      <c r="AA265" s="8">
        <f t="shared" si="24"/>
        <v>1</v>
      </c>
      <c r="AB265" s="8">
        <f t="shared" si="24"/>
        <v>0</v>
      </c>
      <c r="AC265" s="8" t="s">
        <v>21</v>
      </c>
      <c r="AD265" s="8" t="s">
        <v>23</v>
      </c>
      <c r="AE265" s="8" t="s">
        <v>24</v>
      </c>
      <c r="AF265" s="8" t="s">
        <v>21</v>
      </c>
    </row>
    <row r="266" spans="1:32" x14ac:dyDescent="0.3">
      <c r="A266" s="5">
        <v>265</v>
      </c>
      <c r="B266" s="5" t="s">
        <v>100</v>
      </c>
      <c r="C266" s="5">
        <f t="shared" si="20"/>
        <v>1</v>
      </c>
      <c r="D266" s="5">
        <f t="shared" si="23"/>
        <v>0</v>
      </c>
      <c r="E266" s="5">
        <f t="shared" si="23"/>
        <v>0</v>
      </c>
      <c r="F266" s="5">
        <f t="shared" si="23"/>
        <v>0</v>
      </c>
      <c r="G266" s="5">
        <f t="shared" si="23"/>
        <v>0</v>
      </c>
      <c r="H266" s="5">
        <f t="shared" si="23"/>
        <v>0</v>
      </c>
      <c r="I266" s="6" t="s">
        <v>42</v>
      </c>
      <c r="J266" s="6" t="s">
        <v>43</v>
      </c>
      <c r="K266" s="6" t="str">
        <f>_xlfn.XLOOKUP(J266,Worksheet!$F$1:$F$48,Worksheet!$G$1:$G$48,0)</f>
        <v>Lack of awareness</v>
      </c>
      <c r="L266" s="6" t="s">
        <v>37</v>
      </c>
      <c r="M266" s="6" t="s">
        <v>18</v>
      </c>
      <c r="N266" s="6" t="s">
        <v>58</v>
      </c>
      <c r="O266" s="6">
        <v>5</v>
      </c>
      <c r="P266" s="6" t="s">
        <v>45</v>
      </c>
      <c r="Q266" s="6" t="s">
        <v>63</v>
      </c>
      <c r="R266" s="6" t="s">
        <v>263</v>
      </c>
      <c r="S266" s="6">
        <f t="shared" si="22"/>
        <v>1</v>
      </c>
      <c r="T266" s="6">
        <f t="shared" si="24"/>
        <v>1</v>
      </c>
      <c r="U266" s="6">
        <f t="shared" si="24"/>
        <v>0</v>
      </c>
      <c r="V266" s="6">
        <f t="shared" si="24"/>
        <v>0</v>
      </c>
      <c r="W266" s="6">
        <f t="shared" si="24"/>
        <v>0</v>
      </c>
      <c r="X266" s="6">
        <f t="shared" si="24"/>
        <v>0</v>
      </c>
      <c r="Y266" s="6">
        <f t="shared" si="24"/>
        <v>0</v>
      </c>
      <c r="Z266" s="6">
        <f t="shared" si="24"/>
        <v>0</v>
      </c>
      <c r="AA266" s="6">
        <f t="shared" si="24"/>
        <v>1</v>
      </c>
      <c r="AB266" s="6">
        <f t="shared" si="24"/>
        <v>0</v>
      </c>
      <c r="AC266" s="6" t="s">
        <v>21</v>
      </c>
      <c r="AD266" s="6" t="s">
        <v>40</v>
      </c>
      <c r="AE266" s="6" t="s">
        <v>24</v>
      </c>
      <c r="AF266" s="6" t="s">
        <v>48</v>
      </c>
    </row>
    <row r="267" spans="1:32" x14ac:dyDescent="0.3">
      <c r="A267" s="7">
        <v>266</v>
      </c>
      <c r="B267" s="7" t="s">
        <v>100</v>
      </c>
      <c r="C267" s="7">
        <f t="shared" si="20"/>
        <v>1</v>
      </c>
      <c r="D267" s="7">
        <f t="shared" si="23"/>
        <v>0</v>
      </c>
      <c r="E267" s="7">
        <f t="shared" si="23"/>
        <v>0</v>
      </c>
      <c r="F267" s="7">
        <f t="shared" si="23"/>
        <v>0</v>
      </c>
      <c r="G267" s="7">
        <f t="shared" si="23"/>
        <v>0</v>
      </c>
      <c r="H267" s="7">
        <f t="shared" si="23"/>
        <v>0</v>
      </c>
      <c r="I267" s="8" t="s">
        <v>15</v>
      </c>
      <c r="J267" s="8" t="s">
        <v>43</v>
      </c>
      <c r="K267" s="8" t="str">
        <f>_xlfn.XLOOKUP(J267,Worksheet!$F$1:$F$48,Worksheet!$G$1:$G$48,0)</f>
        <v>Lack of awareness</v>
      </c>
      <c r="L267" s="8" t="s">
        <v>17</v>
      </c>
      <c r="M267" s="8" t="s">
        <v>15</v>
      </c>
      <c r="N267" s="8" t="s">
        <v>51</v>
      </c>
      <c r="O267" s="8">
        <v>5</v>
      </c>
      <c r="P267" s="8" t="s">
        <v>45</v>
      </c>
      <c r="Q267" s="8" t="s">
        <v>63</v>
      </c>
      <c r="R267" s="8" t="s">
        <v>60</v>
      </c>
      <c r="S267" s="8">
        <f t="shared" si="22"/>
        <v>1</v>
      </c>
      <c r="T267" s="8">
        <f t="shared" si="24"/>
        <v>0</v>
      </c>
      <c r="U267" s="8">
        <f t="shared" si="24"/>
        <v>1</v>
      </c>
      <c r="V267" s="8">
        <f t="shared" si="24"/>
        <v>0</v>
      </c>
      <c r="W267" s="8">
        <f t="shared" si="24"/>
        <v>0</v>
      </c>
      <c r="X267" s="8">
        <f t="shared" si="24"/>
        <v>0</v>
      </c>
      <c r="Y267" s="8">
        <f t="shared" si="24"/>
        <v>0</v>
      </c>
      <c r="Z267" s="8">
        <f t="shared" si="24"/>
        <v>0</v>
      </c>
      <c r="AA267" s="8">
        <f t="shared" si="24"/>
        <v>0</v>
      </c>
      <c r="AB267" s="8">
        <f t="shared" si="24"/>
        <v>0</v>
      </c>
      <c r="AC267" s="8" t="s">
        <v>21</v>
      </c>
      <c r="AD267" s="8" t="s">
        <v>23</v>
      </c>
      <c r="AE267" s="8" t="s">
        <v>24</v>
      </c>
      <c r="AF267" s="8" t="s">
        <v>25</v>
      </c>
    </row>
    <row r="268" spans="1:32" x14ac:dyDescent="0.3">
      <c r="A268" s="5">
        <v>267</v>
      </c>
      <c r="B268" s="5" t="s">
        <v>55</v>
      </c>
      <c r="C268" s="5">
        <f t="shared" si="20"/>
        <v>0</v>
      </c>
      <c r="D268" s="5">
        <f t="shared" si="23"/>
        <v>0</v>
      </c>
      <c r="E268" s="5">
        <f t="shared" si="23"/>
        <v>0</v>
      </c>
      <c r="F268" s="5">
        <f t="shared" si="23"/>
        <v>0</v>
      </c>
      <c r="G268" s="5">
        <f t="shared" si="23"/>
        <v>0</v>
      </c>
      <c r="H268" s="5">
        <f t="shared" si="23"/>
        <v>1</v>
      </c>
      <c r="I268" s="6" t="s">
        <v>15</v>
      </c>
      <c r="J268" s="6" t="s">
        <v>43</v>
      </c>
      <c r="K268" s="6" t="str">
        <f>_xlfn.XLOOKUP(J268,Worksheet!$F$1:$F$48,Worksheet!$G$1:$G$48,0)</f>
        <v>Lack of awareness</v>
      </c>
      <c r="L268" s="6" t="s">
        <v>29</v>
      </c>
      <c r="M268" s="6" t="s">
        <v>30</v>
      </c>
      <c r="N268" s="6" t="s">
        <v>44</v>
      </c>
      <c r="O268" s="6">
        <v>3</v>
      </c>
      <c r="P268" s="6" t="s">
        <v>45</v>
      </c>
      <c r="Q268" s="6" t="s">
        <v>63</v>
      </c>
      <c r="R268" s="6" t="s">
        <v>256</v>
      </c>
      <c r="S268" s="6">
        <f t="shared" si="22"/>
        <v>1</v>
      </c>
      <c r="T268" s="6">
        <f t="shared" si="24"/>
        <v>1</v>
      </c>
      <c r="U268" s="6">
        <f t="shared" si="24"/>
        <v>1</v>
      </c>
      <c r="V268" s="6">
        <f t="shared" si="24"/>
        <v>1</v>
      </c>
      <c r="W268" s="6">
        <f t="shared" si="24"/>
        <v>1</v>
      </c>
      <c r="X268" s="6">
        <f t="shared" si="24"/>
        <v>1</v>
      </c>
      <c r="Y268" s="6">
        <f t="shared" si="24"/>
        <v>1</v>
      </c>
      <c r="Z268" s="6">
        <f t="shared" si="24"/>
        <v>1</v>
      </c>
      <c r="AA268" s="6">
        <f t="shared" si="24"/>
        <v>1</v>
      </c>
      <c r="AB268" s="6">
        <f t="shared" si="24"/>
        <v>1</v>
      </c>
      <c r="AC268" s="6" t="s">
        <v>25</v>
      </c>
      <c r="AD268" s="6" t="s">
        <v>34</v>
      </c>
      <c r="AE268" s="6" t="s">
        <v>24</v>
      </c>
      <c r="AF268" s="6" t="s">
        <v>48</v>
      </c>
    </row>
    <row r="269" spans="1:32" x14ac:dyDescent="0.3">
      <c r="A269" s="7">
        <v>268</v>
      </c>
      <c r="B269" s="7" t="s">
        <v>100</v>
      </c>
      <c r="C269" s="7">
        <f t="shared" si="20"/>
        <v>1</v>
      </c>
      <c r="D269" s="7">
        <f t="shared" si="23"/>
        <v>0</v>
      </c>
      <c r="E269" s="7">
        <f t="shared" si="23"/>
        <v>0</v>
      </c>
      <c r="F269" s="7">
        <f t="shared" si="23"/>
        <v>0</v>
      </c>
      <c r="G269" s="7">
        <f t="shared" si="23"/>
        <v>0</v>
      </c>
      <c r="H269" s="7">
        <f t="shared" si="23"/>
        <v>0</v>
      </c>
      <c r="I269" s="8" t="s">
        <v>42</v>
      </c>
      <c r="J269" s="8" t="s">
        <v>36</v>
      </c>
      <c r="K269" s="8" t="str">
        <f>_xlfn.XLOOKUP(J269,Worksheet!$F$1:$F$48,Worksheet!$G$1:$G$48,0)</f>
        <v>Shame</v>
      </c>
      <c r="L269" s="8" t="s">
        <v>37</v>
      </c>
      <c r="M269" s="8" t="s">
        <v>18</v>
      </c>
      <c r="N269" s="8" t="s">
        <v>44</v>
      </c>
      <c r="O269" s="8">
        <v>4</v>
      </c>
      <c r="P269" s="8" t="s">
        <v>59</v>
      </c>
      <c r="Q269" s="8" t="s">
        <v>46</v>
      </c>
      <c r="R269" s="8" t="s">
        <v>56</v>
      </c>
      <c r="S269" s="8">
        <f t="shared" si="22"/>
        <v>1</v>
      </c>
      <c r="T269" s="8">
        <f t="shared" si="24"/>
        <v>0</v>
      </c>
      <c r="U269" s="8">
        <f t="shared" si="24"/>
        <v>0</v>
      </c>
      <c r="V269" s="8">
        <f t="shared" si="24"/>
        <v>0</v>
      </c>
      <c r="W269" s="8">
        <f t="shared" si="24"/>
        <v>0</v>
      </c>
      <c r="X269" s="8">
        <f t="shared" si="24"/>
        <v>0</v>
      </c>
      <c r="Y269" s="8">
        <f t="shared" si="24"/>
        <v>0</v>
      </c>
      <c r="Z269" s="8">
        <f t="shared" si="24"/>
        <v>0</v>
      </c>
      <c r="AA269" s="8">
        <f t="shared" si="24"/>
        <v>0</v>
      </c>
      <c r="AB269" s="8">
        <f t="shared" si="24"/>
        <v>0</v>
      </c>
      <c r="AC269" s="8" t="s">
        <v>21</v>
      </c>
      <c r="AD269" s="8" t="s">
        <v>40</v>
      </c>
      <c r="AE269" s="8" t="s">
        <v>24</v>
      </c>
      <c r="AF269" s="8" t="s">
        <v>21</v>
      </c>
    </row>
    <row r="270" spans="1:32" x14ac:dyDescent="0.3">
      <c r="A270" s="5">
        <v>269</v>
      </c>
      <c r="B270" s="5" t="s">
        <v>68</v>
      </c>
      <c r="C270" s="5">
        <f t="shared" si="20"/>
        <v>0</v>
      </c>
      <c r="D270" s="5">
        <f t="shared" si="23"/>
        <v>1</v>
      </c>
      <c r="E270" s="5">
        <f t="shared" si="23"/>
        <v>0</v>
      </c>
      <c r="F270" s="5">
        <f t="shared" si="23"/>
        <v>0</v>
      </c>
      <c r="G270" s="5">
        <f t="shared" si="23"/>
        <v>0</v>
      </c>
      <c r="H270" s="5">
        <f t="shared" si="23"/>
        <v>0</v>
      </c>
      <c r="I270" s="6" t="s">
        <v>49</v>
      </c>
      <c r="J270" s="6" t="s">
        <v>43</v>
      </c>
      <c r="K270" s="6" t="str">
        <f>_xlfn.XLOOKUP(J270,Worksheet!$F$1:$F$48,Worksheet!$G$1:$G$48,0)</f>
        <v>Lack of awareness</v>
      </c>
      <c r="L270" s="6" t="s">
        <v>356</v>
      </c>
      <c r="M270" s="6" t="s">
        <v>102</v>
      </c>
      <c r="N270" s="6" t="s">
        <v>51</v>
      </c>
      <c r="O270" s="6">
        <v>3</v>
      </c>
      <c r="P270" s="6" t="s">
        <v>45</v>
      </c>
      <c r="Q270" s="6" t="s">
        <v>52</v>
      </c>
      <c r="R270" s="6" t="s">
        <v>264</v>
      </c>
      <c r="S270" s="6">
        <f t="shared" si="22"/>
        <v>1</v>
      </c>
      <c r="T270" s="6">
        <f t="shared" si="24"/>
        <v>1</v>
      </c>
      <c r="U270" s="6">
        <f t="shared" si="24"/>
        <v>1</v>
      </c>
      <c r="V270" s="6">
        <f t="shared" si="24"/>
        <v>1</v>
      </c>
      <c r="W270" s="6">
        <f t="shared" si="24"/>
        <v>1</v>
      </c>
      <c r="X270" s="6">
        <f t="shared" si="24"/>
        <v>1</v>
      </c>
      <c r="Y270" s="6">
        <f t="shared" si="24"/>
        <v>1</v>
      </c>
      <c r="Z270" s="6">
        <f t="shared" si="24"/>
        <v>1</v>
      </c>
      <c r="AA270" s="6">
        <f t="shared" si="24"/>
        <v>0</v>
      </c>
      <c r="AB270" s="6">
        <f t="shared" si="24"/>
        <v>1</v>
      </c>
      <c r="AC270" s="6" t="s">
        <v>25</v>
      </c>
      <c r="AD270" s="6" t="s">
        <v>34</v>
      </c>
      <c r="AE270" s="6" t="s">
        <v>24</v>
      </c>
      <c r="AF270" s="6" t="s">
        <v>25</v>
      </c>
    </row>
    <row r="271" spans="1:32" x14ac:dyDescent="0.3">
      <c r="A271" s="7">
        <v>270</v>
      </c>
      <c r="B271" s="7" t="s">
        <v>68</v>
      </c>
      <c r="C271" s="7">
        <f t="shared" si="20"/>
        <v>0</v>
      </c>
      <c r="D271" s="7">
        <f t="shared" si="23"/>
        <v>1</v>
      </c>
      <c r="E271" s="7">
        <f t="shared" si="23"/>
        <v>0</v>
      </c>
      <c r="F271" s="7">
        <f t="shared" si="23"/>
        <v>0</v>
      </c>
      <c r="G271" s="7">
        <f t="shared" si="23"/>
        <v>0</v>
      </c>
      <c r="H271" s="7">
        <f t="shared" si="23"/>
        <v>0</v>
      </c>
      <c r="I271" s="8" t="s">
        <v>15</v>
      </c>
      <c r="J271" s="8" t="s">
        <v>83</v>
      </c>
      <c r="K271" s="8" t="str">
        <f>_xlfn.XLOOKUP(J271,Worksheet!$F$1:$F$48,Worksheet!$G$1:$G$48,0)</f>
        <v>Fear</v>
      </c>
      <c r="L271" s="8" t="s">
        <v>356</v>
      </c>
      <c r="M271" s="8" t="s">
        <v>15</v>
      </c>
      <c r="N271" s="8" t="s">
        <v>44</v>
      </c>
      <c r="O271" s="8">
        <v>3</v>
      </c>
      <c r="P271" s="8" t="s">
        <v>45</v>
      </c>
      <c r="Q271" s="8" t="s">
        <v>63</v>
      </c>
      <c r="R271" s="8" t="s">
        <v>155</v>
      </c>
      <c r="S271" s="8">
        <f t="shared" si="22"/>
        <v>1</v>
      </c>
      <c r="T271" s="8">
        <f t="shared" si="24"/>
        <v>1</v>
      </c>
      <c r="U271" s="8">
        <f t="shared" si="24"/>
        <v>0</v>
      </c>
      <c r="V271" s="8">
        <f t="shared" si="24"/>
        <v>1</v>
      </c>
      <c r="W271" s="8">
        <f t="shared" si="24"/>
        <v>1</v>
      </c>
      <c r="X271" s="8">
        <f t="shared" si="24"/>
        <v>1</v>
      </c>
      <c r="Y271" s="8">
        <f t="shared" si="24"/>
        <v>1</v>
      </c>
      <c r="Z271" s="8">
        <f t="shared" si="24"/>
        <v>0</v>
      </c>
      <c r="AA271" s="8">
        <f t="shared" si="24"/>
        <v>0</v>
      </c>
      <c r="AB271" s="8">
        <f t="shared" si="24"/>
        <v>1</v>
      </c>
      <c r="AC271" s="8" t="s">
        <v>25</v>
      </c>
      <c r="AD271" s="8" t="s">
        <v>23</v>
      </c>
      <c r="AE271" s="8" t="s">
        <v>113</v>
      </c>
      <c r="AF271" s="8" t="s">
        <v>48</v>
      </c>
    </row>
    <row r="272" spans="1:32" x14ac:dyDescent="0.3">
      <c r="A272" s="5">
        <v>271</v>
      </c>
      <c r="B272" s="5" t="s">
        <v>66</v>
      </c>
      <c r="C272" s="5">
        <f t="shared" si="20"/>
        <v>0</v>
      </c>
      <c r="D272" s="5">
        <f t="shared" si="23"/>
        <v>1</v>
      </c>
      <c r="E272" s="5">
        <f t="shared" si="23"/>
        <v>0</v>
      </c>
      <c r="F272" s="5">
        <f t="shared" si="23"/>
        <v>0</v>
      </c>
      <c r="G272" s="5">
        <f t="shared" si="23"/>
        <v>0</v>
      </c>
      <c r="H272" s="5">
        <f t="shared" si="23"/>
        <v>1</v>
      </c>
      <c r="I272" s="6" t="s">
        <v>49</v>
      </c>
      <c r="J272" s="6" t="s">
        <v>43</v>
      </c>
      <c r="K272" s="6" t="str">
        <f>_xlfn.XLOOKUP(J272,Worksheet!$F$1:$F$48,Worksheet!$G$1:$G$48,0)</f>
        <v>Lack of awareness</v>
      </c>
      <c r="L272" s="6" t="s">
        <v>356</v>
      </c>
      <c r="M272" s="6" t="s">
        <v>30</v>
      </c>
      <c r="N272" s="6" t="s">
        <v>51</v>
      </c>
      <c r="O272" s="6">
        <v>4</v>
      </c>
      <c r="P272" s="6" t="s">
        <v>45</v>
      </c>
      <c r="Q272" s="6" t="s">
        <v>52</v>
      </c>
      <c r="R272" s="6" t="s">
        <v>232</v>
      </c>
      <c r="S272" s="6">
        <f t="shared" si="22"/>
        <v>0</v>
      </c>
      <c r="T272" s="6">
        <f t="shared" si="24"/>
        <v>0</v>
      </c>
      <c r="U272" s="6">
        <f t="shared" si="24"/>
        <v>0</v>
      </c>
      <c r="V272" s="6">
        <f t="shared" si="24"/>
        <v>0</v>
      </c>
      <c r="W272" s="6">
        <f t="shared" si="24"/>
        <v>0</v>
      </c>
      <c r="X272" s="6">
        <f t="shared" si="24"/>
        <v>0</v>
      </c>
      <c r="Y272" s="6">
        <f t="shared" si="24"/>
        <v>0</v>
      </c>
      <c r="Z272" s="6">
        <f t="shared" si="24"/>
        <v>1</v>
      </c>
      <c r="AA272" s="6">
        <f t="shared" si="24"/>
        <v>1</v>
      </c>
      <c r="AB272" s="6">
        <f t="shared" si="24"/>
        <v>0</v>
      </c>
      <c r="AC272" s="6" t="s">
        <v>21</v>
      </c>
      <c r="AD272" s="6" t="s">
        <v>23</v>
      </c>
      <c r="AE272" s="6" t="s">
        <v>113</v>
      </c>
      <c r="AF272" s="6" t="s">
        <v>21</v>
      </c>
    </row>
    <row r="273" spans="1:32" x14ac:dyDescent="0.3">
      <c r="A273" s="7">
        <v>272</v>
      </c>
      <c r="B273" s="7" t="s">
        <v>75</v>
      </c>
      <c r="C273" s="7">
        <f t="shared" si="20"/>
        <v>1</v>
      </c>
      <c r="D273" s="7">
        <f t="shared" si="23"/>
        <v>1</v>
      </c>
      <c r="E273" s="7">
        <f t="shared" si="23"/>
        <v>0</v>
      </c>
      <c r="F273" s="7">
        <f t="shared" si="23"/>
        <v>0</v>
      </c>
      <c r="G273" s="7">
        <f t="shared" si="23"/>
        <v>0</v>
      </c>
      <c r="H273" s="7">
        <f t="shared" si="23"/>
        <v>1</v>
      </c>
      <c r="I273" s="8" t="s">
        <v>27</v>
      </c>
      <c r="J273" s="8" t="s">
        <v>43</v>
      </c>
      <c r="K273" s="8" t="str">
        <f>_xlfn.XLOOKUP(J273,Worksheet!$F$1:$F$48,Worksheet!$G$1:$G$48,0)</f>
        <v>Lack of awareness</v>
      </c>
      <c r="L273" s="8" t="s">
        <v>50</v>
      </c>
      <c r="M273" s="8" t="s">
        <v>30</v>
      </c>
      <c r="N273" s="8" t="s">
        <v>58</v>
      </c>
      <c r="O273" s="8">
        <v>5</v>
      </c>
      <c r="P273" s="8" t="s">
        <v>45</v>
      </c>
      <c r="Q273" s="8" t="s">
        <v>46</v>
      </c>
      <c r="R273" s="8" t="s">
        <v>265</v>
      </c>
      <c r="S273" s="8">
        <f t="shared" si="22"/>
        <v>1</v>
      </c>
      <c r="T273" s="8">
        <f t="shared" si="24"/>
        <v>0</v>
      </c>
      <c r="U273" s="8">
        <f t="shared" si="24"/>
        <v>1</v>
      </c>
      <c r="V273" s="8">
        <f t="shared" si="24"/>
        <v>1</v>
      </c>
      <c r="W273" s="8">
        <f t="shared" si="24"/>
        <v>0</v>
      </c>
      <c r="X273" s="8">
        <f t="shared" si="24"/>
        <v>1</v>
      </c>
      <c r="Y273" s="8">
        <f t="shared" si="24"/>
        <v>1</v>
      </c>
      <c r="Z273" s="8">
        <f t="shared" si="24"/>
        <v>0</v>
      </c>
      <c r="AA273" s="8">
        <f t="shared" si="24"/>
        <v>0</v>
      </c>
      <c r="AB273" s="8">
        <f t="shared" si="24"/>
        <v>1</v>
      </c>
      <c r="AC273" s="8" t="s">
        <v>25</v>
      </c>
      <c r="AD273" s="8" t="s">
        <v>23</v>
      </c>
      <c r="AE273" s="8" t="s">
        <v>24</v>
      </c>
      <c r="AF273" s="8" t="s">
        <v>48</v>
      </c>
    </row>
    <row r="274" spans="1:32" x14ac:dyDescent="0.3">
      <c r="A274" s="5">
        <v>273</v>
      </c>
      <c r="B274" s="5" t="s">
        <v>26</v>
      </c>
      <c r="C274" s="5">
        <f t="shared" si="20"/>
        <v>0</v>
      </c>
      <c r="D274" s="5">
        <f t="shared" si="23"/>
        <v>1</v>
      </c>
      <c r="E274" s="5">
        <f t="shared" si="23"/>
        <v>0</v>
      </c>
      <c r="F274" s="5">
        <f t="shared" si="23"/>
        <v>0</v>
      </c>
      <c r="G274" s="5">
        <f t="shared" si="23"/>
        <v>1</v>
      </c>
      <c r="H274" s="5">
        <f t="shared" si="23"/>
        <v>0</v>
      </c>
      <c r="I274" s="6" t="s">
        <v>15</v>
      </c>
      <c r="J274" s="6" t="s">
        <v>43</v>
      </c>
      <c r="K274" s="6" t="str">
        <f>_xlfn.XLOOKUP(J274,Worksheet!$F$1:$F$48,Worksheet!$G$1:$G$48,0)</f>
        <v>Lack of awareness</v>
      </c>
      <c r="L274" s="6" t="s">
        <v>356</v>
      </c>
      <c r="M274" s="6" t="s">
        <v>30</v>
      </c>
      <c r="N274" s="6" t="s">
        <v>70</v>
      </c>
      <c r="O274" s="6">
        <v>5</v>
      </c>
      <c r="P274" s="6" t="s">
        <v>45</v>
      </c>
      <c r="Q274" s="6" t="s">
        <v>63</v>
      </c>
      <c r="R274" s="6" t="s">
        <v>266</v>
      </c>
      <c r="S274" s="6">
        <f t="shared" si="22"/>
        <v>1</v>
      </c>
      <c r="T274" s="6">
        <f t="shared" si="24"/>
        <v>1</v>
      </c>
      <c r="U274" s="6">
        <f t="shared" si="24"/>
        <v>0</v>
      </c>
      <c r="V274" s="6">
        <f t="shared" si="24"/>
        <v>1</v>
      </c>
      <c r="W274" s="6">
        <f t="shared" si="24"/>
        <v>0</v>
      </c>
      <c r="X274" s="6">
        <f t="shared" si="24"/>
        <v>0</v>
      </c>
      <c r="Y274" s="6">
        <f t="shared" si="24"/>
        <v>1</v>
      </c>
      <c r="Z274" s="6">
        <f t="shared" si="24"/>
        <v>1</v>
      </c>
      <c r="AA274" s="6">
        <f t="shared" si="24"/>
        <v>1</v>
      </c>
      <c r="AB274" s="6">
        <f t="shared" si="24"/>
        <v>0</v>
      </c>
      <c r="AC274" s="6" t="s">
        <v>21</v>
      </c>
      <c r="AD274" s="6" t="s">
        <v>40</v>
      </c>
      <c r="AE274" s="6" t="s">
        <v>24</v>
      </c>
      <c r="AF274" s="6" t="s">
        <v>21</v>
      </c>
    </row>
    <row r="275" spans="1:32" x14ac:dyDescent="0.3">
      <c r="A275" s="7">
        <v>274</v>
      </c>
      <c r="B275" s="7" t="s">
        <v>14</v>
      </c>
      <c r="C275" s="7">
        <f t="shared" si="20"/>
        <v>0</v>
      </c>
      <c r="D275" s="7">
        <f t="shared" si="23"/>
        <v>1</v>
      </c>
      <c r="E275" s="7">
        <f t="shared" si="23"/>
        <v>0</v>
      </c>
      <c r="F275" s="7">
        <f t="shared" si="23"/>
        <v>0</v>
      </c>
      <c r="G275" s="7">
        <f t="shared" si="23"/>
        <v>1</v>
      </c>
      <c r="H275" s="7">
        <f t="shared" si="23"/>
        <v>1</v>
      </c>
      <c r="I275" s="8" t="s">
        <v>49</v>
      </c>
      <c r="J275" s="8" t="s">
        <v>43</v>
      </c>
      <c r="K275" s="8" t="str">
        <f>_xlfn.XLOOKUP(J275,Worksheet!$F$1:$F$48,Worksheet!$G$1:$G$48,0)</f>
        <v>Lack of awareness</v>
      </c>
      <c r="L275" s="8" t="s">
        <v>50</v>
      </c>
      <c r="M275" s="8" t="s">
        <v>30</v>
      </c>
      <c r="N275" s="8" t="s">
        <v>51</v>
      </c>
      <c r="O275" s="8">
        <v>5</v>
      </c>
      <c r="P275" s="8" t="s">
        <v>45</v>
      </c>
      <c r="Q275" s="8" t="s">
        <v>63</v>
      </c>
      <c r="R275" s="8" t="s">
        <v>267</v>
      </c>
      <c r="S275" s="8">
        <f t="shared" si="22"/>
        <v>0</v>
      </c>
      <c r="T275" s="8">
        <f t="shared" si="24"/>
        <v>1</v>
      </c>
      <c r="U275" s="8">
        <f t="shared" si="24"/>
        <v>0</v>
      </c>
      <c r="V275" s="8">
        <f t="shared" si="24"/>
        <v>0</v>
      </c>
      <c r="W275" s="8">
        <f t="shared" si="24"/>
        <v>0</v>
      </c>
      <c r="X275" s="8">
        <f t="shared" si="24"/>
        <v>1</v>
      </c>
      <c r="Y275" s="8">
        <f t="shared" si="24"/>
        <v>1</v>
      </c>
      <c r="Z275" s="8">
        <f t="shared" si="24"/>
        <v>1</v>
      </c>
      <c r="AA275" s="8">
        <f t="shared" si="24"/>
        <v>0</v>
      </c>
      <c r="AB275" s="8">
        <f t="shared" si="24"/>
        <v>0</v>
      </c>
      <c r="AC275" s="8" t="s">
        <v>25</v>
      </c>
      <c r="AD275" s="8" t="s">
        <v>23</v>
      </c>
      <c r="AE275" s="8" t="s">
        <v>24</v>
      </c>
      <c r="AF275" s="8" t="s">
        <v>48</v>
      </c>
    </row>
    <row r="276" spans="1:32" x14ac:dyDescent="0.3">
      <c r="A276" s="5">
        <v>275</v>
      </c>
      <c r="B276" s="5" t="s">
        <v>340</v>
      </c>
      <c r="C276" s="5">
        <f t="shared" si="20"/>
        <v>0</v>
      </c>
      <c r="D276" s="5">
        <f t="shared" si="23"/>
        <v>0</v>
      </c>
      <c r="E276" s="5">
        <f t="shared" si="23"/>
        <v>1</v>
      </c>
      <c r="F276" s="5">
        <f t="shared" si="23"/>
        <v>0</v>
      </c>
      <c r="G276" s="5">
        <f t="shared" si="23"/>
        <v>0</v>
      </c>
      <c r="H276" s="5">
        <f t="shared" si="23"/>
        <v>0</v>
      </c>
      <c r="I276" s="6" t="s">
        <v>15</v>
      </c>
      <c r="J276" s="6" t="s">
        <v>43</v>
      </c>
      <c r="K276" s="6" t="str">
        <f>_xlfn.XLOOKUP(J276,Worksheet!$F$1:$F$48,Worksheet!$G$1:$G$48,0)</f>
        <v>Lack of awareness</v>
      </c>
      <c r="L276" s="6" t="s">
        <v>37</v>
      </c>
      <c r="M276" s="6" t="s">
        <v>30</v>
      </c>
      <c r="N276" s="6" t="s">
        <v>44</v>
      </c>
      <c r="O276" s="6">
        <v>1</v>
      </c>
      <c r="P276" s="6" t="s">
        <v>45</v>
      </c>
      <c r="Q276" s="6" t="s">
        <v>52</v>
      </c>
      <c r="R276" s="6" t="s">
        <v>39</v>
      </c>
      <c r="S276" s="6">
        <f t="shared" si="22"/>
        <v>0</v>
      </c>
      <c r="T276" s="6">
        <f t="shared" si="24"/>
        <v>0</v>
      </c>
      <c r="U276" s="6">
        <f t="shared" si="24"/>
        <v>0</v>
      </c>
      <c r="V276" s="6">
        <f t="shared" si="24"/>
        <v>0</v>
      </c>
      <c r="W276" s="6">
        <f t="shared" si="24"/>
        <v>1</v>
      </c>
      <c r="X276" s="6">
        <f t="shared" si="24"/>
        <v>0</v>
      </c>
      <c r="Y276" s="6">
        <f t="shared" si="24"/>
        <v>0</v>
      </c>
      <c r="Z276" s="6">
        <f t="shared" si="24"/>
        <v>0</v>
      </c>
      <c r="AA276" s="6">
        <f t="shared" si="24"/>
        <v>0</v>
      </c>
      <c r="AB276" s="6">
        <f t="shared" si="24"/>
        <v>0</v>
      </c>
      <c r="AC276" s="6" t="s">
        <v>25</v>
      </c>
      <c r="AD276" s="6" t="s">
        <v>34</v>
      </c>
      <c r="AE276" s="6" t="s">
        <v>24</v>
      </c>
      <c r="AF276" s="6" t="s">
        <v>21</v>
      </c>
    </row>
    <row r="277" spans="1:32" x14ac:dyDescent="0.3">
      <c r="A277" s="7">
        <v>276</v>
      </c>
      <c r="B277" s="7" t="s">
        <v>75</v>
      </c>
      <c r="C277" s="7">
        <f t="shared" si="20"/>
        <v>1</v>
      </c>
      <c r="D277" s="7">
        <f t="shared" si="23"/>
        <v>1</v>
      </c>
      <c r="E277" s="7">
        <f t="shared" si="23"/>
        <v>0</v>
      </c>
      <c r="F277" s="7">
        <f t="shared" si="23"/>
        <v>0</v>
      </c>
      <c r="G277" s="7">
        <f t="shared" si="23"/>
        <v>0</v>
      </c>
      <c r="H277" s="7">
        <f t="shared" si="23"/>
        <v>1</v>
      </c>
      <c r="I277" s="8" t="s">
        <v>42</v>
      </c>
      <c r="J277" s="8" t="s">
        <v>43</v>
      </c>
      <c r="K277" s="8" t="str">
        <f>_xlfn.XLOOKUP(J277,Worksheet!$F$1:$F$48,Worksheet!$G$1:$G$48,0)</f>
        <v>Lack of awareness</v>
      </c>
      <c r="L277" s="8" t="s">
        <v>50</v>
      </c>
      <c r="M277" s="8" t="s">
        <v>30</v>
      </c>
      <c r="N277" s="8" t="s">
        <v>51</v>
      </c>
      <c r="O277" s="8">
        <v>5</v>
      </c>
      <c r="P277" s="8" t="s">
        <v>45</v>
      </c>
      <c r="Q277" s="8" t="s">
        <v>46</v>
      </c>
      <c r="R277" s="8" t="s">
        <v>268</v>
      </c>
      <c r="S277" s="8">
        <f t="shared" si="22"/>
        <v>1</v>
      </c>
      <c r="T277" s="8">
        <f t="shared" si="24"/>
        <v>0</v>
      </c>
      <c r="U277" s="8">
        <f t="shared" si="24"/>
        <v>1</v>
      </c>
      <c r="V277" s="8">
        <f t="shared" si="24"/>
        <v>1</v>
      </c>
      <c r="W277" s="8">
        <f t="shared" si="24"/>
        <v>0</v>
      </c>
      <c r="X277" s="8">
        <f t="shared" si="24"/>
        <v>1</v>
      </c>
      <c r="Y277" s="8">
        <f t="shared" si="24"/>
        <v>0</v>
      </c>
      <c r="Z277" s="8">
        <f t="shared" si="24"/>
        <v>1</v>
      </c>
      <c r="AA277" s="8">
        <f t="shared" si="24"/>
        <v>0</v>
      </c>
      <c r="AB277" s="8">
        <f t="shared" si="24"/>
        <v>0</v>
      </c>
      <c r="AC277" s="8" t="s">
        <v>21</v>
      </c>
      <c r="AD277" s="8" t="s">
        <v>23</v>
      </c>
      <c r="AE277" s="8" t="s">
        <v>136</v>
      </c>
      <c r="AF277" s="8" t="s">
        <v>48</v>
      </c>
    </row>
    <row r="278" spans="1:32" x14ac:dyDescent="0.3">
      <c r="A278" s="5">
        <v>277</v>
      </c>
      <c r="B278" s="5" t="s">
        <v>68</v>
      </c>
      <c r="C278" s="5">
        <f t="shared" si="20"/>
        <v>0</v>
      </c>
      <c r="D278" s="5">
        <f t="shared" si="23"/>
        <v>1</v>
      </c>
      <c r="E278" s="5">
        <f t="shared" si="23"/>
        <v>0</v>
      </c>
      <c r="F278" s="5">
        <f t="shared" si="23"/>
        <v>0</v>
      </c>
      <c r="G278" s="5">
        <f t="shared" si="23"/>
        <v>0</v>
      </c>
      <c r="H278" s="5">
        <f t="shared" si="23"/>
        <v>0</v>
      </c>
      <c r="I278" s="6" t="s">
        <v>49</v>
      </c>
      <c r="J278" s="6" t="s">
        <v>43</v>
      </c>
      <c r="K278" s="6" t="str">
        <f>_xlfn.XLOOKUP(J278,Worksheet!$F$1:$F$48,Worksheet!$G$1:$G$48,0)</f>
        <v>Lack of awareness</v>
      </c>
      <c r="L278" s="6" t="s">
        <v>50</v>
      </c>
      <c r="M278" s="6" t="s">
        <v>49</v>
      </c>
      <c r="N278" s="6" t="s">
        <v>44</v>
      </c>
      <c r="O278" s="6">
        <v>4</v>
      </c>
      <c r="P278" s="6" t="s">
        <v>45</v>
      </c>
      <c r="Q278" s="6" t="s">
        <v>63</v>
      </c>
      <c r="R278" s="6" t="s">
        <v>269</v>
      </c>
      <c r="S278" s="6">
        <f t="shared" si="22"/>
        <v>1</v>
      </c>
      <c r="T278" s="6">
        <f t="shared" si="24"/>
        <v>0</v>
      </c>
      <c r="U278" s="6">
        <f t="shared" si="24"/>
        <v>0</v>
      </c>
      <c r="V278" s="6">
        <f t="shared" si="24"/>
        <v>1</v>
      </c>
      <c r="W278" s="6">
        <f t="shared" si="24"/>
        <v>0</v>
      </c>
      <c r="X278" s="6">
        <f t="shared" si="24"/>
        <v>0</v>
      </c>
      <c r="Y278" s="6">
        <f t="shared" si="24"/>
        <v>0</v>
      </c>
      <c r="Z278" s="6">
        <f t="shared" si="24"/>
        <v>0</v>
      </c>
      <c r="AA278" s="6">
        <f t="shared" si="24"/>
        <v>0</v>
      </c>
      <c r="AB278" s="6">
        <f t="shared" si="24"/>
        <v>0</v>
      </c>
      <c r="AC278" s="6" t="s">
        <v>21</v>
      </c>
      <c r="AD278" s="6" t="s">
        <v>34</v>
      </c>
      <c r="AE278" s="6" t="s">
        <v>24</v>
      </c>
      <c r="AF278" s="6" t="s">
        <v>25</v>
      </c>
    </row>
    <row r="279" spans="1:32" x14ac:dyDescent="0.3">
      <c r="A279" s="7">
        <v>278</v>
      </c>
      <c r="B279" s="7" t="s">
        <v>55</v>
      </c>
      <c r="C279" s="7">
        <f t="shared" si="20"/>
        <v>0</v>
      </c>
      <c r="D279" s="7">
        <f t="shared" si="23"/>
        <v>0</v>
      </c>
      <c r="E279" s="7">
        <f t="shared" si="23"/>
        <v>0</v>
      </c>
      <c r="F279" s="7">
        <f t="shared" si="23"/>
        <v>0</v>
      </c>
      <c r="G279" s="7">
        <f t="shared" si="23"/>
        <v>0</v>
      </c>
      <c r="H279" s="7">
        <f t="shared" si="23"/>
        <v>1</v>
      </c>
      <c r="I279" s="8" t="s">
        <v>15</v>
      </c>
      <c r="J279" s="8" t="s">
        <v>43</v>
      </c>
      <c r="K279" s="8" t="str">
        <f>_xlfn.XLOOKUP(J279,Worksheet!$F$1:$F$48,Worksheet!$G$1:$G$48,0)</f>
        <v>Lack of awareness</v>
      </c>
      <c r="L279" s="8" t="s">
        <v>356</v>
      </c>
      <c r="M279" s="8" t="s">
        <v>102</v>
      </c>
      <c r="N279" s="8" t="s">
        <v>70</v>
      </c>
      <c r="O279" s="8">
        <v>4</v>
      </c>
      <c r="P279" s="8" t="s">
        <v>45</v>
      </c>
      <c r="Q279" s="8" t="s">
        <v>63</v>
      </c>
      <c r="R279" s="8" t="s">
        <v>96</v>
      </c>
      <c r="S279" s="8">
        <f t="shared" si="22"/>
        <v>0</v>
      </c>
      <c r="T279" s="8">
        <f t="shared" si="24"/>
        <v>0</v>
      </c>
      <c r="U279" s="8">
        <f t="shared" si="24"/>
        <v>0</v>
      </c>
      <c r="V279" s="8">
        <f t="shared" si="24"/>
        <v>1</v>
      </c>
      <c r="W279" s="8">
        <f t="shared" si="24"/>
        <v>0</v>
      </c>
      <c r="X279" s="8">
        <f t="shared" si="24"/>
        <v>0</v>
      </c>
      <c r="Y279" s="8">
        <f t="shared" si="24"/>
        <v>0</v>
      </c>
      <c r="Z279" s="8">
        <f t="shared" si="24"/>
        <v>0</v>
      </c>
      <c r="AA279" s="8">
        <f t="shared" si="24"/>
        <v>0</v>
      </c>
      <c r="AB279" s="8">
        <f t="shared" si="24"/>
        <v>0</v>
      </c>
      <c r="AC279" s="8" t="s">
        <v>21</v>
      </c>
      <c r="AD279" s="8" t="s">
        <v>23</v>
      </c>
      <c r="AE279" s="8" t="s">
        <v>136</v>
      </c>
      <c r="AF279" s="8" t="s">
        <v>48</v>
      </c>
    </row>
    <row r="280" spans="1:32" x14ac:dyDescent="0.3">
      <c r="A280" s="5">
        <v>279</v>
      </c>
      <c r="B280" s="5" t="s">
        <v>68</v>
      </c>
      <c r="C280" s="5">
        <f t="shared" si="20"/>
        <v>0</v>
      </c>
      <c r="D280" s="5">
        <f t="shared" si="23"/>
        <v>1</v>
      </c>
      <c r="E280" s="5">
        <f t="shared" si="23"/>
        <v>0</v>
      </c>
      <c r="F280" s="5">
        <f t="shared" si="23"/>
        <v>0</v>
      </c>
      <c r="G280" s="5">
        <f t="shared" si="23"/>
        <v>0</v>
      </c>
      <c r="H280" s="5">
        <f t="shared" si="23"/>
        <v>0</v>
      </c>
      <c r="I280" s="6" t="s">
        <v>15</v>
      </c>
      <c r="J280" s="6" t="s">
        <v>43</v>
      </c>
      <c r="K280" s="6" t="str">
        <f>_xlfn.XLOOKUP(J280,Worksheet!$F$1:$F$48,Worksheet!$G$1:$G$48,0)</f>
        <v>Lack of awareness</v>
      </c>
      <c r="L280" s="6" t="s">
        <v>50</v>
      </c>
      <c r="M280" s="6" t="s">
        <v>49</v>
      </c>
      <c r="N280" s="6" t="s">
        <v>44</v>
      </c>
      <c r="O280" s="6">
        <v>2</v>
      </c>
      <c r="P280" s="6" t="s">
        <v>45</v>
      </c>
      <c r="Q280" s="6" t="s">
        <v>52</v>
      </c>
      <c r="R280" s="6" t="s">
        <v>270</v>
      </c>
      <c r="S280" s="6">
        <f t="shared" si="22"/>
        <v>1</v>
      </c>
      <c r="T280" s="6">
        <f t="shared" si="24"/>
        <v>0</v>
      </c>
      <c r="U280" s="6">
        <f t="shared" si="24"/>
        <v>0</v>
      </c>
      <c r="V280" s="6">
        <f t="shared" si="24"/>
        <v>0</v>
      </c>
      <c r="W280" s="6">
        <f t="shared" si="24"/>
        <v>1</v>
      </c>
      <c r="X280" s="6">
        <f t="shared" si="24"/>
        <v>0</v>
      </c>
      <c r="Y280" s="6">
        <f t="shared" si="24"/>
        <v>1</v>
      </c>
      <c r="Z280" s="6">
        <f t="shared" si="24"/>
        <v>1</v>
      </c>
      <c r="AA280" s="6">
        <f t="shared" si="24"/>
        <v>0</v>
      </c>
      <c r="AB280" s="6">
        <f t="shared" si="24"/>
        <v>0</v>
      </c>
      <c r="AC280" s="6" t="s">
        <v>25</v>
      </c>
      <c r="AD280" s="6" t="s">
        <v>34</v>
      </c>
      <c r="AE280" s="6" t="s">
        <v>136</v>
      </c>
      <c r="AF280" s="6" t="s">
        <v>25</v>
      </c>
    </row>
    <row r="281" spans="1:32" x14ac:dyDescent="0.3">
      <c r="A281" s="7">
        <v>280</v>
      </c>
      <c r="B281" s="7" t="s">
        <v>66</v>
      </c>
      <c r="C281" s="7">
        <f t="shared" si="20"/>
        <v>0</v>
      </c>
      <c r="D281" s="7">
        <f t="shared" si="23"/>
        <v>1</v>
      </c>
      <c r="E281" s="7">
        <f t="shared" si="23"/>
        <v>0</v>
      </c>
      <c r="F281" s="7">
        <f t="shared" si="23"/>
        <v>0</v>
      </c>
      <c r="G281" s="7">
        <f t="shared" si="23"/>
        <v>0</v>
      </c>
      <c r="H281" s="7">
        <f t="shared" si="23"/>
        <v>1</v>
      </c>
      <c r="I281" s="8" t="s">
        <v>27</v>
      </c>
      <c r="J281" s="8" t="s">
        <v>43</v>
      </c>
      <c r="K281" s="8" t="str">
        <f>_xlfn.XLOOKUP(J281,Worksheet!$F$1:$F$48,Worksheet!$G$1:$G$48,0)</f>
        <v>Lack of awareness</v>
      </c>
      <c r="L281" s="8" t="s">
        <v>50</v>
      </c>
      <c r="M281" s="8" t="s">
        <v>30</v>
      </c>
      <c r="N281" s="8" t="s">
        <v>58</v>
      </c>
      <c r="O281" s="8">
        <v>5</v>
      </c>
      <c r="P281" s="8" t="s">
        <v>45</v>
      </c>
      <c r="Q281" s="8" t="s">
        <v>46</v>
      </c>
      <c r="R281" s="8" t="s">
        <v>219</v>
      </c>
      <c r="S281" s="8">
        <f t="shared" si="22"/>
        <v>1</v>
      </c>
      <c r="T281" s="8">
        <f t="shared" si="24"/>
        <v>0</v>
      </c>
      <c r="U281" s="8">
        <f t="shared" si="24"/>
        <v>0</v>
      </c>
      <c r="V281" s="8">
        <f t="shared" si="24"/>
        <v>0</v>
      </c>
      <c r="W281" s="8">
        <f t="shared" si="24"/>
        <v>0</v>
      </c>
      <c r="X281" s="8">
        <f t="shared" si="24"/>
        <v>1</v>
      </c>
      <c r="Y281" s="8">
        <f t="shared" si="24"/>
        <v>1</v>
      </c>
      <c r="Z281" s="8">
        <f t="shared" si="24"/>
        <v>1</v>
      </c>
      <c r="AA281" s="8">
        <f t="shared" si="24"/>
        <v>0</v>
      </c>
      <c r="AB281" s="8">
        <f t="shared" si="24"/>
        <v>0</v>
      </c>
      <c r="AC281" s="8" t="s">
        <v>21</v>
      </c>
      <c r="AD281" s="8" t="s">
        <v>23</v>
      </c>
      <c r="AE281" s="8" t="s">
        <v>136</v>
      </c>
      <c r="AF281" s="8" t="s">
        <v>82</v>
      </c>
    </row>
    <row r="282" spans="1:32" x14ac:dyDescent="0.3">
      <c r="A282" s="5">
        <v>281</v>
      </c>
      <c r="B282" s="5" t="s">
        <v>75</v>
      </c>
      <c r="C282" s="5">
        <f t="shared" si="20"/>
        <v>1</v>
      </c>
      <c r="D282" s="5">
        <f t="shared" si="23"/>
        <v>1</v>
      </c>
      <c r="E282" s="5">
        <f t="shared" si="23"/>
        <v>0</v>
      </c>
      <c r="F282" s="5">
        <f t="shared" si="23"/>
        <v>0</v>
      </c>
      <c r="G282" s="5">
        <f t="shared" si="23"/>
        <v>0</v>
      </c>
      <c r="H282" s="5">
        <f t="shared" si="23"/>
        <v>1</v>
      </c>
      <c r="I282" s="6" t="s">
        <v>27</v>
      </c>
      <c r="J282" s="6" t="s">
        <v>124</v>
      </c>
      <c r="K282" s="6" t="str">
        <f>_xlfn.XLOOKUP(J282,Worksheet!$F$1:$F$48,Worksheet!$G$1:$G$48,0)</f>
        <v>Fear</v>
      </c>
      <c r="L282" s="6" t="s">
        <v>356</v>
      </c>
      <c r="M282" s="6" t="s">
        <v>15</v>
      </c>
      <c r="N282" s="6" t="s">
        <v>58</v>
      </c>
      <c r="O282" s="6">
        <v>4</v>
      </c>
      <c r="P282" s="6" t="s">
        <v>45</v>
      </c>
      <c r="Q282" s="6" t="s">
        <v>46</v>
      </c>
      <c r="R282" s="6" t="s">
        <v>271</v>
      </c>
      <c r="S282" s="6">
        <f t="shared" si="22"/>
        <v>1</v>
      </c>
      <c r="T282" s="6">
        <f t="shared" si="24"/>
        <v>1</v>
      </c>
      <c r="U282" s="6">
        <f t="shared" si="24"/>
        <v>1</v>
      </c>
      <c r="V282" s="6">
        <f t="shared" si="24"/>
        <v>1</v>
      </c>
      <c r="W282" s="6">
        <f t="shared" si="24"/>
        <v>1</v>
      </c>
      <c r="X282" s="6">
        <f t="shared" si="24"/>
        <v>0</v>
      </c>
      <c r="Y282" s="6">
        <f t="shared" si="24"/>
        <v>1</v>
      </c>
      <c r="Z282" s="6">
        <f t="shared" si="24"/>
        <v>0</v>
      </c>
      <c r="AA282" s="6">
        <f t="shared" si="24"/>
        <v>0</v>
      </c>
      <c r="AB282" s="6">
        <f t="shared" si="24"/>
        <v>1</v>
      </c>
      <c r="AC282" s="6" t="s">
        <v>21</v>
      </c>
      <c r="AD282" s="6" t="s">
        <v>23</v>
      </c>
      <c r="AE282" s="6" t="s">
        <v>54</v>
      </c>
      <c r="AF282" s="6" t="s">
        <v>48</v>
      </c>
    </row>
    <row r="283" spans="1:32" x14ac:dyDescent="0.3">
      <c r="A283" s="7">
        <v>282</v>
      </c>
      <c r="B283" s="7" t="s">
        <v>66</v>
      </c>
      <c r="C283" s="7">
        <f t="shared" si="20"/>
        <v>0</v>
      </c>
      <c r="D283" s="7">
        <f t="shared" si="23"/>
        <v>1</v>
      </c>
      <c r="E283" s="7">
        <f t="shared" si="23"/>
        <v>0</v>
      </c>
      <c r="F283" s="7">
        <f t="shared" si="23"/>
        <v>0</v>
      </c>
      <c r="G283" s="7">
        <f t="shared" si="23"/>
        <v>0</v>
      </c>
      <c r="H283" s="7">
        <f t="shared" si="23"/>
        <v>1</v>
      </c>
      <c r="I283" s="8" t="s">
        <v>49</v>
      </c>
      <c r="J283" s="8" t="s">
        <v>186</v>
      </c>
      <c r="K283" s="8" t="str">
        <f>_xlfn.XLOOKUP(J283,Worksheet!$F$1:$F$48,Worksheet!$G$1:$G$48,0)</f>
        <v>No need</v>
      </c>
      <c r="L283" s="8" t="s">
        <v>50</v>
      </c>
      <c r="M283" s="8" t="s">
        <v>30</v>
      </c>
      <c r="N283" s="8" t="s">
        <v>51</v>
      </c>
      <c r="O283" s="8">
        <v>5</v>
      </c>
      <c r="P283" s="8" t="s">
        <v>59</v>
      </c>
      <c r="Q283" s="8" t="s">
        <v>46</v>
      </c>
      <c r="R283" s="8" t="s">
        <v>231</v>
      </c>
      <c r="S283" s="8">
        <f t="shared" si="22"/>
        <v>1</v>
      </c>
      <c r="T283" s="8">
        <f t="shared" si="24"/>
        <v>0</v>
      </c>
      <c r="U283" s="8">
        <f t="shared" si="24"/>
        <v>0</v>
      </c>
      <c r="V283" s="8">
        <f t="shared" si="24"/>
        <v>0</v>
      </c>
      <c r="W283" s="8">
        <f t="shared" si="24"/>
        <v>1</v>
      </c>
      <c r="X283" s="8">
        <f t="shared" si="24"/>
        <v>1</v>
      </c>
      <c r="Y283" s="8">
        <f t="shared" si="24"/>
        <v>1</v>
      </c>
      <c r="Z283" s="8">
        <f t="shared" si="24"/>
        <v>1</v>
      </c>
      <c r="AA283" s="8">
        <f t="shared" si="24"/>
        <v>0</v>
      </c>
      <c r="AB283" s="8">
        <f t="shared" si="24"/>
        <v>0</v>
      </c>
      <c r="AC283" s="8" t="s">
        <v>21</v>
      </c>
      <c r="AD283" s="8" t="s">
        <v>40</v>
      </c>
      <c r="AE283" s="8" t="s">
        <v>88</v>
      </c>
      <c r="AF283" s="8" t="s">
        <v>21</v>
      </c>
    </row>
    <row r="284" spans="1:32" x14ac:dyDescent="0.3">
      <c r="A284" s="5">
        <v>283</v>
      </c>
      <c r="B284" s="5" t="s">
        <v>340</v>
      </c>
      <c r="C284" s="5">
        <f t="shared" si="20"/>
        <v>0</v>
      </c>
      <c r="D284" s="5">
        <f t="shared" si="23"/>
        <v>0</v>
      </c>
      <c r="E284" s="5">
        <f t="shared" si="23"/>
        <v>1</v>
      </c>
      <c r="F284" s="5">
        <f t="shared" si="23"/>
        <v>0</v>
      </c>
      <c r="G284" s="5">
        <f t="shared" si="23"/>
        <v>0</v>
      </c>
      <c r="H284" s="5">
        <f t="shared" si="23"/>
        <v>0</v>
      </c>
      <c r="I284" s="6" t="s">
        <v>27</v>
      </c>
      <c r="J284" s="6" t="s">
        <v>43</v>
      </c>
      <c r="K284" s="6" t="str">
        <f>_xlfn.XLOOKUP(J284,Worksheet!$F$1:$F$48,Worksheet!$G$1:$G$48,0)</f>
        <v>Lack of awareness</v>
      </c>
      <c r="L284" s="6" t="s">
        <v>50</v>
      </c>
      <c r="M284" s="6" t="s">
        <v>49</v>
      </c>
      <c r="N284" s="6" t="s">
        <v>58</v>
      </c>
      <c r="O284" s="6">
        <v>4</v>
      </c>
      <c r="P284" s="6" t="s">
        <v>45</v>
      </c>
      <c r="Q284" s="6" t="s">
        <v>52</v>
      </c>
      <c r="R284" s="6" t="s">
        <v>96</v>
      </c>
      <c r="S284" s="6">
        <f t="shared" si="22"/>
        <v>0</v>
      </c>
      <c r="T284" s="6">
        <f t="shared" si="24"/>
        <v>0</v>
      </c>
      <c r="U284" s="6">
        <f t="shared" si="24"/>
        <v>0</v>
      </c>
      <c r="V284" s="6">
        <f t="shared" si="24"/>
        <v>1</v>
      </c>
      <c r="W284" s="6">
        <f t="shared" si="24"/>
        <v>0</v>
      </c>
      <c r="X284" s="6">
        <f t="shared" si="24"/>
        <v>0</v>
      </c>
      <c r="Y284" s="6">
        <f t="shared" si="24"/>
        <v>0</v>
      </c>
      <c r="Z284" s="6">
        <f t="shared" si="24"/>
        <v>0</v>
      </c>
      <c r="AA284" s="6">
        <f t="shared" si="24"/>
        <v>0</v>
      </c>
      <c r="AB284" s="6">
        <f t="shared" si="24"/>
        <v>0</v>
      </c>
      <c r="AC284" s="6" t="s">
        <v>21</v>
      </c>
      <c r="AD284" s="6" t="s">
        <v>34</v>
      </c>
      <c r="AE284" s="6" t="s">
        <v>24</v>
      </c>
      <c r="AF284" s="6" t="s">
        <v>82</v>
      </c>
    </row>
    <row r="285" spans="1:32" x14ac:dyDescent="0.3">
      <c r="A285" s="7">
        <v>284</v>
      </c>
      <c r="B285" s="7" t="s">
        <v>66</v>
      </c>
      <c r="C285" s="7">
        <f t="shared" si="20"/>
        <v>0</v>
      </c>
      <c r="D285" s="7">
        <f t="shared" si="23"/>
        <v>1</v>
      </c>
      <c r="E285" s="7">
        <f t="shared" si="23"/>
        <v>0</v>
      </c>
      <c r="F285" s="7">
        <f t="shared" si="23"/>
        <v>0</v>
      </c>
      <c r="G285" s="7">
        <f t="shared" si="23"/>
        <v>0</v>
      </c>
      <c r="H285" s="7">
        <f t="shared" si="23"/>
        <v>1</v>
      </c>
      <c r="I285" s="8" t="s">
        <v>15</v>
      </c>
      <c r="J285" s="8" t="s">
        <v>43</v>
      </c>
      <c r="K285" s="8" t="str">
        <f>_xlfn.XLOOKUP(J285,Worksheet!$F$1:$F$48,Worksheet!$G$1:$G$48,0)</f>
        <v>Lack of awareness</v>
      </c>
      <c r="L285" s="8" t="s">
        <v>50</v>
      </c>
      <c r="M285" s="8" t="s">
        <v>15</v>
      </c>
      <c r="N285" s="8" t="s">
        <v>44</v>
      </c>
      <c r="O285" s="8">
        <v>2</v>
      </c>
      <c r="P285" s="8" t="s">
        <v>45</v>
      </c>
      <c r="Q285" s="8" t="s">
        <v>63</v>
      </c>
      <c r="R285" s="8" t="s">
        <v>272</v>
      </c>
      <c r="S285" s="8">
        <f t="shared" si="22"/>
        <v>1</v>
      </c>
      <c r="T285" s="8">
        <f t="shared" si="24"/>
        <v>0</v>
      </c>
      <c r="U285" s="8">
        <f t="shared" si="24"/>
        <v>0</v>
      </c>
      <c r="V285" s="8">
        <f t="shared" si="24"/>
        <v>1</v>
      </c>
      <c r="W285" s="8">
        <f t="shared" si="24"/>
        <v>0</v>
      </c>
      <c r="X285" s="8">
        <f t="shared" si="24"/>
        <v>0</v>
      </c>
      <c r="Y285" s="8">
        <f t="shared" si="24"/>
        <v>0</v>
      </c>
      <c r="Z285" s="8">
        <f t="shared" si="24"/>
        <v>1</v>
      </c>
      <c r="AA285" s="8">
        <f t="shared" si="24"/>
        <v>1</v>
      </c>
      <c r="AB285" s="8">
        <f t="shared" si="24"/>
        <v>0</v>
      </c>
      <c r="AC285" s="8" t="s">
        <v>25</v>
      </c>
      <c r="AD285" s="8" t="s">
        <v>23</v>
      </c>
      <c r="AE285" s="8" t="s">
        <v>24</v>
      </c>
      <c r="AF285" s="8" t="s">
        <v>25</v>
      </c>
    </row>
    <row r="286" spans="1:32" x14ac:dyDescent="0.3">
      <c r="A286" s="5">
        <v>285</v>
      </c>
      <c r="B286" s="5" t="s">
        <v>55</v>
      </c>
      <c r="C286" s="5">
        <f t="shared" si="20"/>
        <v>0</v>
      </c>
      <c r="D286" s="5">
        <f t="shared" si="23"/>
        <v>0</v>
      </c>
      <c r="E286" s="5">
        <f t="shared" si="23"/>
        <v>0</v>
      </c>
      <c r="F286" s="5">
        <f t="shared" si="23"/>
        <v>0</v>
      </c>
      <c r="G286" s="5">
        <f t="shared" si="23"/>
        <v>0</v>
      </c>
      <c r="H286" s="5">
        <f t="shared" si="23"/>
        <v>1</v>
      </c>
      <c r="I286" s="6" t="s">
        <v>42</v>
      </c>
      <c r="J286" s="6" t="s">
        <v>43</v>
      </c>
      <c r="K286" s="6" t="str">
        <f>_xlfn.XLOOKUP(J286,Worksheet!$F$1:$F$48,Worksheet!$G$1:$G$48,0)</f>
        <v>Lack of awareness</v>
      </c>
      <c r="L286" s="6" t="s">
        <v>37</v>
      </c>
      <c r="M286" s="6" t="s">
        <v>30</v>
      </c>
      <c r="N286" s="6" t="s">
        <v>70</v>
      </c>
      <c r="O286" s="6">
        <v>3</v>
      </c>
      <c r="P286" s="6" t="s">
        <v>45</v>
      </c>
      <c r="Q286" s="6" t="s">
        <v>46</v>
      </c>
      <c r="R286" s="6" t="s">
        <v>273</v>
      </c>
      <c r="S286" s="6">
        <f t="shared" si="22"/>
        <v>1</v>
      </c>
      <c r="T286" s="6">
        <f t="shared" si="24"/>
        <v>0</v>
      </c>
      <c r="U286" s="6">
        <f t="shared" si="24"/>
        <v>0</v>
      </c>
      <c r="V286" s="6">
        <f t="shared" si="24"/>
        <v>1</v>
      </c>
      <c r="W286" s="6">
        <f t="shared" si="24"/>
        <v>0</v>
      </c>
      <c r="X286" s="6">
        <f t="shared" si="24"/>
        <v>0</v>
      </c>
      <c r="Y286" s="6">
        <f t="shared" si="24"/>
        <v>1</v>
      </c>
      <c r="Z286" s="6">
        <f t="shared" si="24"/>
        <v>0</v>
      </c>
      <c r="AA286" s="6">
        <f t="shared" si="24"/>
        <v>1</v>
      </c>
      <c r="AB286" s="6">
        <f t="shared" si="24"/>
        <v>0</v>
      </c>
      <c r="AC286" s="6" t="s">
        <v>21</v>
      </c>
      <c r="AD286" s="6" t="s">
        <v>23</v>
      </c>
      <c r="AE286" s="6" t="s">
        <v>24</v>
      </c>
      <c r="AF286" s="6" t="s">
        <v>48</v>
      </c>
    </row>
    <row r="287" spans="1:32" x14ac:dyDescent="0.3">
      <c r="A287" s="7">
        <v>286</v>
      </c>
      <c r="B287" s="7" t="s">
        <v>61</v>
      </c>
      <c r="C287" s="7">
        <f t="shared" si="20"/>
        <v>1</v>
      </c>
      <c r="D287" s="7">
        <f t="shared" si="23"/>
        <v>1</v>
      </c>
      <c r="E287" s="7">
        <f t="shared" si="23"/>
        <v>0</v>
      </c>
      <c r="F287" s="7">
        <f t="shared" si="23"/>
        <v>0</v>
      </c>
      <c r="G287" s="7">
        <f t="shared" si="23"/>
        <v>1</v>
      </c>
      <c r="H287" s="7">
        <f t="shared" si="23"/>
        <v>1</v>
      </c>
      <c r="I287" s="8" t="s">
        <v>15</v>
      </c>
      <c r="J287" s="8" t="s">
        <v>124</v>
      </c>
      <c r="K287" s="8" t="str">
        <f>_xlfn.XLOOKUP(J287,Worksheet!$F$1:$F$48,Worksheet!$G$1:$G$48,0)</f>
        <v>Fear</v>
      </c>
      <c r="L287" s="8" t="s">
        <v>50</v>
      </c>
      <c r="M287" s="8" t="s">
        <v>49</v>
      </c>
      <c r="N287" s="8" t="s">
        <v>44</v>
      </c>
      <c r="O287" s="8">
        <v>5</v>
      </c>
      <c r="P287" s="8" t="s">
        <v>59</v>
      </c>
      <c r="Q287" s="8" t="s">
        <v>46</v>
      </c>
      <c r="R287" s="8" t="s">
        <v>274</v>
      </c>
      <c r="S287" s="8">
        <f t="shared" si="22"/>
        <v>1</v>
      </c>
      <c r="T287" s="8">
        <f t="shared" si="24"/>
        <v>0</v>
      </c>
      <c r="U287" s="8">
        <f t="shared" si="24"/>
        <v>0</v>
      </c>
      <c r="V287" s="8">
        <f t="shared" si="24"/>
        <v>1</v>
      </c>
      <c r="W287" s="8">
        <f t="shared" si="24"/>
        <v>0</v>
      </c>
      <c r="X287" s="8">
        <f t="shared" si="24"/>
        <v>0</v>
      </c>
      <c r="Y287" s="8">
        <f t="shared" si="24"/>
        <v>0</v>
      </c>
      <c r="Z287" s="8">
        <f t="shared" si="24"/>
        <v>1</v>
      </c>
      <c r="AA287" s="8">
        <f t="shared" si="24"/>
        <v>0</v>
      </c>
      <c r="AB287" s="8">
        <f t="shared" si="24"/>
        <v>0</v>
      </c>
      <c r="AC287" s="8" t="s">
        <v>21</v>
      </c>
      <c r="AD287" s="8" t="s">
        <v>23</v>
      </c>
      <c r="AE287" s="8" t="s">
        <v>113</v>
      </c>
      <c r="AF287" s="8" t="s">
        <v>21</v>
      </c>
    </row>
    <row r="288" spans="1:32" x14ac:dyDescent="0.3">
      <c r="A288" s="5">
        <v>287</v>
      </c>
      <c r="B288" s="5" t="s">
        <v>103</v>
      </c>
      <c r="C288" s="5">
        <f t="shared" si="20"/>
        <v>1</v>
      </c>
      <c r="D288" s="5">
        <f t="shared" si="23"/>
        <v>1</v>
      </c>
      <c r="E288" s="5">
        <f t="shared" si="23"/>
        <v>0</v>
      </c>
      <c r="F288" s="5">
        <f t="shared" si="23"/>
        <v>0</v>
      </c>
      <c r="G288" s="5">
        <f t="shared" si="23"/>
        <v>0</v>
      </c>
      <c r="H288" s="5">
        <f t="shared" si="23"/>
        <v>0</v>
      </c>
      <c r="I288" s="6" t="s">
        <v>15</v>
      </c>
      <c r="J288" s="6" t="s">
        <v>83</v>
      </c>
      <c r="K288" s="6" t="str">
        <f>_xlfn.XLOOKUP(J288,Worksheet!$F$1:$F$48,Worksheet!$G$1:$G$48,0)</f>
        <v>Fear</v>
      </c>
      <c r="L288" s="6" t="s">
        <v>29</v>
      </c>
      <c r="M288" s="6" t="s">
        <v>15</v>
      </c>
      <c r="N288" s="6" t="s">
        <v>44</v>
      </c>
      <c r="O288" s="6">
        <v>3</v>
      </c>
      <c r="P288" s="6" t="s">
        <v>45</v>
      </c>
      <c r="Q288" s="6" t="s">
        <v>46</v>
      </c>
      <c r="R288" s="6" t="s">
        <v>236</v>
      </c>
      <c r="S288" s="6">
        <f t="shared" si="22"/>
        <v>0</v>
      </c>
      <c r="T288" s="6">
        <f t="shared" si="24"/>
        <v>1</v>
      </c>
      <c r="U288" s="6">
        <f t="shared" si="24"/>
        <v>0</v>
      </c>
      <c r="V288" s="6">
        <f t="shared" si="24"/>
        <v>0</v>
      </c>
      <c r="W288" s="6">
        <f t="shared" si="24"/>
        <v>1</v>
      </c>
      <c r="X288" s="6">
        <f t="shared" si="24"/>
        <v>1</v>
      </c>
      <c r="Y288" s="6">
        <f t="shared" si="24"/>
        <v>1</v>
      </c>
      <c r="Z288" s="6">
        <f t="shared" si="24"/>
        <v>1</v>
      </c>
      <c r="AA288" s="6">
        <f t="shared" si="24"/>
        <v>0</v>
      </c>
      <c r="AB288" s="6">
        <f t="shared" si="24"/>
        <v>0</v>
      </c>
      <c r="AC288" s="6" t="s">
        <v>21</v>
      </c>
      <c r="AD288" s="6" t="s">
        <v>23</v>
      </c>
      <c r="AE288" s="6" t="s">
        <v>24</v>
      </c>
      <c r="AF288" s="6" t="s">
        <v>48</v>
      </c>
    </row>
    <row r="289" spans="1:32" x14ac:dyDescent="0.3">
      <c r="A289" s="7">
        <v>288</v>
      </c>
      <c r="B289" s="7" t="s">
        <v>41</v>
      </c>
      <c r="C289" s="7">
        <f t="shared" si="20"/>
        <v>0</v>
      </c>
      <c r="D289" s="7">
        <f t="shared" si="23"/>
        <v>0</v>
      </c>
      <c r="E289" s="7">
        <f t="shared" si="23"/>
        <v>0</v>
      </c>
      <c r="F289" s="7">
        <f t="shared" si="23"/>
        <v>0</v>
      </c>
      <c r="G289" s="7">
        <f t="shared" si="23"/>
        <v>1</v>
      </c>
      <c r="H289" s="7">
        <f t="shared" si="23"/>
        <v>0</v>
      </c>
      <c r="I289" s="8" t="s">
        <v>15</v>
      </c>
      <c r="J289" s="8" t="s">
        <v>83</v>
      </c>
      <c r="K289" s="8" t="str">
        <f>_xlfn.XLOOKUP(J289,Worksheet!$F$1:$F$48,Worksheet!$G$1:$G$48,0)</f>
        <v>Fear</v>
      </c>
      <c r="L289" s="8" t="s">
        <v>17</v>
      </c>
      <c r="M289" s="8" t="s">
        <v>15</v>
      </c>
      <c r="N289" s="8" t="s">
        <v>51</v>
      </c>
      <c r="O289" s="8">
        <v>2</v>
      </c>
      <c r="P289" s="8" t="s">
        <v>59</v>
      </c>
      <c r="Q289" s="8" t="s">
        <v>63</v>
      </c>
      <c r="R289" s="8" t="s">
        <v>47</v>
      </c>
      <c r="S289" s="8">
        <f t="shared" si="22"/>
        <v>0</v>
      </c>
      <c r="T289" s="8">
        <f t="shared" si="24"/>
        <v>0</v>
      </c>
      <c r="U289" s="8">
        <f t="shared" si="24"/>
        <v>1</v>
      </c>
      <c r="V289" s="8">
        <f t="shared" si="24"/>
        <v>0</v>
      </c>
      <c r="W289" s="8">
        <f t="shared" si="24"/>
        <v>0</v>
      </c>
      <c r="X289" s="8">
        <f t="shared" si="24"/>
        <v>0</v>
      </c>
      <c r="Y289" s="8">
        <f t="shared" si="24"/>
        <v>0</v>
      </c>
      <c r="Z289" s="8">
        <f t="shared" si="24"/>
        <v>0</v>
      </c>
      <c r="AA289" s="8">
        <f t="shared" si="24"/>
        <v>0</v>
      </c>
      <c r="AB289" s="8">
        <f t="shared" si="24"/>
        <v>0</v>
      </c>
      <c r="AC289" s="8" t="s">
        <v>25</v>
      </c>
      <c r="AD289" s="8" t="s">
        <v>34</v>
      </c>
      <c r="AE289" s="8" t="s">
        <v>24</v>
      </c>
      <c r="AF289" s="8" t="s">
        <v>25</v>
      </c>
    </row>
    <row r="290" spans="1:32" x14ac:dyDescent="0.3">
      <c r="A290" s="5">
        <v>289</v>
      </c>
      <c r="B290" s="5" t="s">
        <v>55</v>
      </c>
      <c r="C290" s="5">
        <f t="shared" si="20"/>
        <v>0</v>
      </c>
      <c r="D290" s="5">
        <f t="shared" si="23"/>
        <v>0</v>
      </c>
      <c r="E290" s="5">
        <f t="shared" si="23"/>
        <v>0</v>
      </c>
      <c r="F290" s="5">
        <f t="shared" si="23"/>
        <v>0</v>
      </c>
      <c r="G290" s="5">
        <f t="shared" si="23"/>
        <v>0</v>
      </c>
      <c r="H290" s="5">
        <f t="shared" si="23"/>
        <v>1</v>
      </c>
      <c r="I290" s="6" t="s">
        <v>49</v>
      </c>
      <c r="J290" s="6" t="s">
        <v>275</v>
      </c>
      <c r="K290" s="6" t="str">
        <f>_xlfn.XLOOKUP(J290,Worksheet!$F$1:$F$48,Worksheet!$G$1:$G$48,0)</f>
        <v>No need</v>
      </c>
      <c r="L290" s="6" t="s">
        <v>50</v>
      </c>
      <c r="M290" s="6" t="s">
        <v>49</v>
      </c>
      <c r="N290" s="6" t="s">
        <v>51</v>
      </c>
      <c r="O290" s="6">
        <v>1</v>
      </c>
      <c r="P290" s="6" t="s">
        <v>45</v>
      </c>
      <c r="Q290" s="6" t="s">
        <v>52</v>
      </c>
      <c r="R290" s="6" t="s">
        <v>276</v>
      </c>
      <c r="S290" s="6">
        <f t="shared" si="22"/>
        <v>0</v>
      </c>
      <c r="T290" s="6">
        <f t="shared" si="24"/>
        <v>0</v>
      </c>
      <c r="U290" s="6">
        <f t="shared" si="24"/>
        <v>0</v>
      </c>
      <c r="V290" s="6">
        <f t="shared" si="24"/>
        <v>0</v>
      </c>
      <c r="W290" s="6">
        <f t="shared" si="24"/>
        <v>0</v>
      </c>
      <c r="X290" s="6">
        <f t="shared" si="24"/>
        <v>0</v>
      </c>
      <c r="Y290" s="6">
        <f t="shared" si="24"/>
        <v>0</v>
      </c>
      <c r="Z290" s="6">
        <f t="shared" si="24"/>
        <v>0</v>
      </c>
      <c r="AA290" s="6">
        <f t="shared" si="24"/>
        <v>0</v>
      </c>
      <c r="AB290" s="6">
        <f t="shared" si="24"/>
        <v>0</v>
      </c>
      <c r="AC290" s="6" t="s">
        <v>25</v>
      </c>
      <c r="AD290" s="6" t="s">
        <v>34</v>
      </c>
      <c r="AE290" s="6" t="s">
        <v>88</v>
      </c>
      <c r="AF290" s="6" t="s">
        <v>25</v>
      </c>
    </row>
    <row r="291" spans="1:32" x14ac:dyDescent="0.3">
      <c r="A291" s="7">
        <v>290</v>
      </c>
      <c r="B291" s="7" t="s">
        <v>55</v>
      </c>
      <c r="C291" s="7">
        <f t="shared" si="20"/>
        <v>0</v>
      </c>
      <c r="D291" s="7">
        <f t="shared" si="23"/>
        <v>0</v>
      </c>
      <c r="E291" s="7">
        <f t="shared" si="23"/>
        <v>0</v>
      </c>
      <c r="F291" s="7">
        <f t="shared" si="23"/>
        <v>0</v>
      </c>
      <c r="G291" s="7">
        <f t="shared" si="23"/>
        <v>0</v>
      </c>
      <c r="H291" s="7">
        <f t="shared" si="23"/>
        <v>1</v>
      </c>
      <c r="I291" s="8" t="s">
        <v>27</v>
      </c>
      <c r="J291" s="8" t="s">
        <v>43</v>
      </c>
      <c r="K291" s="8" t="str">
        <f>_xlfn.XLOOKUP(J291,Worksheet!$F$1:$F$48,Worksheet!$G$1:$G$48,0)</f>
        <v>Lack of awareness</v>
      </c>
      <c r="L291" s="8" t="s">
        <v>50</v>
      </c>
      <c r="M291" s="8" t="s">
        <v>30</v>
      </c>
      <c r="N291" s="8" t="s">
        <v>51</v>
      </c>
      <c r="O291" s="8">
        <v>5</v>
      </c>
      <c r="P291" s="8" t="s">
        <v>45</v>
      </c>
      <c r="Q291" s="8" t="s">
        <v>52</v>
      </c>
      <c r="R291" s="8" t="s">
        <v>39</v>
      </c>
      <c r="S291" s="8">
        <f t="shared" si="22"/>
        <v>0</v>
      </c>
      <c r="T291" s="8">
        <f t="shared" si="24"/>
        <v>0</v>
      </c>
      <c r="U291" s="8">
        <f t="shared" si="24"/>
        <v>0</v>
      </c>
      <c r="V291" s="8">
        <f t="shared" si="24"/>
        <v>0</v>
      </c>
      <c r="W291" s="8">
        <f t="shared" si="24"/>
        <v>1</v>
      </c>
      <c r="X291" s="8">
        <f t="shared" si="24"/>
        <v>0</v>
      </c>
      <c r="Y291" s="8">
        <f t="shared" si="24"/>
        <v>0</v>
      </c>
      <c r="Z291" s="8">
        <f t="shared" si="24"/>
        <v>0</v>
      </c>
      <c r="AA291" s="8">
        <f t="shared" si="24"/>
        <v>0</v>
      </c>
      <c r="AB291" s="8">
        <f t="shared" si="24"/>
        <v>0</v>
      </c>
      <c r="AC291" s="8" t="s">
        <v>25</v>
      </c>
      <c r="AD291" s="8" t="s">
        <v>34</v>
      </c>
      <c r="AE291" s="8" t="s">
        <v>24</v>
      </c>
      <c r="AF291" s="8" t="s">
        <v>25</v>
      </c>
    </row>
    <row r="292" spans="1:32" x14ac:dyDescent="0.3">
      <c r="A292" s="5">
        <v>291</v>
      </c>
      <c r="B292" s="5" t="s">
        <v>75</v>
      </c>
      <c r="C292" s="5">
        <f t="shared" si="20"/>
        <v>1</v>
      </c>
      <c r="D292" s="5">
        <f t="shared" si="23"/>
        <v>1</v>
      </c>
      <c r="E292" s="5">
        <f t="shared" si="23"/>
        <v>0</v>
      </c>
      <c r="F292" s="5">
        <f t="shared" si="23"/>
        <v>0</v>
      </c>
      <c r="G292" s="5">
        <f t="shared" si="23"/>
        <v>0</v>
      </c>
      <c r="H292" s="5">
        <f t="shared" si="23"/>
        <v>1</v>
      </c>
      <c r="I292" s="6" t="s">
        <v>27</v>
      </c>
      <c r="J292" s="6" t="s">
        <v>43</v>
      </c>
      <c r="K292" s="6" t="str">
        <f>_xlfn.XLOOKUP(J292,Worksheet!$F$1:$F$48,Worksheet!$G$1:$G$48,0)</f>
        <v>Lack of awareness</v>
      </c>
      <c r="L292" s="6" t="s">
        <v>37</v>
      </c>
      <c r="M292" s="6" t="s">
        <v>30</v>
      </c>
      <c r="N292" s="6" t="s">
        <v>51</v>
      </c>
      <c r="O292" s="6">
        <v>4</v>
      </c>
      <c r="P292" s="6" t="s">
        <v>45</v>
      </c>
      <c r="Q292" s="6" t="s">
        <v>63</v>
      </c>
      <c r="R292" s="6" t="s">
        <v>277</v>
      </c>
      <c r="S292" s="6">
        <f t="shared" si="22"/>
        <v>1</v>
      </c>
      <c r="T292" s="6">
        <f t="shared" si="24"/>
        <v>1</v>
      </c>
      <c r="U292" s="6">
        <f t="shared" si="24"/>
        <v>0</v>
      </c>
      <c r="V292" s="6">
        <f t="shared" si="24"/>
        <v>1</v>
      </c>
      <c r="W292" s="6">
        <f t="shared" si="24"/>
        <v>1</v>
      </c>
      <c r="X292" s="6">
        <f t="shared" ref="T292:AB320" si="25">IFERROR(IF(SEARCH(X$1,$R292)&gt;0,1,0),0)</f>
        <v>0</v>
      </c>
      <c r="Y292" s="6">
        <f t="shared" si="25"/>
        <v>1</v>
      </c>
      <c r="Z292" s="6">
        <f t="shared" si="25"/>
        <v>0</v>
      </c>
      <c r="AA292" s="6">
        <f t="shared" si="25"/>
        <v>0</v>
      </c>
      <c r="AB292" s="6">
        <f t="shared" si="25"/>
        <v>0</v>
      </c>
      <c r="AC292" s="6" t="s">
        <v>25</v>
      </c>
      <c r="AD292" s="6" t="s">
        <v>34</v>
      </c>
      <c r="AE292" s="6" t="s">
        <v>88</v>
      </c>
      <c r="AF292" s="6" t="s">
        <v>25</v>
      </c>
    </row>
    <row r="293" spans="1:32" x14ac:dyDescent="0.3">
      <c r="A293" s="7">
        <v>292</v>
      </c>
      <c r="B293" s="7" t="s">
        <v>68</v>
      </c>
      <c r="C293" s="7">
        <f t="shared" ref="C293:C356" si="26">IFERROR(IF(SEARCH(C$1,$B293)&gt;0,1,0),0)</f>
        <v>0</v>
      </c>
      <c r="D293" s="7">
        <f t="shared" si="23"/>
        <v>1</v>
      </c>
      <c r="E293" s="7">
        <f t="shared" si="23"/>
        <v>0</v>
      </c>
      <c r="F293" s="7">
        <f t="shared" si="23"/>
        <v>0</v>
      </c>
      <c r="G293" s="7">
        <f t="shared" si="23"/>
        <v>0</v>
      </c>
      <c r="H293" s="7">
        <f t="shared" si="23"/>
        <v>0</v>
      </c>
      <c r="I293" s="8" t="s">
        <v>49</v>
      </c>
      <c r="J293" s="8" t="s">
        <v>43</v>
      </c>
      <c r="K293" s="8" t="str">
        <f>_xlfn.XLOOKUP(J293,Worksheet!$F$1:$F$48,Worksheet!$G$1:$G$48,0)</f>
        <v>Lack of awareness</v>
      </c>
      <c r="L293" s="8" t="s">
        <v>50</v>
      </c>
      <c r="M293" s="8" t="s">
        <v>49</v>
      </c>
      <c r="N293" s="8" t="s">
        <v>58</v>
      </c>
      <c r="O293" s="8">
        <v>5</v>
      </c>
      <c r="P293" s="8" t="s">
        <v>45</v>
      </c>
      <c r="Q293" s="8" t="s">
        <v>46</v>
      </c>
      <c r="R293" s="8" t="s">
        <v>110</v>
      </c>
      <c r="S293" s="8">
        <f t="shared" si="22"/>
        <v>1</v>
      </c>
      <c r="T293" s="8">
        <f t="shared" si="25"/>
        <v>1</v>
      </c>
      <c r="U293" s="8">
        <f t="shared" si="25"/>
        <v>0</v>
      </c>
      <c r="V293" s="8">
        <f t="shared" si="25"/>
        <v>0</v>
      </c>
      <c r="W293" s="8">
        <f t="shared" si="25"/>
        <v>0</v>
      </c>
      <c r="X293" s="8">
        <f t="shared" si="25"/>
        <v>1</v>
      </c>
      <c r="Y293" s="8">
        <f t="shared" si="25"/>
        <v>1</v>
      </c>
      <c r="Z293" s="8">
        <f t="shared" si="25"/>
        <v>0</v>
      </c>
      <c r="AA293" s="8">
        <f t="shared" si="25"/>
        <v>0</v>
      </c>
      <c r="AB293" s="8">
        <f t="shared" si="25"/>
        <v>0</v>
      </c>
      <c r="AC293" s="8" t="s">
        <v>21</v>
      </c>
      <c r="AD293" s="8" t="s">
        <v>23</v>
      </c>
      <c r="AE293" s="8" t="s">
        <v>24</v>
      </c>
      <c r="AF293" s="8" t="s">
        <v>48</v>
      </c>
    </row>
    <row r="294" spans="1:32" x14ac:dyDescent="0.3">
      <c r="A294" s="5">
        <v>293</v>
      </c>
      <c r="B294" s="5" t="s">
        <v>41</v>
      </c>
      <c r="C294" s="5">
        <f t="shared" si="26"/>
        <v>0</v>
      </c>
      <c r="D294" s="5">
        <f t="shared" si="23"/>
        <v>0</v>
      </c>
      <c r="E294" s="5">
        <f t="shared" si="23"/>
        <v>0</v>
      </c>
      <c r="F294" s="5">
        <f t="shared" si="23"/>
        <v>0</v>
      </c>
      <c r="G294" s="5">
        <f t="shared" si="23"/>
        <v>1</v>
      </c>
      <c r="H294" s="5">
        <f t="shared" si="23"/>
        <v>0</v>
      </c>
      <c r="I294" s="6" t="s">
        <v>15</v>
      </c>
      <c r="J294" s="6" t="s">
        <v>43</v>
      </c>
      <c r="K294" s="6" t="str">
        <f>_xlfn.XLOOKUP(J294,Worksheet!$F$1:$F$48,Worksheet!$G$1:$G$48,0)</f>
        <v>Lack of awareness</v>
      </c>
      <c r="L294" s="6" t="s">
        <v>29</v>
      </c>
      <c r="M294" s="6" t="s">
        <v>49</v>
      </c>
      <c r="N294" s="6" t="s">
        <v>44</v>
      </c>
      <c r="O294" s="6">
        <v>3</v>
      </c>
      <c r="P294" s="6" t="s">
        <v>45</v>
      </c>
      <c r="Q294" s="6" t="s">
        <v>63</v>
      </c>
      <c r="R294" s="6" t="s">
        <v>278</v>
      </c>
      <c r="S294" s="6">
        <f t="shared" si="22"/>
        <v>0</v>
      </c>
      <c r="T294" s="6">
        <f t="shared" si="25"/>
        <v>0</v>
      </c>
      <c r="U294" s="6">
        <f t="shared" si="25"/>
        <v>1</v>
      </c>
      <c r="V294" s="6">
        <f t="shared" si="25"/>
        <v>0</v>
      </c>
      <c r="W294" s="6">
        <f t="shared" si="25"/>
        <v>1</v>
      </c>
      <c r="X294" s="6">
        <f t="shared" si="25"/>
        <v>0</v>
      </c>
      <c r="Y294" s="6">
        <f t="shared" si="25"/>
        <v>0</v>
      </c>
      <c r="Z294" s="6">
        <f t="shared" si="25"/>
        <v>0</v>
      </c>
      <c r="AA294" s="6">
        <f t="shared" si="25"/>
        <v>1</v>
      </c>
      <c r="AB294" s="6">
        <f t="shared" si="25"/>
        <v>1</v>
      </c>
      <c r="AC294" s="6" t="s">
        <v>21</v>
      </c>
      <c r="AD294" s="6" t="s">
        <v>23</v>
      </c>
      <c r="AE294" s="6" t="s">
        <v>24</v>
      </c>
      <c r="AF294" s="6" t="s">
        <v>48</v>
      </c>
    </row>
    <row r="295" spans="1:32" x14ac:dyDescent="0.3">
      <c r="A295" s="7">
        <v>294</v>
      </c>
      <c r="B295" s="7" t="s">
        <v>100</v>
      </c>
      <c r="C295" s="7">
        <f t="shared" si="26"/>
        <v>1</v>
      </c>
      <c r="D295" s="7">
        <f t="shared" si="23"/>
        <v>0</v>
      </c>
      <c r="E295" s="7">
        <f t="shared" si="23"/>
        <v>0</v>
      </c>
      <c r="F295" s="7">
        <f t="shared" si="23"/>
        <v>0</v>
      </c>
      <c r="G295" s="7">
        <f t="shared" si="23"/>
        <v>0</v>
      </c>
      <c r="H295" s="7">
        <f t="shared" si="23"/>
        <v>0</v>
      </c>
      <c r="I295" s="8" t="s">
        <v>27</v>
      </c>
      <c r="J295" s="8" t="s">
        <v>16</v>
      </c>
      <c r="K295" s="8" t="str">
        <f>_xlfn.XLOOKUP(J295,Worksheet!$F$1:$F$48,Worksheet!$G$1:$G$48,0)</f>
        <v>Cost</v>
      </c>
      <c r="L295" s="8" t="s">
        <v>356</v>
      </c>
      <c r="M295" s="8" t="s">
        <v>102</v>
      </c>
      <c r="N295" s="8" t="s">
        <v>44</v>
      </c>
      <c r="O295" s="8">
        <v>5</v>
      </c>
      <c r="P295" s="8" t="s">
        <v>84</v>
      </c>
      <c r="Q295" s="8" t="s">
        <v>52</v>
      </c>
      <c r="R295" s="8" t="s">
        <v>157</v>
      </c>
      <c r="S295" s="8">
        <f t="shared" si="22"/>
        <v>0</v>
      </c>
      <c r="T295" s="8">
        <f t="shared" si="25"/>
        <v>0</v>
      </c>
      <c r="U295" s="8">
        <f t="shared" si="25"/>
        <v>0</v>
      </c>
      <c r="V295" s="8">
        <f t="shared" si="25"/>
        <v>0</v>
      </c>
      <c r="W295" s="8">
        <f t="shared" si="25"/>
        <v>0</v>
      </c>
      <c r="X295" s="8">
        <f t="shared" si="25"/>
        <v>0</v>
      </c>
      <c r="Y295" s="8">
        <f t="shared" si="25"/>
        <v>0</v>
      </c>
      <c r="Z295" s="8">
        <f t="shared" si="25"/>
        <v>1</v>
      </c>
      <c r="AA295" s="8">
        <f t="shared" si="25"/>
        <v>0</v>
      </c>
      <c r="AB295" s="8">
        <f t="shared" si="25"/>
        <v>0</v>
      </c>
      <c r="AC295" s="8" t="s">
        <v>21</v>
      </c>
      <c r="AD295" s="8" t="s">
        <v>40</v>
      </c>
      <c r="AE295" s="8" t="s">
        <v>24</v>
      </c>
      <c r="AF295" s="8" t="s">
        <v>82</v>
      </c>
    </row>
    <row r="296" spans="1:32" x14ac:dyDescent="0.3">
      <c r="A296" s="5">
        <v>295</v>
      </c>
      <c r="B296" s="5" t="s">
        <v>100</v>
      </c>
      <c r="C296" s="5">
        <f t="shared" si="26"/>
        <v>1</v>
      </c>
      <c r="D296" s="5">
        <f t="shared" si="23"/>
        <v>0</v>
      </c>
      <c r="E296" s="5">
        <f t="shared" si="23"/>
        <v>0</v>
      </c>
      <c r="F296" s="5">
        <f t="shared" si="23"/>
        <v>0</v>
      </c>
      <c r="G296" s="5">
        <f t="shared" si="23"/>
        <v>0</v>
      </c>
      <c r="H296" s="5">
        <f t="shared" si="23"/>
        <v>0</v>
      </c>
      <c r="I296" s="6" t="s">
        <v>15</v>
      </c>
      <c r="J296" s="6" t="s">
        <v>43</v>
      </c>
      <c r="K296" s="6" t="str">
        <f>_xlfn.XLOOKUP(J296,Worksheet!$F$1:$F$48,Worksheet!$G$1:$G$48,0)</f>
        <v>Lack of awareness</v>
      </c>
      <c r="L296" s="6" t="s">
        <v>17</v>
      </c>
      <c r="M296" s="6" t="s">
        <v>15</v>
      </c>
      <c r="N296" s="6" t="s">
        <v>51</v>
      </c>
      <c r="O296" s="6">
        <v>5</v>
      </c>
      <c r="P296" s="6" t="s">
        <v>45</v>
      </c>
      <c r="Q296" s="6" t="s">
        <v>46</v>
      </c>
      <c r="R296" s="6" t="s">
        <v>131</v>
      </c>
      <c r="S296" s="6">
        <f t="shared" si="22"/>
        <v>0</v>
      </c>
      <c r="T296" s="6">
        <f t="shared" si="25"/>
        <v>0</v>
      </c>
      <c r="U296" s="6">
        <f t="shared" si="25"/>
        <v>0</v>
      </c>
      <c r="V296" s="6">
        <f t="shared" si="25"/>
        <v>0</v>
      </c>
      <c r="W296" s="6">
        <f t="shared" si="25"/>
        <v>0</v>
      </c>
      <c r="X296" s="6">
        <f t="shared" si="25"/>
        <v>1</v>
      </c>
      <c r="Y296" s="6">
        <f t="shared" si="25"/>
        <v>0</v>
      </c>
      <c r="Z296" s="6">
        <f t="shared" si="25"/>
        <v>0</v>
      </c>
      <c r="AA296" s="6">
        <f t="shared" si="25"/>
        <v>0</v>
      </c>
      <c r="AB296" s="6">
        <f t="shared" si="25"/>
        <v>0</v>
      </c>
      <c r="AC296" s="6" t="s">
        <v>25</v>
      </c>
      <c r="AD296" s="6" t="s">
        <v>23</v>
      </c>
      <c r="AE296" s="6" t="s">
        <v>113</v>
      </c>
      <c r="AF296" s="6" t="s">
        <v>48</v>
      </c>
    </row>
    <row r="297" spans="1:32" x14ac:dyDescent="0.3">
      <c r="A297" s="7">
        <v>296</v>
      </c>
      <c r="B297" s="7" t="s">
        <v>68</v>
      </c>
      <c r="C297" s="7">
        <f t="shared" si="26"/>
        <v>0</v>
      </c>
      <c r="D297" s="7">
        <f t="shared" si="23"/>
        <v>1</v>
      </c>
      <c r="E297" s="7">
        <f t="shared" si="23"/>
        <v>0</v>
      </c>
      <c r="F297" s="7">
        <f t="shared" si="23"/>
        <v>0</v>
      </c>
      <c r="G297" s="7">
        <f t="shared" si="23"/>
        <v>0</v>
      </c>
      <c r="H297" s="7">
        <f t="shared" si="23"/>
        <v>0</v>
      </c>
      <c r="I297" s="8" t="s">
        <v>27</v>
      </c>
      <c r="J297" s="8" t="s">
        <v>43</v>
      </c>
      <c r="K297" s="8" t="str">
        <f>_xlfn.XLOOKUP(J297,Worksheet!$F$1:$F$48,Worksheet!$G$1:$G$48,0)</f>
        <v>Lack of awareness</v>
      </c>
      <c r="L297" s="8" t="s">
        <v>50</v>
      </c>
      <c r="M297" s="8" t="s">
        <v>49</v>
      </c>
      <c r="N297" s="8" t="s">
        <v>58</v>
      </c>
      <c r="O297" s="8">
        <v>5</v>
      </c>
      <c r="P297" s="8" t="s">
        <v>45</v>
      </c>
      <c r="Q297" s="8" t="s">
        <v>63</v>
      </c>
      <c r="R297" s="8" t="s">
        <v>279</v>
      </c>
      <c r="S297" s="8">
        <f t="shared" si="22"/>
        <v>1</v>
      </c>
      <c r="T297" s="8">
        <f t="shared" si="25"/>
        <v>1</v>
      </c>
      <c r="U297" s="8">
        <f t="shared" si="25"/>
        <v>1</v>
      </c>
      <c r="V297" s="8">
        <f t="shared" si="25"/>
        <v>1</v>
      </c>
      <c r="W297" s="8">
        <f t="shared" si="25"/>
        <v>0</v>
      </c>
      <c r="X297" s="8">
        <f t="shared" si="25"/>
        <v>0</v>
      </c>
      <c r="Y297" s="8">
        <f t="shared" si="25"/>
        <v>1</v>
      </c>
      <c r="Z297" s="8">
        <f t="shared" si="25"/>
        <v>0</v>
      </c>
      <c r="AA297" s="8">
        <f t="shared" si="25"/>
        <v>0</v>
      </c>
      <c r="AB297" s="8">
        <f t="shared" si="25"/>
        <v>0</v>
      </c>
      <c r="AC297" s="8" t="s">
        <v>21</v>
      </c>
      <c r="AD297" s="8" t="s">
        <v>40</v>
      </c>
      <c r="AE297" s="8" t="s">
        <v>113</v>
      </c>
      <c r="AF297" s="8" t="s">
        <v>25</v>
      </c>
    </row>
    <row r="298" spans="1:32" x14ac:dyDescent="0.3">
      <c r="A298" s="5">
        <v>297</v>
      </c>
      <c r="B298" s="5" t="s">
        <v>162</v>
      </c>
      <c r="C298" s="5">
        <f t="shared" si="26"/>
        <v>1</v>
      </c>
      <c r="D298" s="5">
        <f t="shared" si="23"/>
        <v>0</v>
      </c>
      <c r="E298" s="5">
        <f t="shared" si="23"/>
        <v>0</v>
      </c>
      <c r="F298" s="5">
        <f t="shared" si="23"/>
        <v>0</v>
      </c>
      <c r="G298" s="5">
        <f t="shared" si="23"/>
        <v>0</v>
      </c>
      <c r="H298" s="5">
        <f t="shared" si="23"/>
        <v>1</v>
      </c>
      <c r="I298" s="6" t="s">
        <v>49</v>
      </c>
      <c r="J298" s="6" t="s">
        <v>43</v>
      </c>
      <c r="K298" s="6" t="str">
        <f>_xlfn.XLOOKUP(J298,Worksheet!$F$1:$F$48,Worksheet!$G$1:$G$48,0)</f>
        <v>Lack of awareness</v>
      </c>
      <c r="L298" s="6" t="s">
        <v>50</v>
      </c>
      <c r="M298" s="6" t="s">
        <v>49</v>
      </c>
      <c r="N298" s="6" t="s">
        <v>58</v>
      </c>
      <c r="O298" s="6">
        <v>4</v>
      </c>
      <c r="P298" s="6" t="s">
        <v>45</v>
      </c>
      <c r="Q298" s="6" t="s">
        <v>63</v>
      </c>
      <c r="R298" s="6" t="s">
        <v>280</v>
      </c>
      <c r="S298" s="6">
        <f t="shared" si="22"/>
        <v>1</v>
      </c>
      <c r="T298" s="6">
        <f t="shared" si="25"/>
        <v>1</v>
      </c>
      <c r="U298" s="6">
        <f t="shared" si="25"/>
        <v>1</v>
      </c>
      <c r="V298" s="6">
        <f t="shared" si="25"/>
        <v>1</v>
      </c>
      <c r="W298" s="6">
        <f t="shared" si="25"/>
        <v>1</v>
      </c>
      <c r="X298" s="6">
        <f t="shared" si="25"/>
        <v>1</v>
      </c>
      <c r="Y298" s="6">
        <f t="shared" si="25"/>
        <v>1</v>
      </c>
      <c r="Z298" s="6">
        <f t="shared" si="25"/>
        <v>1</v>
      </c>
      <c r="AA298" s="6">
        <f t="shared" si="25"/>
        <v>0</v>
      </c>
      <c r="AB298" s="6">
        <f t="shared" si="25"/>
        <v>0</v>
      </c>
      <c r="AC298" s="6" t="s">
        <v>21</v>
      </c>
      <c r="AD298" s="6" t="s">
        <v>40</v>
      </c>
      <c r="AE298" s="6" t="s">
        <v>24</v>
      </c>
      <c r="AF298" s="6" t="s">
        <v>48</v>
      </c>
    </row>
    <row r="299" spans="1:32" x14ac:dyDescent="0.3">
      <c r="A299" s="7">
        <v>298</v>
      </c>
      <c r="B299" s="7" t="s">
        <v>55</v>
      </c>
      <c r="C299" s="7">
        <f t="shared" si="26"/>
        <v>0</v>
      </c>
      <c r="D299" s="7">
        <f t="shared" si="23"/>
        <v>0</v>
      </c>
      <c r="E299" s="7">
        <f t="shared" si="23"/>
        <v>0</v>
      </c>
      <c r="F299" s="7">
        <f t="shared" si="23"/>
        <v>0</v>
      </c>
      <c r="G299" s="7">
        <f t="shared" si="23"/>
        <v>0</v>
      </c>
      <c r="H299" s="7">
        <f t="shared" si="23"/>
        <v>1</v>
      </c>
      <c r="I299" s="8" t="s">
        <v>49</v>
      </c>
      <c r="J299" s="8" t="s">
        <v>16</v>
      </c>
      <c r="K299" s="8" t="str">
        <f>_xlfn.XLOOKUP(J299,Worksheet!$F$1:$F$48,Worksheet!$G$1:$G$48,0)</f>
        <v>Cost</v>
      </c>
      <c r="L299" s="8" t="s">
        <v>17</v>
      </c>
      <c r="M299" s="8" t="s">
        <v>30</v>
      </c>
      <c r="N299" s="8" t="s">
        <v>58</v>
      </c>
      <c r="O299" s="8">
        <v>2</v>
      </c>
      <c r="P299" s="8" t="s">
        <v>45</v>
      </c>
      <c r="Q299" s="8" t="s">
        <v>46</v>
      </c>
      <c r="R299" s="8" t="s">
        <v>96</v>
      </c>
      <c r="S299" s="8">
        <f t="shared" si="22"/>
        <v>0</v>
      </c>
      <c r="T299" s="8">
        <f t="shared" si="25"/>
        <v>0</v>
      </c>
      <c r="U299" s="8">
        <f t="shared" si="25"/>
        <v>0</v>
      </c>
      <c r="V299" s="8">
        <f t="shared" si="25"/>
        <v>1</v>
      </c>
      <c r="W299" s="8">
        <f t="shared" si="25"/>
        <v>0</v>
      </c>
      <c r="X299" s="8">
        <f t="shared" si="25"/>
        <v>0</v>
      </c>
      <c r="Y299" s="8">
        <f t="shared" si="25"/>
        <v>0</v>
      </c>
      <c r="Z299" s="8">
        <f t="shared" si="25"/>
        <v>0</v>
      </c>
      <c r="AA299" s="8">
        <f t="shared" si="25"/>
        <v>0</v>
      </c>
      <c r="AB299" s="8">
        <f t="shared" si="25"/>
        <v>0</v>
      </c>
      <c r="AC299" s="8" t="s">
        <v>25</v>
      </c>
      <c r="AD299" s="8" t="s">
        <v>34</v>
      </c>
      <c r="AE299" s="8" t="s">
        <v>24</v>
      </c>
      <c r="AF299" s="8" t="s">
        <v>48</v>
      </c>
    </row>
    <row r="300" spans="1:32" x14ac:dyDescent="0.3">
      <c r="A300" s="5">
        <v>299</v>
      </c>
      <c r="B300" s="5" t="s">
        <v>135</v>
      </c>
      <c r="C300" s="5">
        <f t="shared" si="26"/>
        <v>0</v>
      </c>
      <c r="D300" s="5">
        <f t="shared" si="23"/>
        <v>0</v>
      </c>
      <c r="E300" s="5">
        <f t="shared" si="23"/>
        <v>0</v>
      </c>
      <c r="F300" s="5">
        <f t="shared" si="23"/>
        <v>0</v>
      </c>
      <c r="G300" s="5">
        <f t="shared" si="23"/>
        <v>1</v>
      </c>
      <c r="H300" s="5">
        <f t="shared" si="23"/>
        <v>1</v>
      </c>
      <c r="I300" s="6" t="s">
        <v>27</v>
      </c>
      <c r="J300" s="6" t="s">
        <v>43</v>
      </c>
      <c r="K300" s="6" t="str">
        <f>_xlfn.XLOOKUP(J300,Worksheet!$F$1:$F$48,Worksheet!$G$1:$G$48,0)</f>
        <v>Lack of awareness</v>
      </c>
      <c r="L300" s="6" t="s">
        <v>17</v>
      </c>
      <c r="M300" s="6" t="s">
        <v>30</v>
      </c>
      <c r="N300" s="6" t="s">
        <v>51</v>
      </c>
      <c r="O300" s="6">
        <v>3</v>
      </c>
      <c r="P300" s="6" t="s">
        <v>45</v>
      </c>
      <c r="Q300" s="6" t="s">
        <v>63</v>
      </c>
      <c r="R300" s="6" t="s">
        <v>281</v>
      </c>
      <c r="S300" s="6">
        <f t="shared" si="22"/>
        <v>1</v>
      </c>
      <c r="T300" s="6">
        <f t="shared" si="25"/>
        <v>1</v>
      </c>
      <c r="U300" s="6">
        <f t="shared" si="25"/>
        <v>1</v>
      </c>
      <c r="V300" s="6">
        <f t="shared" si="25"/>
        <v>1</v>
      </c>
      <c r="W300" s="6">
        <f t="shared" si="25"/>
        <v>1</v>
      </c>
      <c r="X300" s="6">
        <f t="shared" si="25"/>
        <v>1</v>
      </c>
      <c r="Y300" s="6">
        <f t="shared" si="25"/>
        <v>1</v>
      </c>
      <c r="Z300" s="6">
        <f t="shared" si="25"/>
        <v>0</v>
      </c>
      <c r="AA300" s="6">
        <f t="shared" si="25"/>
        <v>0</v>
      </c>
      <c r="AB300" s="6">
        <f t="shared" si="25"/>
        <v>1</v>
      </c>
      <c r="AC300" s="6" t="s">
        <v>25</v>
      </c>
      <c r="AD300" s="6" t="s">
        <v>23</v>
      </c>
      <c r="AE300" s="6" t="s">
        <v>24</v>
      </c>
      <c r="AF300" s="6" t="s">
        <v>25</v>
      </c>
    </row>
    <row r="301" spans="1:32" x14ac:dyDescent="0.3">
      <c r="A301" s="7">
        <v>300</v>
      </c>
      <c r="B301" s="7" t="s">
        <v>41</v>
      </c>
      <c r="C301" s="7">
        <f t="shared" si="26"/>
        <v>0</v>
      </c>
      <c r="D301" s="7">
        <f t="shared" si="23"/>
        <v>0</v>
      </c>
      <c r="E301" s="7">
        <f t="shared" si="23"/>
        <v>0</v>
      </c>
      <c r="F301" s="7">
        <f t="shared" si="23"/>
        <v>0</v>
      </c>
      <c r="G301" s="7">
        <f t="shared" si="23"/>
        <v>1</v>
      </c>
      <c r="H301" s="7">
        <f t="shared" si="23"/>
        <v>0</v>
      </c>
      <c r="I301" s="8" t="s">
        <v>15</v>
      </c>
      <c r="J301" s="8" t="s">
        <v>43</v>
      </c>
      <c r="K301" s="8" t="str">
        <f>_xlfn.XLOOKUP(J301,Worksheet!$F$1:$F$48,Worksheet!$G$1:$G$48,0)</f>
        <v>Lack of awareness</v>
      </c>
      <c r="L301" s="8" t="s">
        <v>356</v>
      </c>
      <c r="M301" s="8" t="s">
        <v>30</v>
      </c>
      <c r="N301" s="8" t="s">
        <v>51</v>
      </c>
      <c r="O301" s="8">
        <v>5</v>
      </c>
      <c r="P301" s="8" t="s">
        <v>45</v>
      </c>
      <c r="Q301" s="8" t="s">
        <v>63</v>
      </c>
      <c r="R301" s="8" t="s">
        <v>67</v>
      </c>
      <c r="S301" s="8">
        <f t="shared" si="22"/>
        <v>1</v>
      </c>
      <c r="T301" s="8">
        <f t="shared" si="25"/>
        <v>1</v>
      </c>
      <c r="U301" s="8">
        <f t="shared" si="25"/>
        <v>1</v>
      </c>
      <c r="V301" s="8">
        <f t="shared" si="25"/>
        <v>1</v>
      </c>
      <c r="W301" s="8">
        <f t="shared" si="25"/>
        <v>1</v>
      </c>
      <c r="X301" s="8">
        <f t="shared" si="25"/>
        <v>1</v>
      </c>
      <c r="Y301" s="8">
        <f t="shared" si="25"/>
        <v>1</v>
      </c>
      <c r="Z301" s="8">
        <f t="shared" si="25"/>
        <v>1</v>
      </c>
      <c r="AA301" s="8">
        <f t="shared" si="25"/>
        <v>1</v>
      </c>
      <c r="AB301" s="8">
        <f t="shared" si="25"/>
        <v>1</v>
      </c>
      <c r="AC301" s="8" t="s">
        <v>21</v>
      </c>
      <c r="AD301" s="8" t="s">
        <v>34</v>
      </c>
      <c r="AE301" s="8" t="s">
        <v>54</v>
      </c>
      <c r="AF301" s="8" t="s">
        <v>25</v>
      </c>
    </row>
    <row r="302" spans="1:32" x14ac:dyDescent="0.3">
      <c r="A302" s="5">
        <v>301</v>
      </c>
      <c r="B302" s="5" t="s">
        <v>26</v>
      </c>
      <c r="C302" s="5">
        <f t="shared" si="26"/>
        <v>0</v>
      </c>
      <c r="D302" s="5">
        <f t="shared" si="23"/>
        <v>1</v>
      </c>
      <c r="E302" s="5">
        <f t="shared" si="23"/>
        <v>0</v>
      </c>
      <c r="F302" s="5">
        <f t="shared" si="23"/>
        <v>0</v>
      </c>
      <c r="G302" s="5">
        <f t="shared" si="23"/>
        <v>1</v>
      </c>
      <c r="H302" s="5">
        <f t="shared" si="23"/>
        <v>0</v>
      </c>
      <c r="I302" s="6" t="s">
        <v>15</v>
      </c>
      <c r="J302" s="6" t="s">
        <v>83</v>
      </c>
      <c r="K302" s="6" t="str">
        <f>_xlfn.XLOOKUP(J302,Worksheet!$F$1:$F$48,Worksheet!$G$1:$G$48,0)</f>
        <v>Fear</v>
      </c>
      <c r="L302" s="6" t="s">
        <v>17</v>
      </c>
      <c r="M302" s="6" t="s">
        <v>15</v>
      </c>
      <c r="N302" s="6" t="s">
        <v>51</v>
      </c>
      <c r="O302" s="6">
        <v>5</v>
      </c>
      <c r="P302" s="6" t="s">
        <v>45</v>
      </c>
      <c r="Q302" s="6" t="s">
        <v>52</v>
      </c>
      <c r="R302" s="6" t="s">
        <v>282</v>
      </c>
      <c r="S302" s="6">
        <f t="shared" si="22"/>
        <v>0</v>
      </c>
      <c r="T302" s="6">
        <f t="shared" si="25"/>
        <v>1</v>
      </c>
      <c r="U302" s="6">
        <f t="shared" si="25"/>
        <v>0</v>
      </c>
      <c r="V302" s="6">
        <f t="shared" si="25"/>
        <v>1</v>
      </c>
      <c r="W302" s="6">
        <f t="shared" si="25"/>
        <v>1</v>
      </c>
      <c r="X302" s="6">
        <f t="shared" si="25"/>
        <v>0</v>
      </c>
      <c r="Y302" s="6">
        <f t="shared" si="25"/>
        <v>1</v>
      </c>
      <c r="Z302" s="6">
        <f t="shared" si="25"/>
        <v>0</v>
      </c>
      <c r="AA302" s="6">
        <f t="shared" si="25"/>
        <v>1</v>
      </c>
      <c r="AB302" s="6">
        <f t="shared" si="25"/>
        <v>0</v>
      </c>
      <c r="AC302" s="6" t="s">
        <v>21</v>
      </c>
      <c r="AD302" s="6" t="s">
        <v>34</v>
      </c>
      <c r="AE302" s="6" t="s">
        <v>54</v>
      </c>
      <c r="AF302" s="6" t="s">
        <v>21</v>
      </c>
    </row>
    <row r="303" spans="1:32" x14ac:dyDescent="0.3">
      <c r="A303" s="7">
        <v>302</v>
      </c>
      <c r="B303" s="7" t="s">
        <v>41</v>
      </c>
      <c r="C303" s="7">
        <f t="shared" si="26"/>
        <v>0</v>
      </c>
      <c r="D303" s="7">
        <f t="shared" si="23"/>
        <v>0</v>
      </c>
      <c r="E303" s="7">
        <f t="shared" si="23"/>
        <v>0</v>
      </c>
      <c r="F303" s="7">
        <f t="shared" si="23"/>
        <v>0</v>
      </c>
      <c r="G303" s="7">
        <f t="shared" si="23"/>
        <v>1</v>
      </c>
      <c r="H303" s="7">
        <f t="shared" si="23"/>
        <v>0</v>
      </c>
      <c r="I303" s="8" t="s">
        <v>27</v>
      </c>
      <c r="J303" s="8" t="s">
        <v>43</v>
      </c>
      <c r="K303" s="8" t="str">
        <f>_xlfn.XLOOKUP(J303,Worksheet!$F$1:$F$48,Worksheet!$G$1:$G$48,0)</f>
        <v>Lack of awareness</v>
      </c>
      <c r="L303" s="8" t="s">
        <v>50</v>
      </c>
      <c r="M303" s="8" t="s">
        <v>49</v>
      </c>
      <c r="N303" s="8" t="s">
        <v>44</v>
      </c>
      <c r="O303" s="8">
        <v>4</v>
      </c>
      <c r="P303" s="8" t="s">
        <v>84</v>
      </c>
      <c r="Q303" s="8" t="s">
        <v>52</v>
      </c>
      <c r="R303" s="8" t="s">
        <v>283</v>
      </c>
      <c r="S303" s="8">
        <f t="shared" si="22"/>
        <v>1</v>
      </c>
      <c r="T303" s="8">
        <f t="shared" si="25"/>
        <v>0</v>
      </c>
      <c r="U303" s="8">
        <f t="shared" si="25"/>
        <v>0</v>
      </c>
      <c r="V303" s="8">
        <f t="shared" si="25"/>
        <v>0</v>
      </c>
      <c r="W303" s="8">
        <f t="shared" si="25"/>
        <v>1</v>
      </c>
      <c r="X303" s="8">
        <f t="shared" si="25"/>
        <v>0</v>
      </c>
      <c r="Y303" s="8">
        <f t="shared" si="25"/>
        <v>0</v>
      </c>
      <c r="Z303" s="8">
        <f t="shared" si="25"/>
        <v>1</v>
      </c>
      <c r="AA303" s="8">
        <f t="shared" si="25"/>
        <v>0</v>
      </c>
      <c r="AB303" s="8">
        <f t="shared" si="25"/>
        <v>0</v>
      </c>
      <c r="AC303" s="8" t="s">
        <v>21</v>
      </c>
      <c r="AD303" s="8" t="s">
        <v>34</v>
      </c>
      <c r="AE303" s="8" t="s">
        <v>24</v>
      </c>
      <c r="AF303" s="8" t="s">
        <v>25</v>
      </c>
    </row>
    <row r="304" spans="1:32" x14ac:dyDescent="0.3">
      <c r="A304" s="5">
        <v>303</v>
      </c>
      <c r="B304" s="5" t="s">
        <v>68</v>
      </c>
      <c r="C304" s="5">
        <f t="shared" si="26"/>
        <v>0</v>
      </c>
      <c r="D304" s="5">
        <f t="shared" si="23"/>
        <v>1</v>
      </c>
      <c r="E304" s="5">
        <f t="shared" si="23"/>
        <v>0</v>
      </c>
      <c r="F304" s="5">
        <f t="shared" ref="D304:H355" si="27">IFERROR(IF(SEARCH(F$1,$B304)&gt;0,1,0),0)</f>
        <v>0</v>
      </c>
      <c r="G304" s="5">
        <f t="shared" si="27"/>
        <v>0</v>
      </c>
      <c r="H304" s="5">
        <f t="shared" si="27"/>
        <v>0</v>
      </c>
      <c r="I304" s="6" t="s">
        <v>15</v>
      </c>
      <c r="J304" s="6" t="s">
        <v>226</v>
      </c>
      <c r="K304" s="6" t="str">
        <f>_xlfn.XLOOKUP(J304,Worksheet!$F$1:$F$48,Worksheet!$G$1:$G$48,0)</f>
        <v>Fear</v>
      </c>
      <c r="L304" s="6" t="s">
        <v>29</v>
      </c>
      <c r="M304" s="6" t="s">
        <v>15</v>
      </c>
      <c r="N304" s="6" t="s">
        <v>51</v>
      </c>
      <c r="O304" s="6">
        <v>5</v>
      </c>
      <c r="P304" s="6" t="s">
        <v>59</v>
      </c>
      <c r="Q304" s="6" t="s">
        <v>46</v>
      </c>
      <c r="R304" s="6" t="s">
        <v>67</v>
      </c>
      <c r="S304" s="6">
        <f t="shared" si="22"/>
        <v>1</v>
      </c>
      <c r="T304" s="6">
        <f t="shared" si="25"/>
        <v>1</v>
      </c>
      <c r="U304" s="6">
        <f t="shared" si="25"/>
        <v>1</v>
      </c>
      <c r="V304" s="6">
        <f t="shared" si="25"/>
        <v>1</v>
      </c>
      <c r="W304" s="6">
        <f t="shared" si="25"/>
        <v>1</v>
      </c>
      <c r="X304" s="6">
        <f t="shared" si="25"/>
        <v>1</v>
      </c>
      <c r="Y304" s="6">
        <f t="shared" si="25"/>
        <v>1</v>
      </c>
      <c r="Z304" s="6">
        <f t="shared" si="25"/>
        <v>1</v>
      </c>
      <c r="AA304" s="6">
        <f t="shared" si="25"/>
        <v>1</v>
      </c>
      <c r="AB304" s="6">
        <f t="shared" si="25"/>
        <v>1</v>
      </c>
      <c r="AC304" s="6" t="s">
        <v>21</v>
      </c>
      <c r="AD304" s="6" t="s">
        <v>40</v>
      </c>
      <c r="AE304" s="6" t="s">
        <v>136</v>
      </c>
      <c r="AF304" s="6" t="s">
        <v>48</v>
      </c>
    </row>
    <row r="305" spans="1:32" x14ac:dyDescent="0.3">
      <c r="A305" s="7">
        <v>304</v>
      </c>
      <c r="B305" s="7" t="s">
        <v>68</v>
      </c>
      <c r="C305" s="7">
        <f t="shared" si="26"/>
        <v>0</v>
      </c>
      <c r="D305" s="7">
        <f t="shared" si="27"/>
        <v>1</v>
      </c>
      <c r="E305" s="7">
        <f t="shared" si="27"/>
        <v>0</v>
      </c>
      <c r="F305" s="7">
        <f t="shared" si="27"/>
        <v>0</v>
      </c>
      <c r="G305" s="7">
        <f t="shared" si="27"/>
        <v>0</v>
      </c>
      <c r="H305" s="7">
        <f t="shared" si="27"/>
        <v>0</v>
      </c>
      <c r="I305" s="8" t="s">
        <v>15</v>
      </c>
      <c r="J305" s="8" t="s">
        <v>43</v>
      </c>
      <c r="K305" s="8" t="str">
        <f>_xlfn.XLOOKUP(J305,Worksheet!$F$1:$F$48,Worksheet!$G$1:$G$48,0)</f>
        <v>Lack of awareness</v>
      </c>
      <c r="L305" s="8" t="s">
        <v>284</v>
      </c>
      <c r="M305" s="8" t="s">
        <v>30</v>
      </c>
      <c r="N305" s="8" t="s">
        <v>70</v>
      </c>
      <c r="O305" s="8">
        <v>5</v>
      </c>
      <c r="P305" s="8" t="s">
        <v>45</v>
      </c>
      <c r="Q305" s="8" t="s">
        <v>63</v>
      </c>
      <c r="R305" s="8" t="s">
        <v>285</v>
      </c>
      <c r="S305" s="8">
        <f t="shared" si="22"/>
        <v>1</v>
      </c>
      <c r="T305" s="8">
        <f t="shared" si="25"/>
        <v>1</v>
      </c>
      <c r="U305" s="8">
        <f t="shared" si="25"/>
        <v>1</v>
      </c>
      <c r="V305" s="8">
        <f t="shared" si="25"/>
        <v>1</v>
      </c>
      <c r="W305" s="8">
        <f t="shared" si="25"/>
        <v>1</v>
      </c>
      <c r="X305" s="8">
        <f t="shared" si="25"/>
        <v>0</v>
      </c>
      <c r="Y305" s="8">
        <f t="shared" si="25"/>
        <v>1</v>
      </c>
      <c r="Z305" s="8">
        <f t="shared" si="25"/>
        <v>0</v>
      </c>
      <c r="AA305" s="8">
        <f t="shared" si="25"/>
        <v>0</v>
      </c>
      <c r="AB305" s="8">
        <f t="shared" si="25"/>
        <v>0</v>
      </c>
      <c r="AC305" s="8" t="s">
        <v>25</v>
      </c>
      <c r="AD305" s="8" t="s">
        <v>23</v>
      </c>
      <c r="AE305" s="8" t="s">
        <v>54</v>
      </c>
      <c r="AF305" s="8" t="s">
        <v>48</v>
      </c>
    </row>
    <row r="306" spans="1:32" x14ac:dyDescent="0.3">
      <c r="A306" s="5">
        <v>305</v>
      </c>
      <c r="B306" s="5" t="s">
        <v>66</v>
      </c>
      <c r="C306" s="5">
        <f t="shared" si="26"/>
        <v>0</v>
      </c>
      <c r="D306" s="5">
        <f t="shared" si="27"/>
        <v>1</v>
      </c>
      <c r="E306" s="5">
        <f t="shared" si="27"/>
        <v>0</v>
      </c>
      <c r="F306" s="5">
        <f t="shared" si="27"/>
        <v>0</v>
      </c>
      <c r="G306" s="5">
        <f t="shared" si="27"/>
        <v>0</v>
      </c>
      <c r="H306" s="5">
        <f t="shared" si="27"/>
        <v>1</v>
      </c>
      <c r="I306" s="6" t="s">
        <v>15</v>
      </c>
      <c r="J306" s="6" t="s">
        <v>43</v>
      </c>
      <c r="K306" s="6" t="str">
        <f>_xlfn.XLOOKUP(J306,Worksheet!$F$1:$F$48,Worksheet!$G$1:$G$48,0)</f>
        <v>Lack of awareness</v>
      </c>
      <c r="L306" s="6" t="s">
        <v>50</v>
      </c>
      <c r="M306" s="6" t="s">
        <v>49</v>
      </c>
      <c r="N306" s="6" t="s">
        <v>70</v>
      </c>
      <c r="O306" s="6">
        <v>5</v>
      </c>
      <c r="P306" s="6" t="s">
        <v>45</v>
      </c>
      <c r="Q306" s="6" t="s">
        <v>46</v>
      </c>
      <c r="R306" s="6" t="s">
        <v>286</v>
      </c>
      <c r="S306" s="6">
        <f t="shared" si="22"/>
        <v>1</v>
      </c>
      <c r="T306" s="6">
        <f t="shared" si="25"/>
        <v>1</v>
      </c>
      <c r="U306" s="6">
        <f t="shared" si="25"/>
        <v>1</v>
      </c>
      <c r="V306" s="6">
        <f t="shared" si="25"/>
        <v>0</v>
      </c>
      <c r="W306" s="6">
        <f t="shared" si="25"/>
        <v>1</v>
      </c>
      <c r="X306" s="6">
        <f t="shared" si="25"/>
        <v>1</v>
      </c>
      <c r="Y306" s="6">
        <f t="shared" si="25"/>
        <v>0</v>
      </c>
      <c r="Z306" s="6">
        <f t="shared" si="25"/>
        <v>1</v>
      </c>
      <c r="AA306" s="6">
        <f t="shared" si="25"/>
        <v>0</v>
      </c>
      <c r="AB306" s="6">
        <f t="shared" si="25"/>
        <v>0</v>
      </c>
      <c r="AC306" s="6" t="s">
        <v>21</v>
      </c>
      <c r="AD306" s="6" t="s">
        <v>23</v>
      </c>
      <c r="AE306" s="6" t="s">
        <v>24</v>
      </c>
      <c r="AF306" s="6" t="s">
        <v>48</v>
      </c>
    </row>
    <row r="307" spans="1:32" x14ac:dyDescent="0.3">
      <c r="A307" s="7">
        <v>306</v>
      </c>
      <c r="B307" s="7" t="s">
        <v>75</v>
      </c>
      <c r="C307" s="7">
        <f t="shared" si="26"/>
        <v>1</v>
      </c>
      <c r="D307" s="7">
        <f t="shared" si="27"/>
        <v>1</v>
      </c>
      <c r="E307" s="7">
        <f t="shared" si="27"/>
        <v>0</v>
      </c>
      <c r="F307" s="7">
        <f t="shared" si="27"/>
        <v>0</v>
      </c>
      <c r="G307" s="7">
        <f t="shared" si="27"/>
        <v>0</v>
      </c>
      <c r="H307" s="7">
        <f t="shared" si="27"/>
        <v>1</v>
      </c>
      <c r="I307" s="8" t="s">
        <v>42</v>
      </c>
      <c r="J307" s="8" t="s">
        <v>16</v>
      </c>
      <c r="K307" s="8" t="str">
        <f>_xlfn.XLOOKUP(J307,Worksheet!$F$1:$F$48,Worksheet!$G$1:$G$48,0)</f>
        <v>Cost</v>
      </c>
      <c r="L307" s="8" t="s">
        <v>50</v>
      </c>
      <c r="M307" s="8" t="s">
        <v>18</v>
      </c>
      <c r="N307" s="8" t="s">
        <v>44</v>
      </c>
      <c r="O307" s="8">
        <v>5</v>
      </c>
      <c r="P307" s="8" t="s">
        <v>84</v>
      </c>
      <c r="Q307" s="8" t="s">
        <v>46</v>
      </c>
      <c r="R307" s="8" t="s">
        <v>56</v>
      </c>
      <c r="S307" s="8">
        <f t="shared" si="22"/>
        <v>1</v>
      </c>
      <c r="T307" s="8">
        <f t="shared" si="25"/>
        <v>0</v>
      </c>
      <c r="U307" s="8">
        <f t="shared" si="25"/>
        <v>0</v>
      </c>
      <c r="V307" s="8">
        <f t="shared" si="25"/>
        <v>0</v>
      </c>
      <c r="W307" s="8">
        <f t="shared" si="25"/>
        <v>0</v>
      </c>
      <c r="X307" s="8">
        <f t="shared" si="25"/>
        <v>0</v>
      </c>
      <c r="Y307" s="8">
        <f t="shared" si="25"/>
        <v>0</v>
      </c>
      <c r="Z307" s="8">
        <f t="shared" si="25"/>
        <v>0</v>
      </c>
      <c r="AA307" s="8">
        <f t="shared" si="25"/>
        <v>0</v>
      </c>
      <c r="AB307" s="8">
        <f t="shared" si="25"/>
        <v>0</v>
      </c>
      <c r="AC307" s="8" t="s">
        <v>25</v>
      </c>
      <c r="AD307" s="8" t="s">
        <v>23</v>
      </c>
      <c r="AE307" s="8" t="s">
        <v>24</v>
      </c>
      <c r="AF307" s="8" t="s">
        <v>25</v>
      </c>
    </row>
    <row r="308" spans="1:32" x14ac:dyDescent="0.3">
      <c r="A308" s="5">
        <v>307</v>
      </c>
      <c r="B308" s="5" t="s">
        <v>68</v>
      </c>
      <c r="C308" s="5">
        <f t="shared" si="26"/>
        <v>0</v>
      </c>
      <c r="D308" s="5">
        <f t="shared" si="27"/>
        <v>1</v>
      </c>
      <c r="E308" s="5">
        <f t="shared" si="27"/>
        <v>0</v>
      </c>
      <c r="F308" s="5">
        <f t="shared" si="27"/>
        <v>0</v>
      </c>
      <c r="G308" s="5">
        <f t="shared" si="27"/>
        <v>0</v>
      </c>
      <c r="H308" s="5">
        <f t="shared" si="27"/>
        <v>0</v>
      </c>
      <c r="I308" s="6" t="s">
        <v>27</v>
      </c>
      <c r="J308" s="6" t="s">
        <v>43</v>
      </c>
      <c r="K308" s="6" t="str">
        <f>_xlfn.XLOOKUP(J308,Worksheet!$F$1:$F$48,Worksheet!$G$1:$G$48,0)</f>
        <v>Lack of awareness</v>
      </c>
      <c r="L308" s="6" t="s">
        <v>50</v>
      </c>
      <c r="M308" s="6" t="s">
        <v>30</v>
      </c>
      <c r="N308" s="6" t="s">
        <v>44</v>
      </c>
      <c r="O308" s="6">
        <v>4</v>
      </c>
      <c r="P308" s="6" t="s">
        <v>72</v>
      </c>
      <c r="Q308" s="6" t="s">
        <v>63</v>
      </c>
      <c r="R308" s="6" t="s">
        <v>53</v>
      </c>
      <c r="S308" s="6">
        <f t="shared" si="22"/>
        <v>1</v>
      </c>
      <c r="T308" s="6">
        <f t="shared" si="25"/>
        <v>0</v>
      </c>
      <c r="U308" s="6">
        <f t="shared" si="25"/>
        <v>1</v>
      </c>
      <c r="V308" s="6">
        <f t="shared" si="25"/>
        <v>0</v>
      </c>
      <c r="W308" s="6">
        <f t="shared" si="25"/>
        <v>0</v>
      </c>
      <c r="X308" s="6">
        <f t="shared" si="25"/>
        <v>0</v>
      </c>
      <c r="Y308" s="6">
        <f t="shared" si="25"/>
        <v>1</v>
      </c>
      <c r="Z308" s="6">
        <f t="shared" si="25"/>
        <v>0</v>
      </c>
      <c r="AA308" s="6">
        <f t="shared" si="25"/>
        <v>0</v>
      </c>
      <c r="AB308" s="6">
        <f t="shared" si="25"/>
        <v>0</v>
      </c>
      <c r="AC308" s="6" t="s">
        <v>21</v>
      </c>
      <c r="AD308" s="6" t="s">
        <v>23</v>
      </c>
      <c r="AE308" s="6" t="s">
        <v>54</v>
      </c>
      <c r="AF308" s="6" t="s">
        <v>48</v>
      </c>
    </row>
    <row r="309" spans="1:32" x14ac:dyDescent="0.3">
      <c r="A309" s="7">
        <v>308</v>
      </c>
      <c r="B309" s="7" t="s">
        <v>26</v>
      </c>
      <c r="C309" s="7">
        <f t="shared" si="26"/>
        <v>0</v>
      </c>
      <c r="D309" s="7">
        <f t="shared" si="27"/>
        <v>1</v>
      </c>
      <c r="E309" s="7">
        <f t="shared" si="27"/>
        <v>0</v>
      </c>
      <c r="F309" s="7">
        <f t="shared" si="27"/>
        <v>0</v>
      </c>
      <c r="G309" s="7">
        <f t="shared" si="27"/>
        <v>1</v>
      </c>
      <c r="H309" s="7">
        <f t="shared" si="27"/>
        <v>0</v>
      </c>
      <c r="I309" s="8" t="s">
        <v>15</v>
      </c>
      <c r="J309" s="8" t="s">
        <v>43</v>
      </c>
      <c r="K309" s="8" t="str">
        <f>_xlfn.XLOOKUP(J309,Worksheet!$F$1:$F$48,Worksheet!$G$1:$G$48,0)</f>
        <v>Lack of awareness</v>
      </c>
      <c r="L309" s="8" t="s">
        <v>356</v>
      </c>
      <c r="M309" s="8" t="s">
        <v>15</v>
      </c>
      <c r="N309" s="8" t="s">
        <v>58</v>
      </c>
      <c r="O309" s="8">
        <v>2</v>
      </c>
      <c r="P309" s="8" t="s">
        <v>45</v>
      </c>
      <c r="Q309" s="8" t="s">
        <v>63</v>
      </c>
      <c r="R309" s="8" t="s">
        <v>131</v>
      </c>
      <c r="S309" s="8">
        <f t="shared" si="22"/>
        <v>0</v>
      </c>
      <c r="T309" s="8">
        <f t="shared" si="25"/>
        <v>0</v>
      </c>
      <c r="U309" s="8">
        <f t="shared" si="25"/>
        <v>0</v>
      </c>
      <c r="V309" s="8">
        <f t="shared" si="25"/>
        <v>0</v>
      </c>
      <c r="W309" s="8">
        <f t="shared" si="25"/>
        <v>0</v>
      </c>
      <c r="X309" s="8">
        <f t="shared" si="25"/>
        <v>1</v>
      </c>
      <c r="Y309" s="8">
        <f t="shared" si="25"/>
        <v>0</v>
      </c>
      <c r="Z309" s="8">
        <f t="shared" si="25"/>
        <v>0</v>
      </c>
      <c r="AA309" s="8">
        <f t="shared" si="25"/>
        <v>0</v>
      </c>
      <c r="AB309" s="8">
        <f t="shared" si="25"/>
        <v>0</v>
      </c>
      <c r="AC309" s="8" t="s">
        <v>21</v>
      </c>
      <c r="AD309" s="8" t="s">
        <v>40</v>
      </c>
      <c r="AE309" s="8" t="s">
        <v>24</v>
      </c>
      <c r="AF309" s="8" t="s">
        <v>48</v>
      </c>
    </row>
    <row r="310" spans="1:32" x14ac:dyDescent="0.3">
      <c r="A310" s="5">
        <v>309</v>
      </c>
      <c r="B310" s="5" t="s">
        <v>14</v>
      </c>
      <c r="C310" s="5">
        <f t="shared" si="26"/>
        <v>0</v>
      </c>
      <c r="D310" s="5">
        <f t="shared" si="27"/>
        <v>1</v>
      </c>
      <c r="E310" s="5">
        <f t="shared" si="27"/>
        <v>0</v>
      </c>
      <c r="F310" s="5">
        <f t="shared" si="27"/>
        <v>0</v>
      </c>
      <c r="G310" s="5">
        <f t="shared" si="27"/>
        <v>1</v>
      </c>
      <c r="H310" s="5">
        <f t="shared" si="27"/>
        <v>1</v>
      </c>
      <c r="I310" s="6" t="s">
        <v>42</v>
      </c>
      <c r="J310" s="6" t="s">
        <v>43</v>
      </c>
      <c r="K310" s="6" t="str">
        <f>_xlfn.XLOOKUP(J310,Worksheet!$F$1:$F$48,Worksheet!$G$1:$G$48,0)</f>
        <v>Lack of awareness</v>
      </c>
      <c r="L310" s="6" t="s">
        <v>29</v>
      </c>
      <c r="M310" s="6" t="s">
        <v>15</v>
      </c>
      <c r="N310" s="6" t="s">
        <v>58</v>
      </c>
      <c r="O310" s="6">
        <v>4</v>
      </c>
      <c r="P310" s="6" t="s">
        <v>45</v>
      </c>
      <c r="Q310" s="6" t="s">
        <v>46</v>
      </c>
      <c r="R310" s="6" t="s">
        <v>287</v>
      </c>
      <c r="S310" s="6">
        <f t="shared" si="22"/>
        <v>1</v>
      </c>
      <c r="T310" s="6">
        <f t="shared" si="25"/>
        <v>0</v>
      </c>
      <c r="U310" s="6">
        <f t="shared" si="25"/>
        <v>1</v>
      </c>
      <c r="V310" s="6">
        <f t="shared" si="25"/>
        <v>1</v>
      </c>
      <c r="W310" s="6">
        <f t="shared" si="25"/>
        <v>1</v>
      </c>
      <c r="X310" s="6">
        <f t="shared" si="25"/>
        <v>0</v>
      </c>
      <c r="Y310" s="6">
        <f t="shared" si="25"/>
        <v>1</v>
      </c>
      <c r="Z310" s="6">
        <f t="shared" si="25"/>
        <v>1</v>
      </c>
      <c r="AA310" s="6">
        <f t="shared" si="25"/>
        <v>0</v>
      </c>
      <c r="AB310" s="6">
        <f t="shared" si="25"/>
        <v>0</v>
      </c>
      <c r="AC310" s="6" t="s">
        <v>21</v>
      </c>
      <c r="AD310" s="6" t="s">
        <v>23</v>
      </c>
      <c r="AE310" s="6" t="s">
        <v>24</v>
      </c>
      <c r="AF310" s="6" t="s">
        <v>48</v>
      </c>
    </row>
    <row r="311" spans="1:32" x14ac:dyDescent="0.3">
      <c r="A311" s="7">
        <v>310</v>
      </c>
      <c r="B311" s="7" t="s">
        <v>41</v>
      </c>
      <c r="C311" s="7">
        <f t="shared" si="26"/>
        <v>0</v>
      </c>
      <c r="D311" s="7">
        <f t="shared" si="27"/>
        <v>0</v>
      </c>
      <c r="E311" s="7">
        <f t="shared" si="27"/>
        <v>0</v>
      </c>
      <c r="F311" s="7">
        <f t="shared" si="27"/>
        <v>0</v>
      </c>
      <c r="G311" s="7">
        <f t="shared" si="27"/>
        <v>1</v>
      </c>
      <c r="H311" s="7">
        <f t="shared" si="27"/>
        <v>0</v>
      </c>
      <c r="I311" s="8" t="s">
        <v>15</v>
      </c>
      <c r="J311" s="8" t="s">
        <v>43</v>
      </c>
      <c r="K311" s="8" t="str">
        <f>_xlfn.XLOOKUP(J311,Worksheet!$F$1:$F$48,Worksheet!$G$1:$G$48,0)</f>
        <v>Lack of awareness</v>
      </c>
      <c r="L311" s="8" t="s">
        <v>37</v>
      </c>
      <c r="M311" s="8" t="s">
        <v>18</v>
      </c>
      <c r="N311" s="8" t="s">
        <v>51</v>
      </c>
      <c r="O311" s="8">
        <v>2</v>
      </c>
      <c r="P311" s="8" t="s">
        <v>45</v>
      </c>
      <c r="Q311" s="8" t="s">
        <v>46</v>
      </c>
      <c r="R311" s="8" t="s">
        <v>56</v>
      </c>
      <c r="S311" s="8">
        <f t="shared" si="22"/>
        <v>1</v>
      </c>
      <c r="T311" s="8">
        <f t="shared" si="25"/>
        <v>0</v>
      </c>
      <c r="U311" s="8">
        <f t="shared" si="25"/>
        <v>0</v>
      </c>
      <c r="V311" s="8">
        <f t="shared" si="25"/>
        <v>0</v>
      </c>
      <c r="W311" s="8">
        <f t="shared" si="25"/>
        <v>0</v>
      </c>
      <c r="X311" s="8">
        <f t="shared" si="25"/>
        <v>0</v>
      </c>
      <c r="Y311" s="8">
        <f t="shared" si="25"/>
        <v>0</v>
      </c>
      <c r="Z311" s="8">
        <f t="shared" si="25"/>
        <v>0</v>
      </c>
      <c r="AA311" s="8">
        <f t="shared" si="25"/>
        <v>0</v>
      </c>
      <c r="AB311" s="8">
        <f t="shared" si="25"/>
        <v>0</v>
      </c>
      <c r="AC311" s="8" t="s">
        <v>21</v>
      </c>
      <c r="AD311" s="8" t="s">
        <v>40</v>
      </c>
      <c r="AE311" s="8" t="s">
        <v>24</v>
      </c>
      <c r="AF311" s="8" t="s">
        <v>21</v>
      </c>
    </row>
    <row r="312" spans="1:32" x14ac:dyDescent="0.3">
      <c r="A312" s="5">
        <v>311</v>
      </c>
      <c r="B312" s="5" t="s">
        <v>55</v>
      </c>
      <c r="C312" s="5">
        <f t="shared" si="26"/>
        <v>0</v>
      </c>
      <c r="D312" s="5">
        <f t="shared" si="27"/>
        <v>0</v>
      </c>
      <c r="E312" s="5">
        <f t="shared" si="27"/>
        <v>0</v>
      </c>
      <c r="F312" s="5">
        <f t="shared" si="27"/>
        <v>0</v>
      </c>
      <c r="G312" s="5">
        <f t="shared" si="27"/>
        <v>0</v>
      </c>
      <c r="H312" s="5">
        <f t="shared" si="27"/>
        <v>1</v>
      </c>
      <c r="I312" s="6" t="s">
        <v>15</v>
      </c>
      <c r="J312" s="6" t="s">
        <v>43</v>
      </c>
      <c r="K312" s="6" t="str">
        <f>_xlfn.XLOOKUP(J312,Worksheet!$F$1:$F$48,Worksheet!$G$1:$G$48,0)</f>
        <v>Lack of awareness</v>
      </c>
      <c r="L312" s="6" t="s">
        <v>17</v>
      </c>
      <c r="M312" s="6" t="s">
        <v>30</v>
      </c>
      <c r="N312" s="6" t="s">
        <v>51</v>
      </c>
      <c r="O312" s="6">
        <v>5</v>
      </c>
      <c r="P312" s="6" t="s">
        <v>45</v>
      </c>
      <c r="Q312" s="6" t="s">
        <v>46</v>
      </c>
      <c r="R312" s="6" t="s">
        <v>123</v>
      </c>
      <c r="S312" s="6">
        <f t="shared" si="22"/>
        <v>1</v>
      </c>
      <c r="T312" s="6">
        <f t="shared" si="25"/>
        <v>1</v>
      </c>
      <c r="U312" s="6">
        <f t="shared" si="25"/>
        <v>1</v>
      </c>
      <c r="V312" s="6">
        <f t="shared" si="25"/>
        <v>0</v>
      </c>
      <c r="W312" s="6">
        <f t="shared" si="25"/>
        <v>0</v>
      </c>
      <c r="X312" s="6">
        <f t="shared" si="25"/>
        <v>1</v>
      </c>
      <c r="Y312" s="6">
        <f t="shared" si="25"/>
        <v>1</v>
      </c>
      <c r="Z312" s="6">
        <f t="shared" si="25"/>
        <v>1</v>
      </c>
      <c r="AA312" s="6">
        <f t="shared" si="25"/>
        <v>0</v>
      </c>
      <c r="AB312" s="6">
        <f t="shared" si="25"/>
        <v>1</v>
      </c>
      <c r="AC312" s="6" t="s">
        <v>21</v>
      </c>
      <c r="AD312" s="6" t="s">
        <v>34</v>
      </c>
      <c r="AE312" s="6" t="s">
        <v>24</v>
      </c>
      <c r="AF312" s="6" t="s">
        <v>48</v>
      </c>
    </row>
    <row r="313" spans="1:32" x14ac:dyDescent="0.3">
      <c r="A313" s="7">
        <v>312</v>
      </c>
      <c r="B313" s="7" t="s">
        <v>68</v>
      </c>
      <c r="C313" s="7">
        <f t="shared" si="26"/>
        <v>0</v>
      </c>
      <c r="D313" s="7">
        <f t="shared" si="27"/>
        <v>1</v>
      </c>
      <c r="E313" s="7">
        <f t="shared" si="27"/>
        <v>0</v>
      </c>
      <c r="F313" s="7">
        <f t="shared" si="27"/>
        <v>0</v>
      </c>
      <c r="G313" s="7">
        <f t="shared" si="27"/>
        <v>0</v>
      </c>
      <c r="H313" s="7">
        <f t="shared" si="27"/>
        <v>0</v>
      </c>
      <c r="I313" s="8" t="s">
        <v>27</v>
      </c>
      <c r="J313" s="8" t="s">
        <v>43</v>
      </c>
      <c r="K313" s="8" t="str">
        <f>_xlfn.XLOOKUP(J313,Worksheet!$F$1:$F$48,Worksheet!$G$1:$G$48,0)</f>
        <v>Lack of awareness</v>
      </c>
      <c r="L313" s="8" t="s">
        <v>356</v>
      </c>
      <c r="M313" s="8" t="s">
        <v>30</v>
      </c>
      <c r="N313" s="8" t="s">
        <v>58</v>
      </c>
      <c r="O313" s="8">
        <v>5</v>
      </c>
      <c r="P313" s="8" t="s">
        <v>45</v>
      </c>
      <c r="Q313" s="8" t="s">
        <v>63</v>
      </c>
      <c r="R313" s="8" t="s">
        <v>157</v>
      </c>
      <c r="S313" s="8">
        <f t="shared" si="22"/>
        <v>0</v>
      </c>
      <c r="T313" s="8">
        <f t="shared" si="25"/>
        <v>0</v>
      </c>
      <c r="U313" s="8">
        <f t="shared" si="25"/>
        <v>0</v>
      </c>
      <c r="V313" s="8">
        <f t="shared" si="25"/>
        <v>0</v>
      </c>
      <c r="W313" s="8">
        <f t="shared" si="25"/>
        <v>0</v>
      </c>
      <c r="X313" s="8">
        <f t="shared" si="25"/>
        <v>0</v>
      </c>
      <c r="Y313" s="8">
        <f t="shared" si="25"/>
        <v>0</v>
      </c>
      <c r="Z313" s="8">
        <f t="shared" si="25"/>
        <v>1</v>
      </c>
      <c r="AA313" s="8">
        <f t="shared" si="25"/>
        <v>0</v>
      </c>
      <c r="AB313" s="8">
        <f t="shared" si="25"/>
        <v>0</v>
      </c>
      <c r="AC313" s="8" t="s">
        <v>21</v>
      </c>
      <c r="AD313" s="8" t="s">
        <v>23</v>
      </c>
      <c r="AE313" s="8" t="s">
        <v>24</v>
      </c>
      <c r="AF313" s="8" t="s">
        <v>82</v>
      </c>
    </row>
    <row r="314" spans="1:32" x14ac:dyDescent="0.3">
      <c r="A314" s="5">
        <v>313</v>
      </c>
      <c r="B314" s="5" t="s">
        <v>55</v>
      </c>
      <c r="C314" s="5">
        <f t="shared" si="26"/>
        <v>0</v>
      </c>
      <c r="D314" s="5">
        <f t="shared" si="27"/>
        <v>0</v>
      </c>
      <c r="E314" s="5">
        <f t="shared" si="27"/>
        <v>0</v>
      </c>
      <c r="F314" s="5">
        <f t="shared" si="27"/>
        <v>0</v>
      </c>
      <c r="G314" s="5">
        <f t="shared" si="27"/>
        <v>0</v>
      </c>
      <c r="H314" s="5">
        <f t="shared" si="27"/>
        <v>1</v>
      </c>
      <c r="I314" s="6" t="s">
        <v>49</v>
      </c>
      <c r="J314" s="6" t="s">
        <v>43</v>
      </c>
      <c r="K314" s="6" t="str">
        <f>_xlfn.XLOOKUP(J314,Worksheet!$F$1:$F$48,Worksheet!$G$1:$G$48,0)</f>
        <v>Lack of awareness</v>
      </c>
      <c r="L314" s="6" t="s">
        <v>50</v>
      </c>
      <c r="M314" s="6" t="s">
        <v>49</v>
      </c>
      <c r="N314" s="6" t="s">
        <v>51</v>
      </c>
      <c r="O314" s="6">
        <v>3</v>
      </c>
      <c r="P314" s="6" t="s">
        <v>45</v>
      </c>
      <c r="Q314" s="6" t="s">
        <v>46</v>
      </c>
      <c r="R314" s="6" t="s">
        <v>288</v>
      </c>
      <c r="S314" s="6">
        <f t="shared" si="22"/>
        <v>1</v>
      </c>
      <c r="T314" s="6">
        <f t="shared" si="25"/>
        <v>0</v>
      </c>
      <c r="U314" s="6">
        <f t="shared" si="25"/>
        <v>0</v>
      </c>
      <c r="V314" s="6">
        <f t="shared" si="25"/>
        <v>1</v>
      </c>
      <c r="W314" s="6">
        <f t="shared" si="25"/>
        <v>1</v>
      </c>
      <c r="X314" s="6">
        <f t="shared" si="25"/>
        <v>0</v>
      </c>
      <c r="Y314" s="6">
        <f t="shared" si="25"/>
        <v>1</v>
      </c>
      <c r="Z314" s="6">
        <f t="shared" si="25"/>
        <v>0</v>
      </c>
      <c r="AA314" s="6">
        <f t="shared" si="25"/>
        <v>0</v>
      </c>
      <c r="AB314" s="6">
        <f t="shared" si="25"/>
        <v>0</v>
      </c>
      <c r="AC314" s="6" t="s">
        <v>21</v>
      </c>
      <c r="AD314" s="6" t="s">
        <v>23</v>
      </c>
      <c r="AE314" s="6" t="s">
        <v>24</v>
      </c>
      <c r="AF314" s="6" t="s">
        <v>25</v>
      </c>
    </row>
    <row r="315" spans="1:32" x14ac:dyDescent="0.3">
      <c r="A315" s="7">
        <v>314</v>
      </c>
      <c r="B315" s="7" t="s">
        <v>340</v>
      </c>
      <c r="C315" s="7">
        <f t="shared" si="26"/>
        <v>0</v>
      </c>
      <c r="D315" s="7">
        <f t="shared" si="27"/>
        <v>0</v>
      </c>
      <c r="E315" s="7">
        <f t="shared" si="27"/>
        <v>1</v>
      </c>
      <c r="F315" s="7">
        <f t="shared" si="27"/>
        <v>0</v>
      </c>
      <c r="G315" s="7">
        <f t="shared" si="27"/>
        <v>0</v>
      </c>
      <c r="H315" s="7">
        <f t="shared" si="27"/>
        <v>0</v>
      </c>
      <c r="I315" s="8" t="s">
        <v>49</v>
      </c>
      <c r="J315" s="8" t="s">
        <v>43</v>
      </c>
      <c r="K315" s="8" t="str">
        <f>_xlfn.XLOOKUP(J315,Worksheet!$F$1:$F$48,Worksheet!$G$1:$G$48,0)</f>
        <v>Lack of awareness</v>
      </c>
      <c r="L315" s="8" t="s">
        <v>50</v>
      </c>
      <c r="M315" s="8" t="s">
        <v>15</v>
      </c>
      <c r="N315" s="8" t="s">
        <v>51</v>
      </c>
      <c r="O315" s="8">
        <v>3</v>
      </c>
      <c r="P315" s="8" t="s">
        <v>45</v>
      </c>
      <c r="Q315" s="8" t="s">
        <v>63</v>
      </c>
      <c r="R315" s="8" t="s">
        <v>289</v>
      </c>
      <c r="S315" s="8">
        <f t="shared" ref="S315:S378" si="28">IFERROR(IF(SEARCH(S$1,$R315)&gt;0,1,0),0)</f>
        <v>0</v>
      </c>
      <c r="T315" s="8">
        <f t="shared" si="25"/>
        <v>0</v>
      </c>
      <c r="U315" s="8">
        <f t="shared" si="25"/>
        <v>0</v>
      </c>
      <c r="V315" s="8">
        <f t="shared" si="25"/>
        <v>1</v>
      </c>
      <c r="W315" s="8">
        <f t="shared" si="25"/>
        <v>0</v>
      </c>
      <c r="X315" s="8">
        <f t="shared" si="25"/>
        <v>1</v>
      </c>
      <c r="Y315" s="8">
        <f t="shared" si="25"/>
        <v>0</v>
      </c>
      <c r="Z315" s="8">
        <f t="shared" si="25"/>
        <v>0</v>
      </c>
      <c r="AA315" s="8">
        <f t="shared" si="25"/>
        <v>0</v>
      </c>
      <c r="AB315" s="8">
        <f t="shared" si="25"/>
        <v>1</v>
      </c>
      <c r="AC315" s="8" t="s">
        <v>25</v>
      </c>
      <c r="AD315" s="8" t="s">
        <v>23</v>
      </c>
      <c r="AE315" s="8" t="s">
        <v>24</v>
      </c>
      <c r="AF315" s="8" t="s">
        <v>48</v>
      </c>
    </row>
    <row r="316" spans="1:32" x14ac:dyDescent="0.3">
      <c r="A316" s="5">
        <v>315</v>
      </c>
      <c r="B316" s="5" t="s">
        <v>55</v>
      </c>
      <c r="C316" s="5">
        <f t="shared" si="26"/>
        <v>0</v>
      </c>
      <c r="D316" s="5">
        <f t="shared" si="27"/>
        <v>0</v>
      </c>
      <c r="E316" s="5">
        <f t="shared" si="27"/>
        <v>0</v>
      </c>
      <c r="F316" s="5">
        <f t="shared" si="27"/>
        <v>0</v>
      </c>
      <c r="G316" s="5">
        <f t="shared" si="27"/>
        <v>0</v>
      </c>
      <c r="H316" s="5">
        <f t="shared" si="27"/>
        <v>1</v>
      </c>
      <c r="I316" s="6" t="s">
        <v>15</v>
      </c>
      <c r="J316" s="6" t="s">
        <v>124</v>
      </c>
      <c r="K316" s="6" t="str">
        <f>_xlfn.XLOOKUP(J316,Worksheet!$F$1:$F$48,Worksheet!$G$1:$G$48,0)</f>
        <v>Fear</v>
      </c>
      <c r="L316" s="6" t="s">
        <v>356</v>
      </c>
      <c r="M316" s="6" t="s">
        <v>15</v>
      </c>
      <c r="N316" s="6" t="s">
        <v>51</v>
      </c>
      <c r="O316" s="6">
        <v>4</v>
      </c>
      <c r="P316" s="6" t="s">
        <v>59</v>
      </c>
      <c r="Q316" s="6" t="s">
        <v>63</v>
      </c>
      <c r="R316" s="6" t="s">
        <v>190</v>
      </c>
      <c r="S316" s="6">
        <f t="shared" si="28"/>
        <v>0</v>
      </c>
      <c r="T316" s="6">
        <f t="shared" si="25"/>
        <v>0</v>
      </c>
      <c r="U316" s="6">
        <f t="shared" si="25"/>
        <v>1</v>
      </c>
      <c r="V316" s="6">
        <f t="shared" si="25"/>
        <v>1</v>
      </c>
      <c r="W316" s="6">
        <f t="shared" si="25"/>
        <v>0</v>
      </c>
      <c r="X316" s="6">
        <f t="shared" si="25"/>
        <v>0</v>
      </c>
      <c r="Y316" s="6">
        <f t="shared" si="25"/>
        <v>0</v>
      </c>
      <c r="Z316" s="6">
        <f t="shared" si="25"/>
        <v>0</v>
      </c>
      <c r="AA316" s="6">
        <f t="shared" si="25"/>
        <v>0</v>
      </c>
      <c r="AB316" s="6">
        <f t="shared" si="25"/>
        <v>0</v>
      </c>
      <c r="AC316" s="6" t="s">
        <v>21</v>
      </c>
      <c r="AD316" s="6" t="s">
        <v>23</v>
      </c>
      <c r="AE316" s="6" t="s">
        <v>24</v>
      </c>
      <c r="AF316" s="6" t="s">
        <v>21</v>
      </c>
    </row>
    <row r="317" spans="1:32" x14ac:dyDescent="0.3">
      <c r="A317" s="7">
        <v>316</v>
      </c>
      <c r="B317" s="7" t="s">
        <v>290</v>
      </c>
      <c r="C317" s="7">
        <f t="shared" si="26"/>
        <v>1</v>
      </c>
      <c r="D317" s="7">
        <f t="shared" si="27"/>
        <v>0</v>
      </c>
      <c r="E317" s="7">
        <f t="shared" si="27"/>
        <v>0</v>
      </c>
      <c r="F317" s="7">
        <f t="shared" si="27"/>
        <v>0</v>
      </c>
      <c r="G317" s="7">
        <f t="shared" si="27"/>
        <v>0</v>
      </c>
      <c r="H317" s="7">
        <f t="shared" si="27"/>
        <v>0</v>
      </c>
      <c r="I317" s="8" t="s">
        <v>42</v>
      </c>
      <c r="J317" s="8" t="s">
        <v>83</v>
      </c>
      <c r="K317" s="8" t="str">
        <f>_xlfn.XLOOKUP(J317,Worksheet!$F$1:$F$48,Worksheet!$G$1:$G$48,0)</f>
        <v>Fear</v>
      </c>
      <c r="L317" s="8" t="s">
        <v>50</v>
      </c>
      <c r="M317" s="8" t="s">
        <v>30</v>
      </c>
      <c r="N317" s="8" t="s">
        <v>58</v>
      </c>
      <c r="O317" s="8">
        <v>5</v>
      </c>
      <c r="P317" s="8" t="s">
        <v>72</v>
      </c>
      <c r="Q317" s="8" t="s">
        <v>63</v>
      </c>
      <c r="R317" s="8" t="s">
        <v>291</v>
      </c>
      <c r="S317" s="8">
        <f t="shared" si="28"/>
        <v>0</v>
      </c>
      <c r="T317" s="8">
        <f t="shared" si="25"/>
        <v>0</v>
      </c>
      <c r="U317" s="8">
        <f t="shared" si="25"/>
        <v>1</v>
      </c>
      <c r="V317" s="8">
        <f t="shared" si="25"/>
        <v>1</v>
      </c>
      <c r="W317" s="8">
        <f t="shared" si="25"/>
        <v>0</v>
      </c>
      <c r="X317" s="8">
        <f t="shared" si="25"/>
        <v>0</v>
      </c>
      <c r="Y317" s="8">
        <f t="shared" si="25"/>
        <v>1</v>
      </c>
      <c r="Z317" s="8">
        <f t="shared" si="25"/>
        <v>0</v>
      </c>
      <c r="AA317" s="8">
        <f t="shared" si="25"/>
        <v>0</v>
      </c>
      <c r="AB317" s="8">
        <f t="shared" si="25"/>
        <v>0</v>
      </c>
      <c r="AC317" s="8" t="s">
        <v>21</v>
      </c>
      <c r="AD317" s="8" t="s">
        <v>23</v>
      </c>
      <c r="AE317" s="8" t="s">
        <v>136</v>
      </c>
      <c r="AF317" s="8" t="s">
        <v>48</v>
      </c>
    </row>
    <row r="318" spans="1:32" x14ac:dyDescent="0.3">
      <c r="A318" s="5">
        <v>317</v>
      </c>
      <c r="B318" s="5" t="s">
        <v>68</v>
      </c>
      <c r="C318" s="5">
        <f t="shared" si="26"/>
        <v>0</v>
      </c>
      <c r="D318" s="5">
        <f t="shared" si="27"/>
        <v>1</v>
      </c>
      <c r="E318" s="5">
        <f t="shared" si="27"/>
        <v>0</v>
      </c>
      <c r="F318" s="5">
        <f t="shared" si="27"/>
        <v>0</v>
      </c>
      <c r="G318" s="5">
        <f t="shared" si="27"/>
        <v>0</v>
      </c>
      <c r="H318" s="5">
        <f t="shared" si="27"/>
        <v>0</v>
      </c>
      <c r="I318" s="6" t="s">
        <v>15</v>
      </c>
      <c r="J318" s="6" t="s">
        <v>43</v>
      </c>
      <c r="K318" s="6" t="str">
        <f>_xlfn.XLOOKUP(J318,Worksheet!$F$1:$F$48,Worksheet!$G$1:$G$48,0)</f>
        <v>Lack of awareness</v>
      </c>
      <c r="L318" s="6" t="s">
        <v>50</v>
      </c>
      <c r="M318" s="6" t="s">
        <v>49</v>
      </c>
      <c r="N318" s="6" t="s">
        <v>58</v>
      </c>
      <c r="O318" s="6">
        <v>5</v>
      </c>
      <c r="P318" s="6" t="s">
        <v>45</v>
      </c>
      <c r="Q318" s="6" t="s">
        <v>46</v>
      </c>
      <c r="R318" s="6" t="s">
        <v>96</v>
      </c>
      <c r="S318" s="6">
        <f t="shared" si="28"/>
        <v>0</v>
      </c>
      <c r="T318" s="6">
        <f t="shared" si="25"/>
        <v>0</v>
      </c>
      <c r="U318" s="6">
        <f t="shared" si="25"/>
        <v>0</v>
      </c>
      <c r="V318" s="6">
        <f t="shared" si="25"/>
        <v>1</v>
      </c>
      <c r="W318" s="6">
        <f t="shared" si="25"/>
        <v>0</v>
      </c>
      <c r="X318" s="6">
        <f t="shared" si="25"/>
        <v>0</v>
      </c>
      <c r="Y318" s="6">
        <f t="shared" si="25"/>
        <v>0</v>
      </c>
      <c r="Z318" s="6">
        <f t="shared" si="25"/>
        <v>0</v>
      </c>
      <c r="AA318" s="6">
        <f t="shared" si="25"/>
        <v>0</v>
      </c>
      <c r="AB318" s="6">
        <f t="shared" si="25"/>
        <v>0</v>
      </c>
      <c r="AC318" s="6" t="s">
        <v>21</v>
      </c>
      <c r="AD318" s="6" t="s">
        <v>23</v>
      </c>
      <c r="AE318" s="6" t="s">
        <v>24</v>
      </c>
      <c r="AF318" s="6" t="s">
        <v>48</v>
      </c>
    </row>
    <row r="319" spans="1:32" x14ac:dyDescent="0.3">
      <c r="A319" s="7">
        <v>318</v>
      </c>
      <c r="B319" s="7" t="s">
        <v>66</v>
      </c>
      <c r="C319" s="7">
        <f t="shared" si="26"/>
        <v>0</v>
      </c>
      <c r="D319" s="7">
        <f t="shared" si="27"/>
        <v>1</v>
      </c>
      <c r="E319" s="7">
        <f t="shared" si="27"/>
        <v>0</v>
      </c>
      <c r="F319" s="7">
        <f t="shared" si="27"/>
        <v>0</v>
      </c>
      <c r="G319" s="7">
        <f t="shared" si="27"/>
        <v>0</v>
      </c>
      <c r="H319" s="7">
        <f t="shared" si="27"/>
        <v>1</v>
      </c>
      <c r="I319" s="8" t="s">
        <v>15</v>
      </c>
      <c r="J319" s="8" t="s">
        <v>43</v>
      </c>
      <c r="K319" s="8" t="str">
        <f>_xlfn.XLOOKUP(J319,Worksheet!$F$1:$F$48,Worksheet!$G$1:$G$48,0)</f>
        <v>Lack of awareness</v>
      </c>
      <c r="L319" s="8" t="s">
        <v>50</v>
      </c>
      <c r="M319" s="8" t="s">
        <v>30</v>
      </c>
      <c r="N319" s="8" t="s">
        <v>58</v>
      </c>
      <c r="O319" s="8">
        <v>1</v>
      </c>
      <c r="P319" s="8" t="s">
        <v>45</v>
      </c>
      <c r="Q319" s="8" t="s">
        <v>46</v>
      </c>
      <c r="R319" s="8" t="s">
        <v>292</v>
      </c>
      <c r="S319" s="8">
        <f t="shared" si="28"/>
        <v>0</v>
      </c>
      <c r="T319" s="8">
        <f t="shared" si="25"/>
        <v>0</v>
      </c>
      <c r="U319" s="8">
        <f t="shared" si="25"/>
        <v>0</v>
      </c>
      <c r="V319" s="8">
        <f t="shared" si="25"/>
        <v>1</v>
      </c>
      <c r="W319" s="8">
        <f t="shared" si="25"/>
        <v>0</v>
      </c>
      <c r="X319" s="8">
        <f t="shared" si="25"/>
        <v>0</v>
      </c>
      <c r="Y319" s="8">
        <f t="shared" si="25"/>
        <v>0</v>
      </c>
      <c r="Z319" s="8">
        <f t="shared" si="25"/>
        <v>1</v>
      </c>
      <c r="AA319" s="8">
        <f t="shared" si="25"/>
        <v>0</v>
      </c>
      <c r="AB319" s="8">
        <f t="shared" si="25"/>
        <v>0</v>
      </c>
      <c r="AC319" s="8" t="s">
        <v>21</v>
      </c>
      <c r="AD319" s="8" t="s">
        <v>23</v>
      </c>
      <c r="AE319" s="8" t="s">
        <v>24</v>
      </c>
      <c r="AF319" s="8" t="s">
        <v>25</v>
      </c>
    </row>
    <row r="320" spans="1:32" x14ac:dyDescent="0.3">
      <c r="A320" s="5">
        <v>319</v>
      </c>
      <c r="B320" s="5" t="s">
        <v>100</v>
      </c>
      <c r="C320" s="5">
        <f t="shared" si="26"/>
        <v>1</v>
      </c>
      <c r="D320" s="5">
        <f t="shared" si="27"/>
        <v>0</v>
      </c>
      <c r="E320" s="5">
        <f t="shared" si="27"/>
        <v>0</v>
      </c>
      <c r="F320" s="5">
        <f t="shared" si="27"/>
        <v>0</v>
      </c>
      <c r="G320" s="5">
        <f t="shared" si="27"/>
        <v>0</v>
      </c>
      <c r="H320" s="5">
        <f t="shared" si="27"/>
        <v>0</v>
      </c>
      <c r="I320" s="6" t="s">
        <v>15</v>
      </c>
      <c r="J320" s="6" t="s">
        <v>43</v>
      </c>
      <c r="K320" s="6" t="str">
        <f>_xlfn.XLOOKUP(J320,Worksheet!$F$1:$F$48,Worksheet!$G$1:$G$48,0)</f>
        <v>Lack of awareness</v>
      </c>
      <c r="L320" s="6" t="s">
        <v>50</v>
      </c>
      <c r="M320" s="6" t="s">
        <v>49</v>
      </c>
      <c r="N320" s="6" t="s">
        <v>44</v>
      </c>
      <c r="O320" s="6">
        <v>4</v>
      </c>
      <c r="P320" s="6" t="s">
        <v>45</v>
      </c>
      <c r="Q320" s="6" t="s">
        <v>46</v>
      </c>
      <c r="R320" s="6" t="s">
        <v>293</v>
      </c>
      <c r="S320" s="6">
        <f t="shared" si="28"/>
        <v>0</v>
      </c>
      <c r="T320" s="6">
        <f t="shared" si="25"/>
        <v>0</v>
      </c>
      <c r="U320" s="6">
        <f t="shared" si="25"/>
        <v>0</v>
      </c>
      <c r="V320" s="6">
        <f t="shared" si="25"/>
        <v>1</v>
      </c>
      <c r="W320" s="6">
        <f t="shared" si="25"/>
        <v>0</v>
      </c>
      <c r="X320" s="6">
        <f t="shared" si="25"/>
        <v>0</v>
      </c>
      <c r="Y320" s="6">
        <f t="shared" si="25"/>
        <v>1</v>
      </c>
      <c r="Z320" s="6">
        <f t="shared" si="25"/>
        <v>1</v>
      </c>
      <c r="AA320" s="6">
        <f t="shared" ref="T320:AB349" si="29">IFERROR(IF(SEARCH(AA$1,$R320)&gt;0,1,0),0)</f>
        <v>0</v>
      </c>
      <c r="AB320" s="6">
        <f t="shared" si="29"/>
        <v>0</v>
      </c>
      <c r="AC320" s="6" t="s">
        <v>21</v>
      </c>
      <c r="AD320" s="6" t="s">
        <v>23</v>
      </c>
      <c r="AE320" s="6" t="s">
        <v>24</v>
      </c>
      <c r="AF320" s="6" t="s">
        <v>25</v>
      </c>
    </row>
    <row r="321" spans="1:32" x14ac:dyDescent="0.3">
      <c r="A321" s="7">
        <v>320</v>
      </c>
      <c r="B321" s="7" t="s">
        <v>66</v>
      </c>
      <c r="C321" s="7">
        <f t="shared" si="26"/>
        <v>0</v>
      </c>
      <c r="D321" s="7">
        <f t="shared" si="27"/>
        <v>1</v>
      </c>
      <c r="E321" s="7">
        <f t="shared" si="27"/>
        <v>0</v>
      </c>
      <c r="F321" s="7">
        <f t="shared" si="27"/>
        <v>0</v>
      </c>
      <c r="G321" s="7">
        <f t="shared" si="27"/>
        <v>0</v>
      </c>
      <c r="H321" s="7">
        <f t="shared" si="27"/>
        <v>1</v>
      </c>
      <c r="I321" s="8" t="s">
        <v>49</v>
      </c>
      <c r="J321" s="8" t="s">
        <v>16</v>
      </c>
      <c r="K321" s="8" t="str">
        <f>_xlfn.XLOOKUP(J321,Worksheet!$F$1:$F$48,Worksheet!$G$1:$G$48,0)</f>
        <v>Cost</v>
      </c>
      <c r="L321" s="8" t="s">
        <v>50</v>
      </c>
      <c r="M321" s="8" t="s">
        <v>49</v>
      </c>
      <c r="N321" s="8" t="s">
        <v>58</v>
      </c>
      <c r="O321" s="8">
        <v>4</v>
      </c>
      <c r="P321" s="8" t="s">
        <v>45</v>
      </c>
      <c r="Q321" s="8" t="s">
        <v>63</v>
      </c>
      <c r="R321" s="8" t="s">
        <v>56</v>
      </c>
      <c r="S321" s="8">
        <f t="shared" si="28"/>
        <v>1</v>
      </c>
      <c r="T321" s="8">
        <f t="shared" si="29"/>
        <v>0</v>
      </c>
      <c r="U321" s="8">
        <f t="shared" si="29"/>
        <v>0</v>
      </c>
      <c r="V321" s="8">
        <f t="shared" si="29"/>
        <v>0</v>
      </c>
      <c r="W321" s="8">
        <f t="shared" si="29"/>
        <v>0</v>
      </c>
      <c r="X321" s="8">
        <f t="shared" si="29"/>
        <v>0</v>
      </c>
      <c r="Y321" s="8">
        <f t="shared" si="29"/>
        <v>0</v>
      </c>
      <c r="Z321" s="8">
        <f t="shared" si="29"/>
        <v>0</v>
      </c>
      <c r="AA321" s="8">
        <f t="shared" si="29"/>
        <v>0</v>
      </c>
      <c r="AB321" s="8">
        <f t="shared" si="29"/>
        <v>0</v>
      </c>
      <c r="AC321" s="8" t="s">
        <v>25</v>
      </c>
      <c r="AD321" s="8" t="s">
        <v>23</v>
      </c>
      <c r="AE321" s="8" t="s">
        <v>24</v>
      </c>
      <c r="AF321" s="8" t="s">
        <v>21</v>
      </c>
    </row>
    <row r="322" spans="1:32" x14ac:dyDescent="0.3">
      <c r="A322" s="5">
        <v>321</v>
      </c>
      <c r="B322" s="5" t="s">
        <v>339</v>
      </c>
      <c r="C322" s="5">
        <f t="shared" si="26"/>
        <v>1</v>
      </c>
      <c r="D322" s="5">
        <f t="shared" si="27"/>
        <v>1</v>
      </c>
      <c r="E322" s="5">
        <f t="shared" si="27"/>
        <v>1</v>
      </c>
      <c r="F322" s="5">
        <f t="shared" si="27"/>
        <v>0</v>
      </c>
      <c r="G322" s="5">
        <f t="shared" si="27"/>
        <v>1</v>
      </c>
      <c r="H322" s="5">
        <f t="shared" si="27"/>
        <v>1</v>
      </c>
      <c r="I322" s="6" t="s">
        <v>42</v>
      </c>
      <c r="J322" s="6" t="s">
        <v>36</v>
      </c>
      <c r="K322" s="6" t="str">
        <f>_xlfn.XLOOKUP(J322,Worksheet!$F$1:$F$48,Worksheet!$G$1:$G$48,0)</f>
        <v>Shame</v>
      </c>
      <c r="L322" s="6" t="s">
        <v>37</v>
      </c>
      <c r="M322" s="6" t="s">
        <v>30</v>
      </c>
      <c r="N322" s="6" t="s">
        <v>70</v>
      </c>
      <c r="O322" s="6">
        <v>3</v>
      </c>
      <c r="P322" s="6" t="s">
        <v>59</v>
      </c>
      <c r="Q322" s="6" t="s">
        <v>46</v>
      </c>
      <c r="R322" s="6" t="s">
        <v>60</v>
      </c>
      <c r="S322" s="6">
        <f t="shared" si="28"/>
        <v>1</v>
      </c>
      <c r="T322" s="6">
        <f t="shared" si="29"/>
        <v>0</v>
      </c>
      <c r="U322" s="6">
        <f t="shared" si="29"/>
        <v>1</v>
      </c>
      <c r="V322" s="6">
        <f t="shared" si="29"/>
        <v>0</v>
      </c>
      <c r="W322" s="6">
        <f t="shared" si="29"/>
        <v>0</v>
      </c>
      <c r="X322" s="6">
        <f t="shared" si="29"/>
        <v>0</v>
      </c>
      <c r="Y322" s="6">
        <f t="shared" si="29"/>
        <v>0</v>
      </c>
      <c r="Z322" s="6">
        <f t="shared" si="29"/>
        <v>0</v>
      </c>
      <c r="AA322" s="6">
        <f t="shared" si="29"/>
        <v>0</v>
      </c>
      <c r="AB322" s="6">
        <f t="shared" si="29"/>
        <v>0</v>
      </c>
      <c r="AC322" s="6" t="s">
        <v>21</v>
      </c>
      <c r="AD322" s="6" t="s">
        <v>40</v>
      </c>
      <c r="AE322" s="6" t="s">
        <v>24</v>
      </c>
      <c r="AF322" s="6" t="s">
        <v>48</v>
      </c>
    </row>
    <row r="323" spans="1:32" x14ac:dyDescent="0.3">
      <c r="A323" s="7">
        <v>322</v>
      </c>
      <c r="B323" s="7" t="s">
        <v>75</v>
      </c>
      <c r="C323" s="7">
        <f t="shared" si="26"/>
        <v>1</v>
      </c>
      <c r="D323" s="7">
        <f t="shared" si="27"/>
        <v>1</v>
      </c>
      <c r="E323" s="7">
        <f t="shared" si="27"/>
        <v>0</v>
      </c>
      <c r="F323" s="7">
        <f t="shared" si="27"/>
        <v>0</v>
      </c>
      <c r="G323" s="7">
        <f t="shared" si="27"/>
        <v>0</v>
      </c>
      <c r="H323" s="7">
        <f t="shared" si="27"/>
        <v>1</v>
      </c>
      <c r="I323" s="8" t="s">
        <v>49</v>
      </c>
      <c r="J323" s="8" t="s">
        <v>294</v>
      </c>
      <c r="K323" s="8" t="str">
        <f>_xlfn.XLOOKUP(J323,Worksheet!$F$1:$F$48,Worksheet!$G$1:$G$48,0)</f>
        <v>No need</v>
      </c>
      <c r="L323" s="8" t="s">
        <v>50</v>
      </c>
      <c r="M323" s="8" t="s">
        <v>49</v>
      </c>
      <c r="N323" s="8" t="s">
        <v>51</v>
      </c>
      <c r="O323" s="8">
        <v>5</v>
      </c>
      <c r="P323" s="8" t="s">
        <v>45</v>
      </c>
      <c r="Q323" s="8" t="s">
        <v>63</v>
      </c>
      <c r="R323" s="8" t="s">
        <v>295</v>
      </c>
      <c r="S323" s="8">
        <f t="shared" si="28"/>
        <v>1</v>
      </c>
      <c r="T323" s="8">
        <f t="shared" si="29"/>
        <v>1</v>
      </c>
      <c r="U323" s="8">
        <f t="shared" si="29"/>
        <v>0</v>
      </c>
      <c r="V323" s="8">
        <f t="shared" si="29"/>
        <v>1</v>
      </c>
      <c r="W323" s="8">
        <f t="shared" si="29"/>
        <v>0</v>
      </c>
      <c r="X323" s="8">
        <f t="shared" si="29"/>
        <v>1</v>
      </c>
      <c r="Y323" s="8">
        <f t="shared" si="29"/>
        <v>1</v>
      </c>
      <c r="Z323" s="8">
        <f t="shared" si="29"/>
        <v>0</v>
      </c>
      <c r="AA323" s="8">
        <f t="shared" si="29"/>
        <v>0</v>
      </c>
      <c r="AB323" s="8">
        <f t="shared" si="29"/>
        <v>1</v>
      </c>
      <c r="AC323" s="8" t="s">
        <v>25</v>
      </c>
      <c r="AD323" s="8" t="s">
        <v>23</v>
      </c>
      <c r="AE323" s="8" t="s">
        <v>54</v>
      </c>
      <c r="AF323" s="8" t="s">
        <v>25</v>
      </c>
    </row>
    <row r="324" spans="1:32" x14ac:dyDescent="0.3">
      <c r="A324" s="5">
        <v>323</v>
      </c>
      <c r="B324" s="5" t="s">
        <v>68</v>
      </c>
      <c r="C324" s="5">
        <f t="shared" si="26"/>
        <v>0</v>
      </c>
      <c r="D324" s="5">
        <f t="shared" si="27"/>
        <v>1</v>
      </c>
      <c r="E324" s="5">
        <f t="shared" si="27"/>
        <v>0</v>
      </c>
      <c r="F324" s="5">
        <f t="shared" si="27"/>
        <v>0</v>
      </c>
      <c r="G324" s="5">
        <f t="shared" si="27"/>
        <v>0</v>
      </c>
      <c r="H324" s="5">
        <f t="shared" si="27"/>
        <v>0</v>
      </c>
      <c r="I324" s="6" t="s">
        <v>49</v>
      </c>
      <c r="J324" s="6" t="s">
        <v>43</v>
      </c>
      <c r="K324" s="6" t="str">
        <f>_xlfn.XLOOKUP(J324,Worksheet!$F$1:$F$48,Worksheet!$G$1:$G$48,0)</f>
        <v>Lack of awareness</v>
      </c>
      <c r="L324" s="6" t="s">
        <v>50</v>
      </c>
      <c r="M324" s="6" t="s">
        <v>49</v>
      </c>
      <c r="N324" s="6" t="s">
        <v>44</v>
      </c>
      <c r="O324" s="6">
        <v>5</v>
      </c>
      <c r="P324" s="6" t="s">
        <v>45</v>
      </c>
      <c r="Q324" s="6" t="s">
        <v>52</v>
      </c>
      <c r="R324" s="6" t="s">
        <v>56</v>
      </c>
      <c r="S324" s="6">
        <f t="shared" si="28"/>
        <v>1</v>
      </c>
      <c r="T324" s="6">
        <f t="shared" si="29"/>
        <v>0</v>
      </c>
      <c r="U324" s="6">
        <f t="shared" si="29"/>
        <v>0</v>
      </c>
      <c r="V324" s="6">
        <f t="shared" si="29"/>
        <v>0</v>
      </c>
      <c r="W324" s="6">
        <f t="shared" si="29"/>
        <v>0</v>
      </c>
      <c r="X324" s="6">
        <f t="shared" si="29"/>
        <v>0</v>
      </c>
      <c r="Y324" s="6">
        <f t="shared" si="29"/>
        <v>0</v>
      </c>
      <c r="Z324" s="6">
        <f t="shared" si="29"/>
        <v>0</v>
      </c>
      <c r="AA324" s="6">
        <f t="shared" si="29"/>
        <v>0</v>
      </c>
      <c r="AB324" s="6">
        <f t="shared" si="29"/>
        <v>0</v>
      </c>
      <c r="AC324" s="6" t="s">
        <v>21</v>
      </c>
      <c r="AD324" s="6" t="s">
        <v>34</v>
      </c>
      <c r="AE324" s="6" t="s">
        <v>88</v>
      </c>
      <c r="AF324" s="6" t="s">
        <v>25</v>
      </c>
    </row>
    <row r="325" spans="1:32" x14ac:dyDescent="0.3">
      <c r="A325" s="7">
        <v>324</v>
      </c>
      <c r="B325" s="7" t="s">
        <v>26</v>
      </c>
      <c r="C325" s="7">
        <f t="shared" si="26"/>
        <v>0</v>
      </c>
      <c r="D325" s="7">
        <f t="shared" si="27"/>
        <v>1</v>
      </c>
      <c r="E325" s="7">
        <f t="shared" si="27"/>
        <v>0</v>
      </c>
      <c r="F325" s="7">
        <f t="shared" si="27"/>
        <v>0</v>
      </c>
      <c r="G325" s="7">
        <f t="shared" si="27"/>
        <v>1</v>
      </c>
      <c r="H325" s="7">
        <f t="shared" si="27"/>
        <v>0</v>
      </c>
      <c r="I325" s="8" t="s">
        <v>49</v>
      </c>
      <c r="J325" s="8" t="s">
        <v>43</v>
      </c>
      <c r="K325" s="8" t="str">
        <f>_xlfn.XLOOKUP(J325,Worksheet!$F$1:$F$48,Worksheet!$G$1:$G$48,0)</f>
        <v>Lack of awareness</v>
      </c>
      <c r="L325" s="8" t="s">
        <v>37</v>
      </c>
      <c r="M325" s="8" t="s">
        <v>15</v>
      </c>
      <c r="N325" s="8" t="s">
        <v>58</v>
      </c>
      <c r="O325" s="8">
        <v>5</v>
      </c>
      <c r="P325" s="8" t="s">
        <v>45</v>
      </c>
      <c r="Q325" s="8" t="s">
        <v>46</v>
      </c>
      <c r="R325" s="8" t="s">
        <v>56</v>
      </c>
      <c r="S325" s="8">
        <f t="shared" si="28"/>
        <v>1</v>
      </c>
      <c r="T325" s="8">
        <f t="shared" si="29"/>
        <v>0</v>
      </c>
      <c r="U325" s="8">
        <f t="shared" si="29"/>
        <v>0</v>
      </c>
      <c r="V325" s="8">
        <f t="shared" si="29"/>
        <v>0</v>
      </c>
      <c r="W325" s="8">
        <f t="shared" si="29"/>
        <v>0</v>
      </c>
      <c r="X325" s="8">
        <f t="shared" si="29"/>
        <v>0</v>
      </c>
      <c r="Y325" s="8">
        <f t="shared" si="29"/>
        <v>0</v>
      </c>
      <c r="Z325" s="8">
        <f t="shared" si="29"/>
        <v>0</v>
      </c>
      <c r="AA325" s="8">
        <f t="shared" si="29"/>
        <v>0</v>
      </c>
      <c r="AB325" s="8">
        <f t="shared" si="29"/>
        <v>0</v>
      </c>
      <c r="AC325" s="8" t="s">
        <v>21</v>
      </c>
      <c r="AD325" s="8" t="s">
        <v>23</v>
      </c>
      <c r="AE325" s="8" t="s">
        <v>24</v>
      </c>
      <c r="AF325" s="8" t="s">
        <v>25</v>
      </c>
    </row>
    <row r="326" spans="1:32" x14ac:dyDescent="0.3">
      <c r="A326" s="5">
        <v>325</v>
      </c>
      <c r="B326" s="5" t="s">
        <v>68</v>
      </c>
      <c r="C326" s="5">
        <f t="shared" si="26"/>
        <v>0</v>
      </c>
      <c r="D326" s="5">
        <f t="shared" si="27"/>
        <v>1</v>
      </c>
      <c r="E326" s="5">
        <f t="shared" si="27"/>
        <v>0</v>
      </c>
      <c r="F326" s="5">
        <f t="shared" si="27"/>
        <v>0</v>
      </c>
      <c r="G326" s="5">
        <f t="shared" si="27"/>
        <v>0</v>
      </c>
      <c r="H326" s="5">
        <f t="shared" si="27"/>
        <v>0</v>
      </c>
      <c r="I326" s="6" t="s">
        <v>15</v>
      </c>
      <c r="J326" s="6" t="s">
        <v>43</v>
      </c>
      <c r="K326" s="6" t="str">
        <f>_xlfn.XLOOKUP(J326,Worksheet!$F$1:$F$48,Worksheet!$G$1:$G$48,0)</f>
        <v>Lack of awareness</v>
      </c>
      <c r="L326" s="6" t="s">
        <v>17</v>
      </c>
      <c r="M326" s="6" t="s">
        <v>15</v>
      </c>
      <c r="N326" s="6" t="s">
        <v>51</v>
      </c>
      <c r="O326" s="6">
        <v>1</v>
      </c>
      <c r="P326" s="6" t="s">
        <v>45</v>
      </c>
      <c r="Q326" s="6" t="s">
        <v>46</v>
      </c>
      <c r="R326" s="6" t="s">
        <v>56</v>
      </c>
      <c r="S326" s="6">
        <f t="shared" si="28"/>
        <v>1</v>
      </c>
      <c r="T326" s="6">
        <f t="shared" si="29"/>
        <v>0</v>
      </c>
      <c r="U326" s="6">
        <f t="shared" si="29"/>
        <v>0</v>
      </c>
      <c r="V326" s="6">
        <f t="shared" si="29"/>
        <v>0</v>
      </c>
      <c r="W326" s="6">
        <f t="shared" si="29"/>
        <v>0</v>
      </c>
      <c r="X326" s="6">
        <f t="shared" si="29"/>
        <v>0</v>
      </c>
      <c r="Y326" s="6">
        <f t="shared" si="29"/>
        <v>0</v>
      </c>
      <c r="Z326" s="6">
        <f t="shared" si="29"/>
        <v>0</v>
      </c>
      <c r="AA326" s="6">
        <f t="shared" si="29"/>
        <v>0</v>
      </c>
      <c r="AB326" s="6">
        <f t="shared" si="29"/>
        <v>0</v>
      </c>
      <c r="AC326" s="6" t="s">
        <v>21</v>
      </c>
      <c r="AD326" s="6" t="s">
        <v>40</v>
      </c>
      <c r="AE326" s="6" t="s">
        <v>113</v>
      </c>
      <c r="AF326" s="6" t="s">
        <v>21</v>
      </c>
    </row>
    <row r="327" spans="1:32" x14ac:dyDescent="0.3">
      <c r="A327" s="7">
        <v>326</v>
      </c>
      <c r="B327" s="7" t="s">
        <v>68</v>
      </c>
      <c r="C327" s="7">
        <f t="shared" si="26"/>
        <v>0</v>
      </c>
      <c r="D327" s="7">
        <f t="shared" si="27"/>
        <v>1</v>
      </c>
      <c r="E327" s="7">
        <f t="shared" si="27"/>
        <v>0</v>
      </c>
      <c r="F327" s="7">
        <f t="shared" si="27"/>
        <v>0</v>
      </c>
      <c r="G327" s="7">
        <f t="shared" si="27"/>
        <v>0</v>
      </c>
      <c r="H327" s="7">
        <f t="shared" si="27"/>
        <v>0</v>
      </c>
      <c r="I327" s="8" t="s">
        <v>42</v>
      </c>
      <c r="J327" s="8" t="s">
        <v>43</v>
      </c>
      <c r="K327" s="8" t="str">
        <f>_xlfn.XLOOKUP(J327,Worksheet!$F$1:$F$48,Worksheet!$G$1:$G$48,0)</f>
        <v>Lack of awareness</v>
      </c>
      <c r="L327" s="8" t="s">
        <v>17</v>
      </c>
      <c r="M327" s="8" t="s">
        <v>18</v>
      </c>
      <c r="N327" s="8" t="s">
        <v>51</v>
      </c>
      <c r="O327" s="8">
        <v>1</v>
      </c>
      <c r="P327" s="8" t="s">
        <v>45</v>
      </c>
      <c r="Q327" s="8" t="s">
        <v>46</v>
      </c>
      <c r="R327" s="8" t="s">
        <v>56</v>
      </c>
      <c r="S327" s="8">
        <f t="shared" si="28"/>
        <v>1</v>
      </c>
      <c r="T327" s="8">
        <f t="shared" si="29"/>
        <v>0</v>
      </c>
      <c r="U327" s="8">
        <f t="shared" si="29"/>
        <v>0</v>
      </c>
      <c r="V327" s="8">
        <f t="shared" si="29"/>
        <v>0</v>
      </c>
      <c r="W327" s="8">
        <f t="shared" si="29"/>
        <v>0</v>
      </c>
      <c r="X327" s="8">
        <f t="shared" si="29"/>
        <v>0</v>
      </c>
      <c r="Y327" s="8">
        <f t="shared" si="29"/>
        <v>0</v>
      </c>
      <c r="Z327" s="8">
        <f t="shared" si="29"/>
        <v>0</v>
      </c>
      <c r="AA327" s="8">
        <f t="shared" si="29"/>
        <v>0</v>
      </c>
      <c r="AB327" s="8">
        <f t="shared" si="29"/>
        <v>0</v>
      </c>
      <c r="AC327" s="8" t="s">
        <v>21</v>
      </c>
      <c r="AD327" s="8" t="s">
        <v>40</v>
      </c>
      <c r="AE327" s="8" t="s">
        <v>113</v>
      </c>
      <c r="AF327" s="8" t="s">
        <v>21</v>
      </c>
    </row>
    <row r="328" spans="1:32" x14ac:dyDescent="0.3">
      <c r="A328" s="5">
        <v>327</v>
      </c>
      <c r="B328" s="5" t="s">
        <v>66</v>
      </c>
      <c r="C328" s="5">
        <f t="shared" si="26"/>
        <v>0</v>
      </c>
      <c r="D328" s="5">
        <f t="shared" si="27"/>
        <v>1</v>
      </c>
      <c r="E328" s="5">
        <f t="shared" si="27"/>
        <v>0</v>
      </c>
      <c r="F328" s="5">
        <f t="shared" si="27"/>
        <v>0</v>
      </c>
      <c r="G328" s="5">
        <f t="shared" si="27"/>
        <v>0</v>
      </c>
      <c r="H328" s="5">
        <f t="shared" si="27"/>
        <v>1</v>
      </c>
      <c r="I328" s="6" t="s">
        <v>15</v>
      </c>
      <c r="J328" s="6" t="s">
        <v>62</v>
      </c>
      <c r="K328" s="6" t="str">
        <f>_xlfn.XLOOKUP(J328,Worksheet!$F$1:$F$48,Worksheet!$G$1:$G$48,0)</f>
        <v>Cost</v>
      </c>
      <c r="L328" s="6" t="s">
        <v>50</v>
      </c>
      <c r="M328" s="6" t="s">
        <v>30</v>
      </c>
      <c r="N328" s="6" t="s">
        <v>44</v>
      </c>
      <c r="O328" s="6">
        <v>4</v>
      </c>
      <c r="P328" s="6" t="s">
        <v>72</v>
      </c>
      <c r="Q328" s="6" t="s">
        <v>63</v>
      </c>
      <c r="R328" s="6" t="s">
        <v>296</v>
      </c>
      <c r="S328" s="6">
        <f t="shared" si="28"/>
        <v>1</v>
      </c>
      <c r="T328" s="6">
        <f t="shared" si="29"/>
        <v>0</v>
      </c>
      <c r="U328" s="6">
        <f t="shared" si="29"/>
        <v>1</v>
      </c>
      <c r="V328" s="6">
        <f t="shared" si="29"/>
        <v>1</v>
      </c>
      <c r="W328" s="6">
        <f t="shared" si="29"/>
        <v>0</v>
      </c>
      <c r="X328" s="6">
        <f t="shared" si="29"/>
        <v>1</v>
      </c>
      <c r="Y328" s="6">
        <f t="shared" si="29"/>
        <v>1</v>
      </c>
      <c r="Z328" s="6">
        <f t="shared" si="29"/>
        <v>1</v>
      </c>
      <c r="AA328" s="6">
        <f t="shared" si="29"/>
        <v>0</v>
      </c>
      <c r="AB328" s="6">
        <f t="shared" si="29"/>
        <v>1</v>
      </c>
      <c r="AC328" s="6" t="s">
        <v>21</v>
      </c>
      <c r="AD328" s="6" t="s">
        <v>23</v>
      </c>
      <c r="AE328" s="6" t="s">
        <v>24</v>
      </c>
      <c r="AF328" s="6" t="s">
        <v>25</v>
      </c>
    </row>
    <row r="329" spans="1:32" x14ac:dyDescent="0.3">
      <c r="A329" s="7">
        <v>328</v>
      </c>
      <c r="B329" s="7" t="s">
        <v>55</v>
      </c>
      <c r="C329" s="7">
        <f t="shared" si="26"/>
        <v>0</v>
      </c>
      <c r="D329" s="7">
        <f t="shared" si="27"/>
        <v>0</v>
      </c>
      <c r="E329" s="7">
        <f t="shared" si="27"/>
        <v>0</v>
      </c>
      <c r="F329" s="7">
        <f t="shared" si="27"/>
        <v>0</v>
      </c>
      <c r="G329" s="7">
        <f t="shared" si="27"/>
        <v>0</v>
      </c>
      <c r="H329" s="7">
        <f t="shared" si="27"/>
        <v>1</v>
      </c>
      <c r="I329" s="8" t="s">
        <v>15</v>
      </c>
      <c r="J329" s="8" t="s">
        <v>83</v>
      </c>
      <c r="K329" s="8" t="str">
        <f>_xlfn.XLOOKUP(J329,Worksheet!$F$1:$F$48,Worksheet!$G$1:$G$48,0)</f>
        <v>Fear</v>
      </c>
      <c r="L329" s="8" t="s">
        <v>356</v>
      </c>
      <c r="M329" s="8" t="s">
        <v>15</v>
      </c>
      <c r="N329" s="8" t="s">
        <v>44</v>
      </c>
      <c r="O329" s="8">
        <v>5</v>
      </c>
      <c r="P329" s="8" t="s">
        <v>59</v>
      </c>
      <c r="Q329" s="8" t="s">
        <v>46</v>
      </c>
      <c r="R329" s="8" t="s">
        <v>297</v>
      </c>
      <c r="S329" s="8">
        <f t="shared" si="28"/>
        <v>1</v>
      </c>
      <c r="T329" s="8">
        <f t="shared" si="29"/>
        <v>1</v>
      </c>
      <c r="U329" s="8">
        <f t="shared" si="29"/>
        <v>0</v>
      </c>
      <c r="V329" s="8">
        <f t="shared" si="29"/>
        <v>1</v>
      </c>
      <c r="W329" s="8">
        <f t="shared" si="29"/>
        <v>1</v>
      </c>
      <c r="X329" s="8">
        <f t="shared" si="29"/>
        <v>1</v>
      </c>
      <c r="Y329" s="8">
        <f t="shared" si="29"/>
        <v>1</v>
      </c>
      <c r="Z329" s="8">
        <f t="shared" si="29"/>
        <v>1</v>
      </c>
      <c r="AA329" s="8">
        <f t="shared" si="29"/>
        <v>0</v>
      </c>
      <c r="AB329" s="8">
        <f t="shared" si="29"/>
        <v>0</v>
      </c>
      <c r="AC329" s="8" t="s">
        <v>21</v>
      </c>
      <c r="AD329" s="8" t="s">
        <v>23</v>
      </c>
      <c r="AE329" s="8" t="s">
        <v>24</v>
      </c>
      <c r="AF329" s="8" t="s">
        <v>21</v>
      </c>
    </row>
    <row r="330" spans="1:32" x14ac:dyDescent="0.3">
      <c r="A330" s="5">
        <v>329</v>
      </c>
      <c r="B330" s="5" t="s">
        <v>68</v>
      </c>
      <c r="C330" s="5">
        <f t="shared" si="26"/>
        <v>0</v>
      </c>
      <c r="D330" s="5">
        <f t="shared" si="27"/>
        <v>1</v>
      </c>
      <c r="E330" s="5">
        <f t="shared" si="27"/>
        <v>0</v>
      </c>
      <c r="F330" s="5">
        <f t="shared" si="27"/>
        <v>0</v>
      </c>
      <c r="G330" s="5">
        <f t="shared" si="27"/>
        <v>0</v>
      </c>
      <c r="H330" s="5">
        <f t="shared" si="27"/>
        <v>0</v>
      </c>
      <c r="I330" s="6" t="s">
        <v>49</v>
      </c>
      <c r="J330" s="6" t="s">
        <v>43</v>
      </c>
      <c r="K330" s="6" t="str">
        <f>_xlfn.XLOOKUP(J330,Worksheet!$F$1:$F$48,Worksheet!$G$1:$G$48,0)</f>
        <v>Lack of awareness</v>
      </c>
      <c r="L330" s="6" t="s">
        <v>50</v>
      </c>
      <c r="M330" s="6" t="s">
        <v>49</v>
      </c>
      <c r="N330" s="6" t="s">
        <v>51</v>
      </c>
      <c r="O330" s="6">
        <v>5</v>
      </c>
      <c r="P330" s="6" t="s">
        <v>45</v>
      </c>
      <c r="Q330" s="6" t="s">
        <v>46</v>
      </c>
      <c r="R330" s="6" t="s">
        <v>298</v>
      </c>
      <c r="S330" s="6">
        <f t="shared" si="28"/>
        <v>1</v>
      </c>
      <c r="T330" s="6">
        <f t="shared" si="29"/>
        <v>1</v>
      </c>
      <c r="U330" s="6">
        <f t="shared" si="29"/>
        <v>1</v>
      </c>
      <c r="V330" s="6">
        <f t="shared" si="29"/>
        <v>1</v>
      </c>
      <c r="W330" s="6">
        <f t="shared" si="29"/>
        <v>1</v>
      </c>
      <c r="X330" s="6">
        <f t="shared" si="29"/>
        <v>1</v>
      </c>
      <c r="Y330" s="6">
        <f t="shared" si="29"/>
        <v>0</v>
      </c>
      <c r="Z330" s="6">
        <f t="shared" si="29"/>
        <v>0</v>
      </c>
      <c r="AA330" s="6">
        <f t="shared" si="29"/>
        <v>0</v>
      </c>
      <c r="AB330" s="6">
        <f t="shared" si="29"/>
        <v>0</v>
      </c>
      <c r="AC330" s="6" t="s">
        <v>21</v>
      </c>
      <c r="AD330" s="6" t="s">
        <v>23</v>
      </c>
      <c r="AE330" s="6" t="s">
        <v>113</v>
      </c>
      <c r="AF330" s="6" t="s">
        <v>25</v>
      </c>
    </row>
    <row r="331" spans="1:32" x14ac:dyDescent="0.3">
      <c r="A331" s="7">
        <v>330</v>
      </c>
      <c r="B331" s="7" t="s">
        <v>55</v>
      </c>
      <c r="C331" s="7">
        <f t="shared" si="26"/>
        <v>0</v>
      </c>
      <c r="D331" s="7">
        <f t="shared" si="27"/>
        <v>0</v>
      </c>
      <c r="E331" s="7">
        <f t="shared" si="27"/>
        <v>0</v>
      </c>
      <c r="F331" s="7">
        <f t="shared" si="27"/>
        <v>0</v>
      </c>
      <c r="G331" s="7">
        <f t="shared" si="27"/>
        <v>0</v>
      </c>
      <c r="H331" s="7">
        <f t="shared" si="27"/>
        <v>1</v>
      </c>
      <c r="I331" s="8" t="s">
        <v>15</v>
      </c>
      <c r="J331" s="8" t="s">
        <v>83</v>
      </c>
      <c r="K331" s="8" t="str">
        <f>_xlfn.XLOOKUP(J331,Worksheet!$F$1:$F$48,Worksheet!$G$1:$G$48,0)</f>
        <v>Fear</v>
      </c>
      <c r="L331" s="8" t="s">
        <v>50</v>
      </c>
      <c r="M331" s="8" t="s">
        <v>49</v>
      </c>
      <c r="N331" s="8" t="s">
        <v>51</v>
      </c>
      <c r="O331" s="8">
        <v>5</v>
      </c>
      <c r="P331" s="8" t="s">
        <v>45</v>
      </c>
      <c r="Q331" s="8" t="s">
        <v>46</v>
      </c>
      <c r="R331" s="8" t="s">
        <v>56</v>
      </c>
      <c r="S331" s="8">
        <f t="shared" si="28"/>
        <v>1</v>
      </c>
      <c r="T331" s="8">
        <f t="shared" si="29"/>
        <v>0</v>
      </c>
      <c r="U331" s="8">
        <f t="shared" si="29"/>
        <v>0</v>
      </c>
      <c r="V331" s="8">
        <f t="shared" si="29"/>
        <v>0</v>
      </c>
      <c r="W331" s="8">
        <f t="shared" si="29"/>
        <v>0</v>
      </c>
      <c r="X331" s="8">
        <f t="shared" si="29"/>
        <v>0</v>
      </c>
      <c r="Y331" s="8">
        <f t="shared" si="29"/>
        <v>0</v>
      </c>
      <c r="Z331" s="8">
        <f t="shared" si="29"/>
        <v>0</v>
      </c>
      <c r="AA331" s="8">
        <f t="shared" si="29"/>
        <v>0</v>
      </c>
      <c r="AB331" s="8">
        <f t="shared" si="29"/>
        <v>0</v>
      </c>
      <c r="AC331" s="8" t="s">
        <v>21</v>
      </c>
      <c r="AD331" s="8" t="s">
        <v>23</v>
      </c>
      <c r="AE331" s="8" t="s">
        <v>24</v>
      </c>
      <c r="AF331" s="8" t="s">
        <v>21</v>
      </c>
    </row>
    <row r="332" spans="1:32" x14ac:dyDescent="0.3">
      <c r="A332" s="5">
        <v>331</v>
      </c>
      <c r="B332" s="5" t="s">
        <v>41</v>
      </c>
      <c r="C332" s="5">
        <f t="shared" si="26"/>
        <v>0</v>
      </c>
      <c r="D332" s="5">
        <f t="shared" si="27"/>
        <v>0</v>
      </c>
      <c r="E332" s="5">
        <f t="shared" si="27"/>
        <v>0</v>
      </c>
      <c r="F332" s="5">
        <f t="shared" si="27"/>
        <v>0</v>
      </c>
      <c r="G332" s="5">
        <f t="shared" si="27"/>
        <v>1</v>
      </c>
      <c r="H332" s="5">
        <f t="shared" si="27"/>
        <v>0</v>
      </c>
      <c r="I332" s="6" t="s">
        <v>49</v>
      </c>
      <c r="J332" s="6" t="s">
        <v>43</v>
      </c>
      <c r="K332" s="6" t="str">
        <f>_xlfn.XLOOKUP(J332,Worksheet!$F$1:$F$48,Worksheet!$G$1:$G$48,0)</f>
        <v>Lack of awareness</v>
      </c>
      <c r="L332" s="6" t="s">
        <v>17</v>
      </c>
      <c r="M332" s="6" t="s">
        <v>30</v>
      </c>
      <c r="N332" s="6" t="s">
        <v>44</v>
      </c>
      <c r="O332" s="6">
        <v>3</v>
      </c>
      <c r="P332" s="6" t="s">
        <v>45</v>
      </c>
      <c r="Q332" s="6" t="s">
        <v>46</v>
      </c>
      <c r="R332" s="6" t="s">
        <v>225</v>
      </c>
      <c r="S332" s="6">
        <f t="shared" si="28"/>
        <v>1</v>
      </c>
      <c r="T332" s="6">
        <f t="shared" si="29"/>
        <v>1</v>
      </c>
      <c r="U332" s="6">
        <f t="shared" si="29"/>
        <v>0</v>
      </c>
      <c r="V332" s="6">
        <f t="shared" si="29"/>
        <v>1</v>
      </c>
      <c r="W332" s="6">
        <f t="shared" si="29"/>
        <v>0</v>
      </c>
      <c r="X332" s="6">
        <f t="shared" si="29"/>
        <v>1</v>
      </c>
      <c r="Y332" s="6">
        <f t="shared" si="29"/>
        <v>0</v>
      </c>
      <c r="Z332" s="6">
        <f t="shared" si="29"/>
        <v>0</v>
      </c>
      <c r="AA332" s="6">
        <f t="shared" si="29"/>
        <v>1</v>
      </c>
      <c r="AB332" s="6">
        <f t="shared" si="29"/>
        <v>0</v>
      </c>
      <c r="AC332" s="6" t="s">
        <v>25</v>
      </c>
      <c r="AD332" s="6" t="s">
        <v>23</v>
      </c>
      <c r="AE332" s="6" t="s">
        <v>24</v>
      </c>
      <c r="AF332" s="6" t="s">
        <v>48</v>
      </c>
    </row>
    <row r="333" spans="1:32" x14ac:dyDescent="0.3">
      <c r="A333" s="7">
        <v>332</v>
      </c>
      <c r="B333" s="7" t="s">
        <v>55</v>
      </c>
      <c r="C333" s="7">
        <f t="shared" si="26"/>
        <v>0</v>
      </c>
      <c r="D333" s="7">
        <f t="shared" si="27"/>
        <v>0</v>
      </c>
      <c r="E333" s="7">
        <f t="shared" si="27"/>
        <v>0</v>
      </c>
      <c r="F333" s="7">
        <f t="shared" si="27"/>
        <v>0</v>
      </c>
      <c r="G333" s="7">
        <f t="shared" si="27"/>
        <v>0</v>
      </c>
      <c r="H333" s="7">
        <f t="shared" si="27"/>
        <v>1</v>
      </c>
      <c r="I333" s="8" t="s">
        <v>15</v>
      </c>
      <c r="J333" s="8" t="s">
        <v>43</v>
      </c>
      <c r="K333" s="8" t="str">
        <f>_xlfn.XLOOKUP(J333,Worksheet!$F$1:$F$48,Worksheet!$G$1:$G$48,0)</f>
        <v>Lack of awareness</v>
      </c>
      <c r="L333" s="8" t="s">
        <v>356</v>
      </c>
      <c r="M333" s="8" t="s">
        <v>15</v>
      </c>
      <c r="N333" s="8" t="s">
        <v>58</v>
      </c>
      <c r="O333" s="8">
        <v>4</v>
      </c>
      <c r="P333" s="8" t="s">
        <v>45</v>
      </c>
      <c r="Q333" s="8" t="s">
        <v>52</v>
      </c>
      <c r="R333" s="8" t="s">
        <v>157</v>
      </c>
      <c r="S333" s="8">
        <f t="shared" si="28"/>
        <v>0</v>
      </c>
      <c r="T333" s="8">
        <f t="shared" si="29"/>
        <v>0</v>
      </c>
      <c r="U333" s="8">
        <f t="shared" si="29"/>
        <v>0</v>
      </c>
      <c r="V333" s="8">
        <f t="shared" si="29"/>
        <v>0</v>
      </c>
      <c r="W333" s="8">
        <f t="shared" si="29"/>
        <v>0</v>
      </c>
      <c r="X333" s="8">
        <f t="shared" si="29"/>
        <v>0</v>
      </c>
      <c r="Y333" s="8">
        <f t="shared" si="29"/>
        <v>0</v>
      </c>
      <c r="Z333" s="8">
        <f t="shared" si="29"/>
        <v>1</v>
      </c>
      <c r="AA333" s="8">
        <f t="shared" si="29"/>
        <v>0</v>
      </c>
      <c r="AB333" s="8">
        <f t="shared" si="29"/>
        <v>0</v>
      </c>
      <c r="AC333" s="8" t="s">
        <v>21</v>
      </c>
      <c r="AD333" s="8" t="s">
        <v>23</v>
      </c>
      <c r="AE333" s="8" t="s">
        <v>24</v>
      </c>
      <c r="AF333" s="8" t="s">
        <v>48</v>
      </c>
    </row>
    <row r="334" spans="1:32" x14ac:dyDescent="0.3">
      <c r="A334" s="5">
        <v>333</v>
      </c>
      <c r="B334" s="5" t="s">
        <v>55</v>
      </c>
      <c r="C334" s="5">
        <f t="shared" si="26"/>
        <v>0</v>
      </c>
      <c r="D334" s="5">
        <f t="shared" si="27"/>
        <v>0</v>
      </c>
      <c r="E334" s="5">
        <f t="shared" si="27"/>
        <v>0</v>
      </c>
      <c r="F334" s="5">
        <f t="shared" si="27"/>
        <v>0</v>
      </c>
      <c r="G334" s="5">
        <f t="shared" si="27"/>
        <v>0</v>
      </c>
      <c r="H334" s="5">
        <f t="shared" si="27"/>
        <v>1</v>
      </c>
      <c r="I334" s="6" t="s">
        <v>27</v>
      </c>
      <c r="J334" s="6" t="s">
        <v>144</v>
      </c>
      <c r="K334" s="6" t="str">
        <f>_xlfn.XLOOKUP(J334,Worksheet!$F$1:$F$48,Worksheet!$G$1:$G$48,0)</f>
        <v>Lack of awareness</v>
      </c>
      <c r="L334" s="6" t="s">
        <v>356</v>
      </c>
      <c r="M334" s="6" t="s">
        <v>102</v>
      </c>
      <c r="N334" s="6" t="s">
        <v>58</v>
      </c>
      <c r="O334" s="6">
        <v>5</v>
      </c>
      <c r="P334" s="6" t="s">
        <v>45</v>
      </c>
      <c r="Q334" s="6" t="s">
        <v>63</v>
      </c>
      <c r="R334" s="6" t="s">
        <v>299</v>
      </c>
      <c r="S334" s="6">
        <f t="shared" si="28"/>
        <v>0</v>
      </c>
      <c r="T334" s="6">
        <f t="shared" si="29"/>
        <v>0</v>
      </c>
      <c r="U334" s="6">
        <f t="shared" si="29"/>
        <v>1</v>
      </c>
      <c r="V334" s="6">
        <f t="shared" si="29"/>
        <v>1</v>
      </c>
      <c r="W334" s="6">
        <f t="shared" si="29"/>
        <v>0</v>
      </c>
      <c r="X334" s="6">
        <f t="shared" si="29"/>
        <v>1</v>
      </c>
      <c r="Y334" s="6">
        <f t="shared" si="29"/>
        <v>0</v>
      </c>
      <c r="Z334" s="6">
        <f t="shared" si="29"/>
        <v>1</v>
      </c>
      <c r="AA334" s="6">
        <f t="shared" si="29"/>
        <v>0</v>
      </c>
      <c r="AB334" s="6">
        <f t="shared" si="29"/>
        <v>0</v>
      </c>
      <c r="AC334" s="6" t="s">
        <v>21</v>
      </c>
      <c r="AD334" s="6" t="s">
        <v>34</v>
      </c>
      <c r="AE334" s="6" t="s">
        <v>24</v>
      </c>
      <c r="AF334" s="6" t="s">
        <v>25</v>
      </c>
    </row>
    <row r="335" spans="1:32" x14ac:dyDescent="0.3">
      <c r="A335" s="7">
        <v>334</v>
      </c>
      <c r="B335" s="7" t="s">
        <v>61</v>
      </c>
      <c r="C335" s="7">
        <f t="shared" si="26"/>
        <v>1</v>
      </c>
      <c r="D335" s="7">
        <f t="shared" si="27"/>
        <v>1</v>
      </c>
      <c r="E335" s="7">
        <f t="shared" si="27"/>
        <v>0</v>
      </c>
      <c r="F335" s="7">
        <f t="shared" si="27"/>
        <v>0</v>
      </c>
      <c r="G335" s="7">
        <f t="shared" si="27"/>
        <v>1</v>
      </c>
      <c r="H335" s="7">
        <f t="shared" si="27"/>
        <v>1</v>
      </c>
      <c r="I335" s="8" t="s">
        <v>27</v>
      </c>
      <c r="J335" s="8" t="s">
        <v>43</v>
      </c>
      <c r="K335" s="8" t="str">
        <f>_xlfn.XLOOKUP(J335,Worksheet!$F$1:$F$48,Worksheet!$G$1:$G$48,0)</f>
        <v>Lack of awareness</v>
      </c>
      <c r="L335" s="8" t="s">
        <v>50</v>
      </c>
      <c r="M335" s="8" t="s">
        <v>49</v>
      </c>
      <c r="N335" s="8" t="s">
        <v>44</v>
      </c>
      <c r="O335" s="8">
        <v>4</v>
      </c>
      <c r="P335" s="8" t="s">
        <v>45</v>
      </c>
      <c r="Q335" s="8" t="s">
        <v>63</v>
      </c>
      <c r="R335" s="8" t="s">
        <v>300</v>
      </c>
      <c r="S335" s="8">
        <f t="shared" si="28"/>
        <v>1</v>
      </c>
      <c r="T335" s="8">
        <f t="shared" si="29"/>
        <v>0</v>
      </c>
      <c r="U335" s="8">
        <f t="shared" si="29"/>
        <v>0</v>
      </c>
      <c r="V335" s="8">
        <f t="shared" si="29"/>
        <v>0</v>
      </c>
      <c r="W335" s="8">
        <f t="shared" si="29"/>
        <v>0</v>
      </c>
      <c r="X335" s="8">
        <f t="shared" si="29"/>
        <v>1</v>
      </c>
      <c r="Y335" s="8">
        <f t="shared" si="29"/>
        <v>1</v>
      </c>
      <c r="Z335" s="8">
        <f t="shared" si="29"/>
        <v>0</v>
      </c>
      <c r="AA335" s="8">
        <f t="shared" si="29"/>
        <v>0</v>
      </c>
      <c r="AB335" s="8">
        <f t="shared" si="29"/>
        <v>1</v>
      </c>
      <c r="AC335" s="8" t="s">
        <v>21</v>
      </c>
      <c r="AD335" s="8" t="s">
        <v>23</v>
      </c>
      <c r="AE335" s="8" t="s">
        <v>24</v>
      </c>
      <c r="AF335" s="8" t="s">
        <v>48</v>
      </c>
    </row>
    <row r="336" spans="1:32" x14ac:dyDescent="0.3">
      <c r="A336" s="5">
        <v>335</v>
      </c>
      <c r="B336" s="5" t="s">
        <v>343</v>
      </c>
      <c r="C336" s="5">
        <f t="shared" si="26"/>
        <v>0</v>
      </c>
      <c r="D336" s="5">
        <f t="shared" si="27"/>
        <v>1</v>
      </c>
      <c r="E336" s="5">
        <f t="shared" si="27"/>
        <v>1</v>
      </c>
      <c r="F336" s="5">
        <f t="shared" si="27"/>
        <v>0</v>
      </c>
      <c r="G336" s="5">
        <f t="shared" si="27"/>
        <v>0</v>
      </c>
      <c r="H336" s="5">
        <f t="shared" si="27"/>
        <v>1</v>
      </c>
      <c r="I336" s="6" t="s">
        <v>15</v>
      </c>
      <c r="J336" s="6" t="s">
        <v>43</v>
      </c>
      <c r="K336" s="6" t="str">
        <f>_xlfn.XLOOKUP(J336,Worksheet!$F$1:$F$48,Worksheet!$G$1:$G$48,0)</f>
        <v>Lack of awareness</v>
      </c>
      <c r="L336" s="6" t="s">
        <v>50</v>
      </c>
      <c r="M336" s="6" t="s">
        <v>30</v>
      </c>
      <c r="N336" s="6" t="s">
        <v>51</v>
      </c>
      <c r="O336" s="6">
        <v>3</v>
      </c>
      <c r="P336" s="6" t="s">
        <v>45</v>
      </c>
      <c r="Q336" s="6" t="s">
        <v>52</v>
      </c>
      <c r="R336" s="6" t="s">
        <v>302</v>
      </c>
      <c r="S336" s="6">
        <f t="shared" si="28"/>
        <v>1</v>
      </c>
      <c r="T336" s="6">
        <f t="shared" si="29"/>
        <v>0</v>
      </c>
      <c r="U336" s="6">
        <f t="shared" si="29"/>
        <v>0</v>
      </c>
      <c r="V336" s="6">
        <f t="shared" si="29"/>
        <v>0</v>
      </c>
      <c r="W336" s="6">
        <f t="shared" si="29"/>
        <v>0</v>
      </c>
      <c r="X336" s="6">
        <f t="shared" si="29"/>
        <v>1</v>
      </c>
      <c r="Y336" s="6">
        <f t="shared" si="29"/>
        <v>0</v>
      </c>
      <c r="Z336" s="6">
        <f t="shared" si="29"/>
        <v>0</v>
      </c>
      <c r="AA336" s="6">
        <f t="shared" si="29"/>
        <v>0</v>
      </c>
      <c r="AB336" s="6">
        <f t="shared" si="29"/>
        <v>0</v>
      </c>
      <c r="AC336" s="6" t="s">
        <v>21</v>
      </c>
      <c r="AD336" s="6" t="s">
        <v>34</v>
      </c>
      <c r="AE336" s="6" t="s">
        <v>54</v>
      </c>
      <c r="AF336" s="6" t="s">
        <v>25</v>
      </c>
    </row>
    <row r="337" spans="1:32" x14ac:dyDescent="0.3">
      <c r="A337" s="7">
        <v>336</v>
      </c>
      <c r="B337" s="7" t="s">
        <v>68</v>
      </c>
      <c r="C337" s="7">
        <f t="shared" si="26"/>
        <v>0</v>
      </c>
      <c r="D337" s="7">
        <f t="shared" si="27"/>
        <v>1</v>
      </c>
      <c r="E337" s="7">
        <f t="shared" si="27"/>
        <v>0</v>
      </c>
      <c r="F337" s="7">
        <f t="shared" si="27"/>
        <v>0</v>
      </c>
      <c r="G337" s="7">
        <f t="shared" si="27"/>
        <v>0</v>
      </c>
      <c r="H337" s="7">
        <f t="shared" si="27"/>
        <v>0</v>
      </c>
      <c r="I337" s="8" t="s">
        <v>49</v>
      </c>
      <c r="J337" s="8" t="s">
        <v>303</v>
      </c>
      <c r="K337" s="8" t="str">
        <f>_xlfn.XLOOKUP(J337,Worksheet!$F$1:$F$48,Worksheet!$G$1:$G$48,0)</f>
        <v>NA</v>
      </c>
      <c r="L337" s="8" t="s">
        <v>17</v>
      </c>
      <c r="M337" s="8" t="s">
        <v>49</v>
      </c>
      <c r="N337" s="8" t="s">
        <v>51</v>
      </c>
      <c r="O337" s="8">
        <v>5</v>
      </c>
      <c r="P337" s="8" t="s">
        <v>45</v>
      </c>
      <c r="Q337" s="8" t="s">
        <v>63</v>
      </c>
      <c r="R337" s="8" t="s">
        <v>304</v>
      </c>
      <c r="S337" s="8">
        <f t="shared" si="28"/>
        <v>1</v>
      </c>
      <c r="T337" s="8">
        <f t="shared" si="29"/>
        <v>1</v>
      </c>
      <c r="U337" s="8">
        <f t="shared" si="29"/>
        <v>0</v>
      </c>
      <c r="V337" s="8">
        <f t="shared" si="29"/>
        <v>0</v>
      </c>
      <c r="W337" s="8">
        <f t="shared" si="29"/>
        <v>1</v>
      </c>
      <c r="X337" s="8">
        <f t="shared" si="29"/>
        <v>1</v>
      </c>
      <c r="Y337" s="8">
        <f t="shared" si="29"/>
        <v>0</v>
      </c>
      <c r="Z337" s="8">
        <f t="shared" si="29"/>
        <v>0</v>
      </c>
      <c r="AA337" s="8">
        <f t="shared" si="29"/>
        <v>1</v>
      </c>
      <c r="AB337" s="8">
        <f t="shared" si="29"/>
        <v>0</v>
      </c>
      <c r="AC337" s="8" t="s">
        <v>25</v>
      </c>
      <c r="AD337" s="8" t="s">
        <v>34</v>
      </c>
      <c r="AE337" s="8" t="s">
        <v>24</v>
      </c>
      <c r="AF337" s="8" t="s">
        <v>48</v>
      </c>
    </row>
    <row r="338" spans="1:32" x14ac:dyDescent="0.3">
      <c r="A338" s="5">
        <v>337</v>
      </c>
      <c r="B338" s="5" t="s">
        <v>55</v>
      </c>
      <c r="C338" s="5">
        <f t="shared" si="26"/>
        <v>0</v>
      </c>
      <c r="D338" s="5">
        <f t="shared" si="27"/>
        <v>0</v>
      </c>
      <c r="E338" s="5">
        <f t="shared" si="27"/>
        <v>0</v>
      </c>
      <c r="F338" s="5">
        <f t="shared" si="27"/>
        <v>0</v>
      </c>
      <c r="G338" s="5">
        <f t="shared" si="27"/>
        <v>0</v>
      </c>
      <c r="H338" s="5">
        <f t="shared" si="27"/>
        <v>1</v>
      </c>
      <c r="I338" s="6" t="s">
        <v>15</v>
      </c>
      <c r="J338" s="6" t="s">
        <v>83</v>
      </c>
      <c r="K338" s="6" t="str">
        <f>_xlfn.XLOOKUP(J338,Worksheet!$F$1:$F$48,Worksheet!$G$1:$G$48,0)</f>
        <v>Fear</v>
      </c>
      <c r="L338" s="6" t="s">
        <v>29</v>
      </c>
      <c r="M338" s="6" t="s">
        <v>30</v>
      </c>
      <c r="N338" s="6" t="s">
        <v>51</v>
      </c>
      <c r="O338" s="6">
        <v>5</v>
      </c>
      <c r="P338" s="6" t="s">
        <v>45</v>
      </c>
      <c r="Q338" s="6" t="s">
        <v>63</v>
      </c>
      <c r="R338" s="6" t="s">
        <v>305</v>
      </c>
      <c r="S338" s="6">
        <f t="shared" si="28"/>
        <v>1</v>
      </c>
      <c r="T338" s="6">
        <f t="shared" si="29"/>
        <v>0</v>
      </c>
      <c r="U338" s="6">
        <f t="shared" si="29"/>
        <v>0</v>
      </c>
      <c r="V338" s="6">
        <f t="shared" si="29"/>
        <v>0</v>
      </c>
      <c r="W338" s="6">
        <f t="shared" si="29"/>
        <v>0</v>
      </c>
      <c r="X338" s="6">
        <f t="shared" si="29"/>
        <v>0</v>
      </c>
      <c r="Y338" s="6">
        <f t="shared" si="29"/>
        <v>1</v>
      </c>
      <c r="Z338" s="6">
        <f t="shared" si="29"/>
        <v>1</v>
      </c>
      <c r="AA338" s="6">
        <f t="shared" si="29"/>
        <v>0</v>
      </c>
      <c r="AB338" s="6">
        <f t="shared" si="29"/>
        <v>0</v>
      </c>
      <c r="AC338" s="6" t="s">
        <v>21</v>
      </c>
      <c r="AD338" s="6" t="s">
        <v>23</v>
      </c>
      <c r="AE338" s="6" t="s">
        <v>113</v>
      </c>
      <c r="AF338" s="6" t="s">
        <v>25</v>
      </c>
    </row>
    <row r="339" spans="1:32" x14ac:dyDescent="0.3">
      <c r="A339" s="7">
        <v>338</v>
      </c>
      <c r="B339" s="7" t="s">
        <v>100</v>
      </c>
      <c r="C339" s="7">
        <f t="shared" si="26"/>
        <v>1</v>
      </c>
      <c r="D339" s="7">
        <f t="shared" si="27"/>
        <v>0</v>
      </c>
      <c r="E339" s="7">
        <f t="shared" si="27"/>
        <v>0</v>
      </c>
      <c r="F339" s="7">
        <f t="shared" si="27"/>
        <v>0</v>
      </c>
      <c r="G339" s="7">
        <f t="shared" si="27"/>
        <v>0</v>
      </c>
      <c r="H339" s="7">
        <f t="shared" si="27"/>
        <v>0</v>
      </c>
      <c r="I339" s="8" t="s">
        <v>27</v>
      </c>
      <c r="J339" s="8" t="s">
        <v>16</v>
      </c>
      <c r="K339" s="8" t="str">
        <f>_xlfn.XLOOKUP(J339,Worksheet!$F$1:$F$48,Worksheet!$G$1:$G$48,0)</f>
        <v>Cost</v>
      </c>
      <c r="L339" s="8" t="s">
        <v>356</v>
      </c>
      <c r="M339" s="8" t="s">
        <v>102</v>
      </c>
      <c r="N339" s="8" t="s">
        <v>51</v>
      </c>
      <c r="O339" s="8">
        <v>5</v>
      </c>
      <c r="P339" s="8" t="s">
        <v>45</v>
      </c>
      <c r="Q339" s="8" t="s">
        <v>52</v>
      </c>
      <c r="R339" s="8" t="s">
        <v>306</v>
      </c>
      <c r="S339" s="8">
        <f t="shared" si="28"/>
        <v>1</v>
      </c>
      <c r="T339" s="8">
        <f t="shared" si="29"/>
        <v>1</v>
      </c>
      <c r="U339" s="8">
        <f t="shared" si="29"/>
        <v>0</v>
      </c>
      <c r="V339" s="8">
        <f t="shared" si="29"/>
        <v>1</v>
      </c>
      <c r="W339" s="8">
        <f t="shared" si="29"/>
        <v>0</v>
      </c>
      <c r="X339" s="8">
        <f t="shared" si="29"/>
        <v>1</v>
      </c>
      <c r="Y339" s="8">
        <f t="shared" si="29"/>
        <v>1</v>
      </c>
      <c r="Z339" s="8">
        <f t="shared" si="29"/>
        <v>1</v>
      </c>
      <c r="AA339" s="8">
        <f t="shared" si="29"/>
        <v>0</v>
      </c>
      <c r="AB339" s="8">
        <f t="shared" si="29"/>
        <v>0</v>
      </c>
      <c r="AC339" s="8" t="s">
        <v>21</v>
      </c>
      <c r="AD339" s="8" t="s">
        <v>34</v>
      </c>
      <c r="AE339" s="8" t="s">
        <v>54</v>
      </c>
      <c r="AF339" s="8" t="s">
        <v>25</v>
      </c>
    </row>
    <row r="340" spans="1:32" x14ac:dyDescent="0.3">
      <c r="A340" s="5">
        <v>339</v>
      </c>
      <c r="B340" s="5" t="s">
        <v>55</v>
      </c>
      <c r="C340" s="5">
        <f t="shared" si="26"/>
        <v>0</v>
      </c>
      <c r="D340" s="5">
        <f t="shared" si="27"/>
        <v>0</v>
      </c>
      <c r="E340" s="5">
        <f t="shared" si="27"/>
        <v>0</v>
      </c>
      <c r="F340" s="5">
        <f t="shared" si="27"/>
        <v>0</v>
      </c>
      <c r="G340" s="5">
        <f t="shared" si="27"/>
        <v>0</v>
      </c>
      <c r="H340" s="5">
        <f t="shared" si="27"/>
        <v>1</v>
      </c>
      <c r="I340" s="6" t="s">
        <v>49</v>
      </c>
      <c r="J340" s="6" t="s">
        <v>307</v>
      </c>
      <c r="K340" s="6" t="str">
        <f>_xlfn.XLOOKUP(J340,Worksheet!$F$1:$F$48,Worksheet!$G$1:$G$48,0)</f>
        <v>Testing</v>
      </c>
      <c r="L340" s="6" t="s">
        <v>50</v>
      </c>
      <c r="M340" s="6" t="s">
        <v>49</v>
      </c>
      <c r="N340" s="6" t="s">
        <v>51</v>
      </c>
      <c r="O340" s="6">
        <v>5</v>
      </c>
      <c r="P340" s="6" t="s">
        <v>45</v>
      </c>
      <c r="Q340" s="6" t="s">
        <v>52</v>
      </c>
      <c r="R340" s="6" t="s">
        <v>67</v>
      </c>
      <c r="S340" s="6">
        <f t="shared" si="28"/>
        <v>1</v>
      </c>
      <c r="T340" s="6">
        <f t="shared" si="29"/>
        <v>1</v>
      </c>
      <c r="U340" s="6">
        <f t="shared" si="29"/>
        <v>1</v>
      </c>
      <c r="V340" s="6">
        <f t="shared" si="29"/>
        <v>1</v>
      </c>
      <c r="W340" s="6">
        <f t="shared" si="29"/>
        <v>1</v>
      </c>
      <c r="X340" s="6">
        <f t="shared" si="29"/>
        <v>1</v>
      </c>
      <c r="Y340" s="6">
        <f t="shared" si="29"/>
        <v>1</v>
      </c>
      <c r="Z340" s="6">
        <f t="shared" si="29"/>
        <v>1</v>
      </c>
      <c r="AA340" s="6">
        <f t="shared" si="29"/>
        <v>1</v>
      </c>
      <c r="AB340" s="6">
        <f t="shared" si="29"/>
        <v>1</v>
      </c>
      <c r="AC340" s="6" t="s">
        <v>25</v>
      </c>
      <c r="AD340" s="6" t="s">
        <v>23</v>
      </c>
      <c r="AE340" s="6" t="s">
        <v>88</v>
      </c>
      <c r="AF340" s="6" t="s">
        <v>25</v>
      </c>
    </row>
    <row r="341" spans="1:32" x14ac:dyDescent="0.3">
      <c r="A341" s="7">
        <v>340</v>
      </c>
      <c r="B341" s="7" t="s">
        <v>68</v>
      </c>
      <c r="C341" s="7">
        <f t="shared" si="26"/>
        <v>0</v>
      </c>
      <c r="D341" s="7">
        <f t="shared" si="27"/>
        <v>1</v>
      </c>
      <c r="E341" s="7">
        <f t="shared" si="27"/>
        <v>0</v>
      </c>
      <c r="F341" s="7">
        <f t="shared" si="27"/>
        <v>0</v>
      </c>
      <c r="G341" s="7">
        <f t="shared" si="27"/>
        <v>0</v>
      </c>
      <c r="H341" s="7">
        <f t="shared" si="27"/>
        <v>0</v>
      </c>
      <c r="I341" s="8" t="s">
        <v>15</v>
      </c>
      <c r="J341" s="8" t="s">
        <v>226</v>
      </c>
      <c r="K341" s="8" t="str">
        <f>_xlfn.XLOOKUP(J341,Worksheet!$F$1:$F$48,Worksheet!$G$1:$G$48,0)</f>
        <v>Fear</v>
      </c>
      <c r="L341" s="8" t="s">
        <v>29</v>
      </c>
      <c r="M341" s="8" t="s">
        <v>30</v>
      </c>
      <c r="N341" s="8" t="s">
        <v>51</v>
      </c>
      <c r="O341" s="8">
        <v>5</v>
      </c>
      <c r="P341" s="8" t="s">
        <v>45</v>
      </c>
      <c r="Q341" s="8" t="s">
        <v>52</v>
      </c>
      <c r="R341" s="8" t="s">
        <v>308</v>
      </c>
      <c r="S341" s="8">
        <f t="shared" si="28"/>
        <v>0</v>
      </c>
      <c r="T341" s="8">
        <f t="shared" si="29"/>
        <v>0</v>
      </c>
      <c r="U341" s="8">
        <f t="shared" si="29"/>
        <v>1</v>
      </c>
      <c r="V341" s="8">
        <f t="shared" si="29"/>
        <v>0</v>
      </c>
      <c r="W341" s="8">
        <f t="shared" si="29"/>
        <v>1</v>
      </c>
      <c r="X341" s="8">
        <f t="shared" si="29"/>
        <v>1</v>
      </c>
      <c r="Y341" s="8">
        <f t="shared" si="29"/>
        <v>0</v>
      </c>
      <c r="Z341" s="8">
        <f t="shared" si="29"/>
        <v>0</v>
      </c>
      <c r="AA341" s="8">
        <f t="shared" si="29"/>
        <v>0</v>
      </c>
      <c r="AB341" s="8">
        <f t="shared" si="29"/>
        <v>1</v>
      </c>
      <c r="AC341" s="8" t="s">
        <v>25</v>
      </c>
      <c r="AD341" s="8" t="s">
        <v>34</v>
      </c>
      <c r="AE341" s="8" t="s">
        <v>88</v>
      </c>
      <c r="AF341" s="8" t="s">
        <v>48</v>
      </c>
    </row>
    <row r="342" spans="1:32" x14ac:dyDescent="0.3">
      <c r="A342" s="5">
        <v>341</v>
      </c>
      <c r="B342" s="5" t="s">
        <v>100</v>
      </c>
      <c r="C342" s="5">
        <f t="shared" si="26"/>
        <v>1</v>
      </c>
      <c r="D342" s="5">
        <f t="shared" si="27"/>
        <v>0</v>
      </c>
      <c r="E342" s="5">
        <f t="shared" si="27"/>
        <v>0</v>
      </c>
      <c r="F342" s="5">
        <f t="shared" si="27"/>
        <v>0</v>
      </c>
      <c r="G342" s="5">
        <f t="shared" si="27"/>
        <v>0</v>
      </c>
      <c r="H342" s="5">
        <f t="shared" si="27"/>
        <v>0</v>
      </c>
      <c r="I342" s="6" t="s">
        <v>27</v>
      </c>
      <c r="J342" s="6" t="s">
        <v>16</v>
      </c>
      <c r="K342" s="6" t="str">
        <f>_xlfn.XLOOKUP(J342,Worksheet!$F$1:$F$48,Worksheet!$G$1:$G$48,0)</f>
        <v>Cost</v>
      </c>
      <c r="L342" s="6" t="s">
        <v>29</v>
      </c>
      <c r="M342" s="6" t="s">
        <v>15</v>
      </c>
      <c r="N342" s="6" t="s">
        <v>51</v>
      </c>
      <c r="O342" s="6">
        <v>3</v>
      </c>
      <c r="P342" s="6" t="s">
        <v>45</v>
      </c>
      <c r="Q342" s="6" t="s">
        <v>52</v>
      </c>
      <c r="R342" s="6" t="s">
        <v>241</v>
      </c>
      <c r="S342" s="6">
        <f t="shared" si="28"/>
        <v>1</v>
      </c>
      <c r="T342" s="6">
        <f t="shared" si="29"/>
        <v>1</v>
      </c>
      <c r="U342" s="6">
        <f t="shared" si="29"/>
        <v>0</v>
      </c>
      <c r="V342" s="6">
        <f t="shared" si="29"/>
        <v>0</v>
      </c>
      <c r="W342" s="6">
        <f t="shared" si="29"/>
        <v>1</v>
      </c>
      <c r="X342" s="6">
        <f t="shared" si="29"/>
        <v>1</v>
      </c>
      <c r="Y342" s="6">
        <f t="shared" si="29"/>
        <v>0</v>
      </c>
      <c r="Z342" s="6">
        <f t="shared" si="29"/>
        <v>0</v>
      </c>
      <c r="AA342" s="6">
        <f t="shared" si="29"/>
        <v>0</v>
      </c>
      <c r="AB342" s="6">
        <f t="shared" si="29"/>
        <v>0</v>
      </c>
      <c r="AC342" s="6" t="s">
        <v>25</v>
      </c>
      <c r="AD342" s="6" t="s">
        <v>34</v>
      </c>
      <c r="AE342" s="6" t="s">
        <v>88</v>
      </c>
      <c r="AF342" s="6" t="s">
        <v>48</v>
      </c>
    </row>
    <row r="343" spans="1:32" x14ac:dyDescent="0.3">
      <c r="A343" s="7">
        <v>342</v>
      </c>
      <c r="B343" s="7" t="s">
        <v>338</v>
      </c>
      <c r="C343" s="7">
        <f t="shared" si="26"/>
        <v>0</v>
      </c>
      <c r="D343" s="7">
        <f t="shared" si="27"/>
        <v>0</v>
      </c>
      <c r="E343" s="7">
        <f t="shared" si="27"/>
        <v>1</v>
      </c>
      <c r="F343" s="7">
        <f t="shared" si="27"/>
        <v>0</v>
      </c>
      <c r="G343" s="7">
        <f t="shared" si="27"/>
        <v>1</v>
      </c>
      <c r="H343" s="7">
        <f t="shared" si="27"/>
        <v>0</v>
      </c>
      <c r="I343" s="8" t="s">
        <v>49</v>
      </c>
      <c r="J343" s="8" t="s">
        <v>309</v>
      </c>
      <c r="K343" s="8" t="str">
        <f>_xlfn.XLOOKUP(J343,Worksheet!$F$1:$F$48,Worksheet!$G$1:$G$48,0)</f>
        <v>No need</v>
      </c>
      <c r="L343" s="8" t="s">
        <v>37</v>
      </c>
      <c r="M343" s="8" t="s">
        <v>49</v>
      </c>
      <c r="N343" s="8" t="s">
        <v>44</v>
      </c>
      <c r="O343" s="8">
        <v>5</v>
      </c>
      <c r="P343" s="8" t="s">
        <v>45</v>
      </c>
      <c r="Q343" s="8" t="s">
        <v>52</v>
      </c>
      <c r="R343" s="8" t="s">
        <v>257</v>
      </c>
      <c r="S343" s="8">
        <f t="shared" si="28"/>
        <v>1</v>
      </c>
      <c r="T343" s="8">
        <f t="shared" si="29"/>
        <v>0</v>
      </c>
      <c r="U343" s="8">
        <f t="shared" si="29"/>
        <v>0</v>
      </c>
      <c r="V343" s="8">
        <f t="shared" si="29"/>
        <v>1</v>
      </c>
      <c r="W343" s="8">
        <f t="shared" si="29"/>
        <v>1</v>
      </c>
      <c r="X343" s="8">
        <f t="shared" si="29"/>
        <v>0</v>
      </c>
      <c r="Y343" s="8">
        <f t="shared" si="29"/>
        <v>0</v>
      </c>
      <c r="Z343" s="8">
        <f t="shared" si="29"/>
        <v>0</v>
      </c>
      <c r="AA343" s="8">
        <f t="shared" si="29"/>
        <v>0</v>
      </c>
      <c r="AB343" s="8">
        <f t="shared" si="29"/>
        <v>0</v>
      </c>
      <c r="AC343" s="8" t="s">
        <v>21</v>
      </c>
      <c r="AD343" s="8" t="s">
        <v>23</v>
      </c>
      <c r="AE343" s="8" t="s">
        <v>24</v>
      </c>
      <c r="AF343" s="8" t="s">
        <v>21</v>
      </c>
    </row>
    <row r="344" spans="1:32" x14ac:dyDescent="0.3">
      <c r="A344" s="5">
        <v>343</v>
      </c>
      <c r="B344" s="5" t="s">
        <v>61</v>
      </c>
      <c r="C344" s="5">
        <f t="shared" si="26"/>
        <v>1</v>
      </c>
      <c r="D344" s="5">
        <f t="shared" si="27"/>
        <v>1</v>
      </c>
      <c r="E344" s="5">
        <f t="shared" si="27"/>
        <v>0</v>
      </c>
      <c r="F344" s="5">
        <f t="shared" si="27"/>
        <v>0</v>
      </c>
      <c r="G344" s="5">
        <f t="shared" si="27"/>
        <v>1</v>
      </c>
      <c r="H344" s="5">
        <f t="shared" si="27"/>
        <v>1</v>
      </c>
      <c r="I344" s="6" t="s">
        <v>15</v>
      </c>
      <c r="J344" s="6" t="s">
        <v>43</v>
      </c>
      <c r="K344" s="6" t="str">
        <f>_xlfn.XLOOKUP(J344,Worksheet!$F$1:$F$48,Worksheet!$G$1:$G$48,0)</f>
        <v>Lack of awareness</v>
      </c>
      <c r="L344" s="6" t="s">
        <v>356</v>
      </c>
      <c r="M344" s="6" t="s">
        <v>102</v>
      </c>
      <c r="N344" s="6" t="s">
        <v>58</v>
      </c>
      <c r="O344" s="6">
        <v>4</v>
      </c>
      <c r="P344" s="6" t="s">
        <v>45</v>
      </c>
      <c r="Q344" s="6" t="s">
        <v>52</v>
      </c>
      <c r="R344" s="6" t="s">
        <v>310</v>
      </c>
      <c r="S344" s="6">
        <f t="shared" si="28"/>
        <v>1</v>
      </c>
      <c r="T344" s="6">
        <f t="shared" si="29"/>
        <v>0</v>
      </c>
      <c r="U344" s="6">
        <f t="shared" si="29"/>
        <v>0</v>
      </c>
      <c r="V344" s="6">
        <f t="shared" si="29"/>
        <v>0</v>
      </c>
      <c r="W344" s="6">
        <f t="shared" si="29"/>
        <v>1</v>
      </c>
      <c r="X344" s="6">
        <f t="shared" si="29"/>
        <v>0</v>
      </c>
      <c r="Y344" s="6">
        <f t="shared" si="29"/>
        <v>0</v>
      </c>
      <c r="Z344" s="6">
        <f t="shared" si="29"/>
        <v>0</v>
      </c>
      <c r="AA344" s="6">
        <f t="shared" si="29"/>
        <v>0</v>
      </c>
      <c r="AB344" s="6">
        <f t="shared" si="29"/>
        <v>0</v>
      </c>
      <c r="AC344" s="6" t="s">
        <v>25</v>
      </c>
      <c r="AD344" s="6" t="s">
        <v>23</v>
      </c>
      <c r="AE344" s="6" t="s">
        <v>24</v>
      </c>
      <c r="AF344" s="6" t="s">
        <v>48</v>
      </c>
    </row>
    <row r="345" spans="1:32" x14ac:dyDescent="0.3">
      <c r="A345" s="7">
        <v>344</v>
      </c>
      <c r="B345" s="7" t="s">
        <v>14</v>
      </c>
      <c r="C345" s="7">
        <f t="shared" si="26"/>
        <v>0</v>
      </c>
      <c r="D345" s="7">
        <f t="shared" si="27"/>
        <v>1</v>
      </c>
      <c r="E345" s="7">
        <f t="shared" si="27"/>
        <v>0</v>
      </c>
      <c r="F345" s="7">
        <f t="shared" si="27"/>
        <v>0</v>
      </c>
      <c r="G345" s="7">
        <f t="shared" si="27"/>
        <v>1</v>
      </c>
      <c r="H345" s="7">
        <f t="shared" si="27"/>
        <v>1</v>
      </c>
      <c r="I345" s="8" t="s">
        <v>15</v>
      </c>
      <c r="J345" s="8" t="s">
        <v>43</v>
      </c>
      <c r="K345" s="8" t="str">
        <f>_xlfn.XLOOKUP(J345,Worksheet!$F$1:$F$48,Worksheet!$G$1:$G$48,0)</f>
        <v>Lack of awareness</v>
      </c>
      <c r="L345" s="8" t="s">
        <v>29</v>
      </c>
      <c r="M345" s="8" t="s">
        <v>15</v>
      </c>
      <c r="N345" s="8" t="s">
        <v>58</v>
      </c>
      <c r="O345" s="8">
        <v>4</v>
      </c>
      <c r="P345" s="8" t="s">
        <v>45</v>
      </c>
      <c r="Q345" s="8" t="s">
        <v>63</v>
      </c>
      <c r="R345" s="8" t="s">
        <v>139</v>
      </c>
      <c r="S345" s="8">
        <f t="shared" si="28"/>
        <v>0</v>
      </c>
      <c r="T345" s="8">
        <f t="shared" si="29"/>
        <v>1</v>
      </c>
      <c r="U345" s="8">
        <f t="shared" si="29"/>
        <v>0</v>
      </c>
      <c r="V345" s="8">
        <f t="shared" si="29"/>
        <v>0</v>
      </c>
      <c r="W345" s="8">
        <f t="shared" si="29"/>
        <v>0</v>
      </c>
      <c r="X345" s="8">
        <f t="shared" si="29"/>
        <v>0</v>
      </c>
      <c r="Y345" s="8">
        <f t="shared" si="29"/>
        <v>0</v>
      </c>
      <c r="Z345" s="8">
        <f t="shared" si="29"/>
        <v>0</v>
      </c>
      <c r="AA345" s="8">
        <f t="shared" si="29"/>
        <v>0</v>
      </c>
      <c r="AB345" s="8">
        <f t="shared" si="29"/>
        <v>0</v>
      </c>
      <c r="AC345" s="8" t="s">
        <v>21</v>
      </c>
      <c r="AD345" s="8" t="s">
        <v>34</v>
      </c>
      <c r="AE345" s="8" t="s">
        <v>24</v>
      </c>
      <c r="AF345" s="8" t="s">
        <v>38</v>
      </c>
    </row>
    <row r="346" spans="1:32" x14ac:dyDescent="0.3">
      <c r="A346" s="5">
        <v>345</v>
      </c>
      <c r="B346" s="5" t="s">
        <v>55</v>
      </c>
      <c r="C346" s="5">
        <f t="shared" si="26"/>
        <v>0</v>
      </c>
      <c r="D346" s="5">
        <f t="shared" si="27"/>
        <v>0</v>
      </c>
      <c r="E346" s="5">
        <f t="shared" si="27"/>
        <v>0</v>
      </c>
      <c r="F346" s="5">
        <f t="shared" si="27"/>
        <v>0</v>
      </c>
      <c r="G346" s="5">
        <f t="shared" si="27"/>
        <v>0</v>
      </c>
      <c r="H346" s="5">
        <f t="shared" si="27"/>
        <v>1</v>
      </c>
      <c r="I346" s="6" t="s">
        <v>27</v>
      </c>
      <c r="J346" s="6" t="s">
        <v>43</v>
      </c>
      <c r="K346" s="6" t="str">
        <f>_xlfn.XLOOKUP(J346,Worksheet!$F$1:$F$48,Worksheet!$G$1:$G$48,0)</f>
        <v>Lack of awareness</v>
      </c>
      <c r="L346" s="6" t="s">
        <v>17</v>
      </c>
      <c r="M346" s="6" t="s">
        <v>49</v>
      </c>
      <c r="N346" s="6" t="s">
        <v>44</v>
      </c>
      <c r="O346" s="6">
        <v>5</v>
      </c>
      <c r="P346" s="6" t="s">
        <v>45</v>
      </c>
      <c r="Q346" s="6" t="s">
        <v>46</v>
      </c>
      <c r="R346" s="6" t="s">
        <v>56</v>
      </c>
      <c r="S346" s="6">
        <f t="shared" si="28"/>
        <v>1</v>
      </c>
      <c r="T346" s="6">
        <f t="shared" si="29"/>
        <v>0</v>
      </c>
      <c r="U346" s="6">
        <f t="shared" si="29"/>
        <v>0</v>
      </c>
      <c r="V346" s="6">
        <f t="shared" si="29"/>
        <v>0</v>
      </c>
      <c r="W346" s="6">
        <f t="shared" si="29"/>
        <v>0</v>
      </c>
      <c r="X346" s="6">
        <f t="shared" si="29"/>
        <v>0</v>
      </c>
      <c r="Y346" s="6">
        <f t="shared" si="29"/>
        <v>0</v>
      </c>
      <c r="Z346" s="6">
        <f t="shared" si="29"/>
        <v>0</v>
      </c>
      <c r="AA346" s="6">
        <f t="shared" si="29"/>
        <v>0</v>
      </c>
      <c r="AB346" s="6">
        <f t="shared" si="29"/>
        <v>0</v>
      </c>
      <c r="AC346" s="6" t="s">
        <v>25</v>
      </c>
      <c r="AD346" s="6" t="s">
        <v>34</v>
      </c>
      <c r="AE346" s="6" t="s">
        <v>54</v>
      </c>
      <c r="AF346" s="6" t="s">
        <v>48</v>
      </c>
    </row>
    <row r="347" spans="1:32" x14ac:dyDescent="0.3">
      <c r="A347" s="7">
        <v>346</v>
      </c>
      <c r="B347" s="7" t="s">
        <v>68</v>
      </c>
      <c r="C347" s="7">
        <f t="shared" si="26"/>
        <v>0</v>
      </c>
      <c r="D347" s="7">
        <f t="shared" si="27"/>
        <v>1</v>
      </c>
      <c r="E347" s="7">
        <f t="shared" si="27"/>
        <v>0</v>
      </c>
      <c r="F347" s="7">
        <f t="shared" si="27"/>
        <v>0</v>
      </c>
      <c r="G347" s="7">
        <f t="shared" si="27"/>
        <v>0</v>
      </c>
      <c r="H347" s="7">
        <f t="shared" si="27"/>
        <v>0</v>
      </c>
      <c r="I347" s="8" t="s">
        <v>27</v>
      </c>
      <c r="J347" s="8" t="s">
        <v>43</v>
      </c>
      <c r="K347" s="8" t="str">
        <f>_xlfn.XLOOKUP(J347,Worksheet!$F$1:$F$48,Worksheet!$G$1:$G$48,0)</f>
        <v>Lack of awareness</v>
      </c>
      <c r="L347" s="8" t="s">
        <v>29</v>
      </c>
      <c r="M347" s="8" t="s">
        <v>15</v>
      </c>
      <c r="N347" s="8" t="s">
        <v>70</v>
      </c>
      <c r="O347" s="8">
        <v>4</v>
      </c>
      <c r="P347" s="8" t="s">
        <v>59</v>
      </c>
      <c r="Q347" s="8" t="s">
        <v>63</v>
      </c>
      <c r="R347" s="8" t="s">
        <v>311</v>
      </c>
      <c r="S347" s="8">
        <f t="shared" si="28"/>
        <v>1</v>
      </c>
      <c r="T347" s="8">
        <f t="shared" si="29"/>
        <v>1</v>
      </c>
      <c r="U347" s="8">
        <f t="shared" si="29"/>
        <v>1</v>
      </c>
      <c r="V347" s="8">
        <f t="shared" si="29"/>
        <v>0</v>
      </c>
      <c r="W347" s="8">
        <f t="shared" si="29"/>
        <v>1</v>
      </c>
      <c r="X347" s="8">
        <f t="shared" si="29"/>
        <v>0</v>
      </c>
      <c r="Y347" s="8">
        <f t="shared" si="29"/>
        <v>0</v>
      </c>
      <c r="Z347" s="8">
        <f t="shared" si="29"/>
        <v>1</v>
      </c>
      <c r="AA347" s="8">
        <f t="shared" si="29"/>
        <v>1</v>
      </c>
      <c r="AB347" s="8">
        <f t="shared" si="29"/>
        <v>0</v>
      </c>
      <c r="AC347" s="8" t="s">
        <v>21</v>
      </c>
      <c r="AD347" s="8" t="s">
        <v>34</v>
      </c>
      <c r="AE347" s="8" t="s">
        <v>24</v>
      </c>
      <c r="AF347" s="8" t="s">
        <v>25</v>
      </c>
    </row>
    <row r="348" spans="1:32" x14ac:dyDescent="0.3">
      <c r="A348" s="5">
        <v>347</v>
      </c>
      <c r="B348" s="5" t="s">
        <v>100</v>
      </c>
      <c r="C348" s="5">
        <f t="shared" si="26"/>
        <v>1</v>
      </c>
      <c r="D348" s="5">
        <f t="shared" si="27"/>
        <v>0</v>
      </c>
      <c r="E348" s="5">
        <f t="shared" si="27"/>
        <v>0</v>
      </c>
      <c r="F348" s="5">
        <f t="shared" si="27"/>
        <v>0</v>
      </c>
      <c r="G348" s="5">
        <f t="shared" si="27"/>
        <v>0</v>
      </c>
      <c r="H348" s="5">
        <f t="shared" si="27"/>
        <v>0</v>
      </c>
      <c r="I348" s="6" t="s">
        <v>42</v>
      </c>
      <c r="J348" s="6" t="s">
        <v>36</v>
      </c>
      <c r="K348" s="6" t="str">
        <f>_xlfn.XLOOKUP(J348,Worksheet!$F$1:$F$48,Worksheet!$G$1:$G$48,0)</f>
        <v>Shame</v>
      </c>
      <c r="L348" s="6" t="s">
        <v>29</v>
      </c>
      <c r="M348" s="6" t="s">
        <v>30</v>
      </c>
      <c r="N348" s="6" t="s">
        <v>51</v>
      </c>
      <c r="O348" s="6">
        <v>4</v>
      </c>
      <c r="P348" s="6" t="s">
        <v>72</v>
      </c>
      <c r="Q348" s="6" t="s">
        <v>63</v>
      </c>
      <c r="R348" s="6" t="s">
        <v>312</v>
      </c>
      <c r="S348" s="6">
        <f t="shared" si="28"/>
        <v>1</v>
      </c>
      <c r="T348" s="6">
        <f t="shared" si="29"/>
        <v>0</v>
      </c>
      <c r="U348" s="6">
        <f t="shared" si="29"/>
        <v>0</v>
      </c>
      <c r="V348" s="6">
        <f t="shared" si="29"/>
        <v>1</v>
      </c>
      <c r="W348" s="6">
        <f t="shared" si="29"/>
        <v>0</v>
      </c>
      <c r="X348" s="6">
        <f t="shared" si="29"/>
        <v>0</v>
      </c>
      <c r="Y348" s="6">
        <f t="shared" si="29"/>
        <v>0</v>
      </c>
      <c r="Z348" s="6">
        <f t="shared" si="29"/>
        <v>0</v>
      </c>
      <c r="AA348" s="6">
        <f t="shared" si="29"/>
        <v>1</v>
      </c>
      <c r="AB348" s="6">
        <f t="shared" si="29"/>
        <v>0</v>
      </c>
      <c r="AC348" s="6" t="s">
        <v>21</v>
      </c>
      <c r="AD348" s="6" t="s">
        <v>23</v>
      </c>
      <c r="AE348" s="6" t="s">
        <v>24</v>
      </c>
      <c r="AF348" s="6" t="s">
        <v>25</v>
      </c>
    </row>
    <row r="349" spans="1:32" x14ac:dyDescent="0.3">
      <c r="A349" s="7">
        <v>348</v>
      </c>
      <c r="B349" s="7" t="s">
        <v>100</v>
      </c>
      <c r="C349" s="7">
        <f t="shared" si="26"/>
        <v>1</v>
      </c>
      <c r="D349" s="7">
        <f t="shared" si="27"/>
        <v>0</v>
      </c>
      <c r="E349" s="7">
        <f t="shared" si="27"/>
        <v>0</v>
      </c>
      <c r="F349" s="7">
        <f t="shared" si="27"/>
        <v>0</v>
      </c>
      <c r="G349" s="7">
        <f t="shared" si="27"/>
        <v>0</v>
      </c>
      <c r="H349" s="7">
        <f t="shared" si="27"/>
        <v>0</v>
      </c>
      <c r="I349" s="8" t="s">
        <v>27</v>
      </c>
      <c r="J349" s="8" t="s">
        <v>16</v>
      </c>
      <c r="K349" s="8" t="str">
        <f>_xlfn.XLOOKUP(J349,Worksheet!$F$1:$F$48,Worksheet!$G$1:$G$48,0)</f>
        <v>Cost</v>
      </c>
      <c r="L349" s="8" t="s">
        <v>37</v>
      </c>
      <c r="M349" s="8" t="s">
        <v>30</v>
      </c>
      <c r="N349" s="8" t="s">
        <v>44</v>
      </c>
      <c r="O349" s="8">
        <v>5</v>
      </c>
      <c r="P349" s="8" t="s">
        <v>45</v>
      </c>
      <c r="Q349" s="8" t="s">
        <v>46</v>
      </c>
      <c r="R349" s="8" t="s">
        <v>60</v>
      </c>
      <c r="S349" s="8">
        <f t="shared" si="28"/>
        <v>1</v>
      </c>
      <c r="T349" s="8">
        <f t="shared" si="29"/>
        <v>0</v>
      </c>
      <c r="U349" s="8">
        <f t="shared" ref="T349:AB377" si="30">IFERROR(IF(SEARCH(U$1,$R349)&gt;0,1,0),0)</f>
        <v>1</v>
      </c>
      <c r="V349" s="8">
        <f t="shared" si="30"/>
        <v>0</v>
      </c>
      <c r="W349" s="8">
        <f t="shared" si="30"/>
        <v>0</v>
      </c>
      <c r="X349" s="8">
        <f t="shared" si="30"/>
        <v>0</v>
      </c>
      <c r="Y349" s="8">
        <f t="shared" si="30"/>
        <v>0</v>
      </c>
      <c r="Z349" s="8">
        <f t="shared" si="30"/>
        <v>0</v>
      </c>
      <c r="AA349" s="8">
        <f t="shared" si="30"/>
        <v>0</v>
      </c>
      <c r="AB349" s="8">
        <f t="shared" si="30"/>
        <v>0</v>
      </c>
      <c r="AC349" s="8" t="s">
        <v>21</v>
      </c>
      <c r="AD349" s="8" t="s">
        <v>23</v>
      </c>
      <c r="AE349" s="8" t="s">
        <v>24</v>
      </c>
      <c r="AF349" s="8" t="s">
        <v>25</v>
      </c>
    </row>
    <row r="350" spans="1:32" x14ac:dyDescent="0.3">
      <c r="A350" s="5">
        <v>349</v>
      </c>
      <c r="B350" s="5" t="s">
        <v>343</v>
      </c>
      <c r="C350" s="5">
        <f t="shared" si="26"/>
        <v>0</v>
      </c>
      <c r="D350" s="5">
        <f t="shared" si="27"/>
        <v>1</v>
      </c>
      <c r="E350" s="5">
        <f t="shared" si="27"/>
        <v>1</v>
      </c>
      <c r="F350" s="5">
        <f t="shared" si="27"/>
        <v>0</v>
      </c>
      <c r="G350" s="5">
        <f t="shared" si="27"/>
        <v>0</v>
      </c>
      <c r="H350" s="5">
        <f t="shared" si="27"/>
        <v>1</v>
      </c>
      <c r="I350" s="6" t="s">
        <v>15</v>
      </c>
      <c r="J350" s="6" t="s">
        <v>16</v>
      </c>
      <c r="K350" s="6" t="str">
        <f>_xlfn.XLOOKUP(J350,Worksheet!$F$1:$F$48,Worksheet!$G$1:$G$48,0)</f>
        <v>Cost</v>
      </c>
      <c r="L350" s="6" t="s">
        <v>356</v>
      </c>
      <c r="M350" s="6" t="s">
        <v>30</v>
      </c>
      <c r="N350" s="6" t="s">
        <v>44</v>
      </c>
      <c r="O350" s="6">
        <v>3</v>
      </c>
      <c r="P350" s="6" t="s">
        <v>59</v>
      </c>
      <c r="Q350" s="6" t="s">
        <v>63</v>
      </c>
      <c r="R350" s="6" t="s">
        <v>313</v>
      </c>
      <c r="S350" s="6">
        <f t="shared" si="28"/>
        <v>1</v>
      </c>
      <c r="T350" s="6">
        <f t="shared" si="30"/>
        <v>0</v>
      </c>
      <c r="U350" s="6">
        <f t="shared" si="30"/>
        <v>0</v>
      </c>
      <c r="V350" s="6">
        <f t="shared" si="30"/>
        <v>1</v>
      </c>
      <c r="W350" s="6">
        <f t="shared" si="30"/>
        <v>0</v>
      </c>
      <c r="X350" s="6">
        <f t="shared" si="30"/>
        <v>0</v>
      </c>
      <c r="Y350" s="6">
        <f t="shared" si="30"/>
        <v>1</v>
      </c>
      <c r="Z350" s="6">
        <f t="shared" si="30"/>
        <v>0</v>
      </c>
      <c r="AA350" s="6">
        <f t="shared" si="30"/>
        <v>0</v>
      </c>
      <c r="AB350" s="6">
        <f t="shared" si="30"/>
        <v>1</v>
      </c>
      <c r="AC350" s="6" t="s">
        <v>21</v>
      </c>
      <c r="AD350" s="6" t="s">
        <v>23</v>
      </c>
      <c r="AE350" s="6" t="s">
        <v>24</v>
      </c>
      <c r="AF350" s="6" t="s">
        <v>48</v>
      </c>
    </row>
    <row r="351" spans="1:32" x14ac:dyDescent="0.3">
      <c r="A351" s="7">
        <v>350</v>
      </c>
      <c r="B351" s="7" t="s">
        <v>344</v>
      </c>
      <c r="C351" s="7">
        <f t="shared" si="26"/>
        <v>0</v>
      </c>
      <c r="D351" s="7">
        <f t="shared" si="27"/>
        <v>0</v>
      </c>
      <c r="E351" s="7">
        <f t="shared" si="27"/>
        <v>1</v>
      </c>
      <c r="F351" s="7">
        <f t="shared" si="27"/>
        <v>0</v>
      </c>
      <c r="G351" s="7">
        <f t="shared" si="27"/>
        <v>0</v>
      </c>
      <c r="H351" s="7">
        <f t="shared" si="27"/>
        <v>0</v>
      </c>
      <c r="I351" s="8" t="s">
        <v>15</v>
      </c>
      <c r="J351" s="8" t="s">
        <v>43</v>
      </c>
      <c r="K351" s="8" t="str">
        <f>_xlfn.XLOOKUP(J351,Worksheet!$F$1:$F$48,Worksheet!$G$1:$G$48,0)</f>
        <v>Lack of awareness</v>
      </c>
      <c r="L351" s="8" t="s">
        <v>356</v>
      </c>
      <c r="M351" s="8" t="s">
        <v>102</v>
      </c>
      <c r="N351" s="8" t="s">
        <v>58</v>
      </c>
      <c r="O351" s="8">
        <v>2</v>
      </c>
      <c r="P351" s="8" t="s">
        <v>45</v>
      </c>
      <c r="Q351" s="8" t="s">
        <v>63</v>
      </c>
      <c r="R351" s="8" t="s">
        <v>315</v>
      </c>
      <c r="S351" s="8">
        <f t="shared" si="28"/>
        <v>0</v>
      </c>
      <c r="T351" s="8">
        <f t="shared" si="30"/>
        <v>1</v>
      </c>
      <c r="U351" s="8">
        <f t="shared" si="30"/>
        <v>0</v>
      </c>
      <c r="V351" s="8">
        <f t="shared" si="30"/>
        <v>1</v>
      </c>
      <c r="W351" s="8">
        <f t="shared" si="30"/>
        <v>0</v>
      </c>
      <c r="X351" s="8">
        <f t="shared" si="30"/>
        <v>1</v>
      </c>
      <c r="Y351" s="8">
        <f t="shared" si="30"/>
        <v>0</v>
      </c>
      <c r="Z351" s="8">
        <f t="shared" si="30"/>
        <v>0</v>
      </c>
      <c r="AA351" s="8">
        <f t="shared" si="30"/>
        <v>1</v>
      </c>
      <c r="AB351" s="8">
        <f t="shared" si="30"/>
        <v>0</v>
      </c>
      <c r="AC351" s="8" t="s">
        <v>25</v>
      </c>
      <c r="AD351" s="8" t="s">
        <v>23</v>
      </c>
      <c r="AE351" s="8" t="s">
        <v>24</v>
      </c>
      <c r="AF351" s="8" t="s">
        <v>21</v>
      </c>
    </row>
    <row r="352" spans="1:32" x14ac:dyDescent="0.3">
      <c r="A352" s="5">
        <v>351</v>
      </c>
      <c r="B352" s="5" t="s">
        <v>100</v>
      </c>
      <c r="C352" s="5">
        <f t="shared" si="26"/>
        <v>1</v>
      </c>
      <c r="D352" s="5">
        <f t="shared" si="27"/>
        <v>0</v>
      </c>
      <c r="E352" s="5">
        <f t="shared" si="27"/>
        <v>0</v>
      </c>
      <c r="F352" s="5">
        <f t="shared" si="27"/>
        <v>0</v>
      </c>
      <c r="G352" s="5">
        <f t="shared" si="27"/>
        <v>0</v>
      </c>
      <c r="H352" s="5">
        <f t="shared" si="27"/>
        <v>0</v>
      </c>
      <c r="I352" s="6" t="s">
        <v>49</v>
      </c>
      <c r="J352" s="6" t="s">
        <v>43</v>
      </c>
      <c r="K352" s="6" t="str">
        <f>_xlfn.XLOOKUP(J352,Worksheet!$F$1:$F$48,Worksheet!$G$1:$G$48,0)</f>
        <v>Lack of awareness</v>
      </c>
      <c r="L352" s="6" t="s">
        <v>356</v>
      </c>
      <c r="M352" s="6" t="s">
        <v>18</v>
      </c>
      <c r="N352" s="6" t="s">
        <v>51</v>
      </c>
      <c r="O352" s="6">
        <v>5</v>
      </c>
      <c r="P352" s="6" t="s">
        <v>59</v>
      </c>
      <c r="Q352" s="6" t="s">
        <v>52</v>
      </c>
      <c r="R352" s="6" t="s">
        <v>139</v>
      </c>
      <c r="S352" s="6">
        <f t="shared" si="28"/>
        <v>0</v>
      </c>
      <c r="T352" s="6">
        <f t="shared" si="30"/>
        <v>1</v>
      </c>
      <c r="U352" s="6">
        <f t="shared" si="30"/>
        <v>0</v>
      </c>
      <c r="V352" s="6">
        <f t="shared" si="30"/>
        <v>0</v>
      </c>
      <c r="W352" s="6">
        <f t="shared" si="30"/>
        <v>0</v>
      </c>
      <c r="X352" s="6">
        <f t="shared" si="30"/>
        <v>0</v>
      </c>
      <c r="Y352" s="6">
        <f t="shared" si="30"/>
        <v>0</v>
      </c>
      <c r="Z352" s="6">
        <f t="shared" si="30"/>
        <v>0</v>
      </c>
      <c r="AA352" s="6">
        <f t="shared" si="30"/>
        <v>0</v>
      </c>
      <c r="AB352" s="6">
        <f t="shared" si="30"/>
        <v>0</v>
      </c>
      <c r="AC352" s="6" t="s">
        <v>25</v>
      </c>
      <c r="AD352" s="6" t="s">
        <v>34</v>
      </c>
      <c r="AE352" s="6" t="s">
        <v>88</v>
      </c>
      <c r="AF352" s="6" t="s">
        <v>82</v>
      </c>
    </row>
    <row r="353" spans="1:32" x14ac:dyDescent="0.3">
      <c r="A353" s="7">
        <v>352</v>
      </c>
      <c r="B353" s="7" t="s">
        <v>66</v>
      </c>
      <c r="C353" s="7">
        <f t="shared" si="26"/>
        <v>0</v>
      </c>
      <c r="D353" s="7">
        <f t="shared" si="27"/>
        <v>1</v>
      </c>
      <c r="E353" s="7">
        <f t="shared" si="27"/>
        <v>0</v>
      </c>
      <c r="F353" s="7">
        <f t="shared" si="27"/>
        <v>0</v>
      </c>
      <c r="G353" s="7">
        <f t="shared" si="27"/>
        <v>0</v>
      </c>
      <c r="H353" s="7">
        <f t="shared" si="27"/>
        <v>1</v>
      </c>
      <c r="I353" s="8" t="s">
        <v>15</v>
      </c>
      <c r="J353" s="8" t="s">
        <v>124</v>
      </c>
      <c r="K353" s="8" t="str">
        <f>_xlfn.XLOOKUP(J353,Worksheet!$F$1:$F$48,Worksheet!$G$1:$G$48,0)</f>
        <v>Fear</v>
      </c>
      <c r="L353" s="8" t="s">
        <v>29</v>
      </c>
      <c r="M353" s="8" t="s">
        <v>15</v>
      </c>
      <c r="N353" s="8" t="s">
        <v>44</v>
      </c>
      <c r="O353" s="8">
        <v>4</v>
      </c>
      <c r="P353" s="8" t="s">
        <v>59</v>
      </c>
      <c r="Q353" s="8" t="s">
        <v>63</v>
      </c>
      <c r="R353" s="8" t="s">
        <v>60</v>
      </c>
      <c r="S353" s="8">
        <f t="shared" si="28"/>
        <v>1</v>
      </c>
      <c r="T353" s="8">
        <f t="shared" si="30"/>
        <v>0</v>
      </c>
      <c r="U353" s="8">
        <f t="shared" si="30"/>
        <v>1</v>
      </c>
      <c r="V353" s="8">
        <f t="shared" si="30"/>
        <v>0</v>
      </c>
      <c r="W353" s="8">
        <f t="shared" si="30"/>
        <v>0</v>
      </c>
      <c r="X353" s="8">
        <f t="shared" si="30"/>
        <v>0</v>
      </c>
      <c r="Y353" s="8">
        <f t="shared" si="30"/>
        <v>0</v>
      </c>
      <c r="Z353" s="8">
        <f t="shared" si="30"/>
        <v>0</v>
      </c>
      <c r="AA353" s="8">
        <f t="shared" si="30"/>
        <v>0</v>
      </c>
      <c r="AB353" s="8">
        <f t="shared" si="30"/>
        <v>0</v>
      </c>
      <c r="AC353" s="8" t="s">
        <v>21</v>
      </c>
      <c r="AD353" s="8" t="s">
        <v>34</v>
      </c>
      <c r="AE353" s="8" t="s">
        <v>24</v>
      </c>
      <c r="AF353" s="8" t="s">
        <v>25</v>
      </c>
    </row>
    <row r="354" spans="1:32" x14ac:dyDescent="0.3">
      <c r="A354" s="5">
        <v>353</v>
      </c>
      <c r="B354" s="5" t="s">
        <v>55</v>
      </c>
      <c r="C354" s="5">
        <f t="shared" si="26"/>
        <v>0</v>
      </c>
      <c r="D354" s="5">
        <f t="shared" si="27"/>
        <v>0</v>
      </c>
      <c r="E354" s="5">
        <f t="shared" si="27"/>
        <v>0</v>
      </c>
      <c r="F354" s="5">
        <f t="shared" si="27"/>
        <v>0</v>
      </c>
      <c r="G354" s="5">
        <f t="shared" si="27"/>
        <v>0</v>
      </c>
      <c r="H354" s="5">
        <f t="shared" si="27"/>
        <v>1</v>
      </c>
      <c r="I354" s="6" t="s">
        <v>27</v>
      </c>
      <c r="J354" s="6" t="s">
        <v>43</v>
      </c>
      <c r="K354" s="6" t="str">
        <f>_xlfn.XLOOKUP(J354,Worksheet!$F$1:$F$48,Worksheet!$G$1:$G$48,0)</f>
        <v>Lack of awareness</v>
      </c>
      <c r="L354" s="6" t="s">
        <v>17</v>
      </c>
      <c r="M354" s="6" t="s">
        <v>30</v>
      </c>
      <c r="N354" s="6" t="s">
        <v>51</v>
      </c>
      <c r="O354" s="6">
        <v>3</v>
      </c>
      <c r="P354" s="6" t="s">
        <v>45</v>
      </c>
      <c r="Q354" s="6" t="s">
        <v>46</v>
      </c>
      <c r="R354" s="6" t="s">
        <v>316</v>
      </c>
      <c r="S354" s="6">
        <f t="shared" si="28"/>
        <v>1</v>
      </c>
      <c r="T354" s="6">
        <f t="shared" si="30"/>
        <v>1</v>
      </c>
      <c r="U354" s="6">
        <f t="shared" si="30"/>
        <v>1</v>
      </c>
      <c r="V354" s="6">
        <f t="shared" si="30"/>
        <v>0</v>
      </c>
      <c r="W354" s="6">
        <f t="shared" si="30"/>
        <v>1</v>
      </c>
      <c r="X354" s="6">
        <f t="shared" si="30"/>
        <v>1</v>
      </c>
      <c r="Y354" s="6">
        <f t="shared" si="30"/>
        <v>1</v>
      </c>
      <c r="Z354" s="6">
        <f t="shared" si="30"/>
        <v>1</v>
      </c>
      <c r="AA354" s="6">
        <f t="shared" si="30"/>
        <v>0</v>
      </c>
      <c r="AB354" s="6">
        <f t="shared" si="30"/>
        <v>0</v>
      </c>
      <c r="AC354" s="6" t="s">
        <v>21</v>
      </c>
      <c r="AD354" s="6" t="s">
        <v>34</v>
      </c>
      <c r="AE354" s="6" t="s">
        <v>24</v>
      </c>
      <c r="AF354" s="6" t="s">
        <v>21</v>
      </c>
    </row>
    <row r="355" spans="1:32" x14ac:dyDescent="0.3">
      <c r="A355" s="7">
        <v>354</v>
      </c>
      <c r="B355" s="7" t="s">
        <v>55</v>
      </c>
      <c r="C355" s="7">
        <f t="shared" si="26"/>
        <v>0</v>
      </c>
      <c r="D355" s="7">
        <f t="shared" si="27"/>
        <v>0</v>
      </c>
      <c r="E355" s="7">
        <f t="shared" si="27"/>
        <v>0</v>
      </c>
      <c r="F355" s="7">
        <f t="shared" ref="D355:H388" si="31">IFERROR(IF(SEARCH(F$1,$B355)&gt;0,1,0),0)</f>
        <v>0</v>
      </c>
      <c r="G355" s="7">
        <f t="shared" si="31"/>
        <v>0</v>
      </c>
      <c r="H355" s="7">
        <f t="shared" si="31"/>
        <v>1</v>
      </c>
      <c r="I355" s="8" t="s">
        <v>15</v>
      </c>
      <c r="J355" s="8" t="s">
        <v>43</v>
      </c>
      <c r="K355" s="8" t="str">
        <f>_xlfn.XLOOKUP(J355,Worksheet!$F$1:$F$48,Worksheet!$G$1:$G$48,0)</f>
        <v>Lack of awareness</v>
      </c>
      <c r="L355" s="8" t="s">
        <v>29</v>
      </c>
      <c r="M355" s="8" t="s">
        <v>30</v>
      </c>
      <c r="N355" s="8" t="s">
        <v>58</v>
      </c>
      <c r="O355" s="8">
        <v>5</v>
      </c>
      <c r="P355" s="8" t="s">
        <v>45</v>
      </c>
      <c r="Q355" s="8" t="s">
        <v>46</v>
      </c>
      <c r="R355" s="8" t="s">
        <v>315</v>
      </c>
      <c r="S355" s="8">
        <f t="shared" si="28"/>
        <v>0</v>
      </c>
      <c r="T355" s="8">
        <f t="shared" si="30"/>
        <v>1</v>
      </c>
      <c r="U355" s="8">
        <f t="shared" si="30"/>
        <v>0</v>
      </c>
      <c r="V355" s="8">
        <f t="shared" si="30"/>
        <v>1</v>
      </c>
      <c r="W355" s="8">
        <f t="shared" si="30"/>
        <v>0</v>
      </c>
      <c r="X355" s="8">
        <f t="shared" si="30"/>
        <v>1</v>
      </c>
      <c r="Y355" s="8">
        <f t="shared" si="30"/>
        <v>0</v>
      </c>
      <c r="Z355" s="8">
        <f t="shared" si="30"/>
        <v>0</v>
      </c>
      <c r="AA355" s="8">
        <f t="shared" si="30"/>
        <v>1</v>
      </c>
      <c r="AB355" s="8">
        <f t="shared" si="30"/>
        <v>0</v>
      </c>
      <c r="AC355" s="8" t="s">
        <v>21</v>
      </c>
      <c r="AD355" s="8" t="s">
        <v>23</v>
      </c>
      <c r="AE355" s="8" t="s">
        <v>24</v>
      </c>
      <c r="AF355" s="8" t="s">
        <v>21</v>
      </c>
    </row>
    <row r="356" spans="1:32" x14ac:dyDescent="0.3">
      <c r="A356" s="5">
        <v>355</v>
      </c>
      <c r="B356" s="5" t="s">
        <v>103</v>
      </c>
      <c r="C356" s="5">
        <f t="shared" si="26"/>
        <v>1</v>
      </c>
      <c r="D356" s="5">
        <f t="shared" si="31"/>
        <v>1</v>
      </c>
      <c r="E356" s="5">
        <f t="shared" si="31"/>
        <v>0</v>
      </c>
      <c r="F356" s="5">
        <f t="shared" si="31"/>
        <v>0</v>
      </c>
      <c r="G356" s="5">
        <f t="shared" si="31"/>
        <v>0</v>
      </c>
      <c r="H356" s="5">
        <f t="shared" si="31"/>
        <v>0</v>
      </c>
      <c r="I356" s="6" t="s">
        <v>49</v>
      </c>
      <c r="J356" s="6" t="s">
        <v>317</v>
      </c>
      <c r="K356" s="6" t="str">
        <f>_xlfn.XLOOKUP(J356,Worksheet!$F$1:$F$48,Worksheet!$G$1:$G$48,0)</f>
        <v>Testing</v>
      </c>
      <c r="L356" s="6" t="s">
        <v>50</v>
      </c>
      <c r="M356" s="6" t="s">
        <v>30</v>
      </c>
      <c r="N356" s="6" t="s">
        <v>51</v>
      </c>
      <c r="O356" s="6">
        <v>5</v>
      </c>
      <c r="P356" s="6" t="s">
        <v>59</v>
      </c>
      <c r="Q356" s="6" t="s">
        <v>52</v>
      </c>
      <c r="R356" s="6" t="s">
        <v>139</v>
      </c>
      <c r="S356" s="6">
        <f t="shared" si="28"/>
        <v>0</v>
      </c>
      <c r="T356" s="6">
        <f t="shared" si="30"/>
        <v>1</v>
      </c>
      <c r="U356" s="6">
        <f t="shared" si="30"/>
        <v>0</v>
      </c>
      <c r="V356" s="6">
        <f t="shared" si="30"/>
        <v>0</v>
      </c>
      <c r="W356" s="6">
        <f t="shared" si="30"/>
        <v>0</v>
      </c>
      <c r="X356" s="6">
        <f t="shared" si="30"/>
        <v>0</v>
      </c>
      <c r="Y356" s="6">
        <f t="shared" si="30"/>
        <v>0</v>
      </c>
      <c r="Z356" s="6">
        <f t="shared" si="30"/>
        <v>0</v>
      </c>
      <c r="AA356" s="6">
        <f t="shared" si="30"/>
        <v>0</v>
      </c>
      <c r="AB356" s="6">
        <f t="shared" si="30"/>
        <v>0</v>
      </c>
      <c r="AC356" s="6" t="s">
        <v>25</v>
      </c>
      <c r="AD356" s="6" t="s">
        <v>34</v>
      </c>
      <c r="AE356" s="6" t="s">
        <v>88</v>
      </c>
      <c r="AF356" s="6" t="s">
        <v>25</v>
      </c>
    </row>
    <row r="357" spans="1:32" x14ac:dyDescent="0.3">
      <c r="A357" s="7">
        <v>356</v>
      </c>
      <c r="B357" s="7" t="s">
        <v>55</v>
      </c>
      <c r="C357" s="7">
        <f t="shared" ref="C357:C388" si="32">IFERROR(IF(SEARCH(C$1,$B357)&gt;0,1,0),0)</f>
        <v>0</v>
      </c>
      <c r="D357" s="7">
        <f t="shared" si="31"/>
        <v>0</v>
      </c>
      <c r="E357" s="7">
        <f t="shared" si="31"/>
        <v>0</v>
      </c>
      <c r="F357" s="7">
        <f t="shared" si="31"/>
        <v>0</v>
      </c>
      <c r="G357" s="7">
        <f t="shared" si="31"/>
        <v>0</v>
      </c>
      <c r="H357" s="7">
        <f t="shared" si="31"/>
        <v>1</v>
      </c>
      <c r="I357" s="8" t="s">
        <v>49</v>
      </c>
      <c r="J357" s="8" t="s">
        <v>36</v>
      </c>
      <c r="K357" s="8" t="str">
        <f>_xlfn.XLOOKUP(J357,Worksheet!$F$1:$F$48,Worksheet!$G$1:$G$48,0)</f>
        <v>Shame</v>
      </c>
      <c r="L357" s="8" t="s">
        <v>37</v>
      </c>
      <c r="M357" s="8" t="s">
        <v>15</v>
      </c>
      <c r="N357" s="8" t="s">
        <v>44</v>
      </c>
      <c r="O357" s="8">
        <v>2</v>
      </c>
      <c r="P357" s="8" t="s">
        <v>84</v>
      </c>
      <c r="Q357" s="8" t="s">
        <v>63</v>
      </c>
      <c r="R357" s="8" t="s">
        <v>139</v>
      </c>
      <c r="S357" s="8">
        <f t="shared" si="28"/>
        <v>0</v>
      </c>
      <c r="T357" s="8">
        <f t="shared" si="30"/>
        <v>1</v>
      </c>
      <c r="U357" s="8">
        <f t="shared" si="30"/>
        <v>0</v>
      </c>
      <c r="V357" s="8">
        <f t="shared" si="30"/>
        <v>0</v>
      </c>
      <c r="W357" s="8">
        <f t="shared" si="30"/>
        <v>0</v>
      </c>
      <c r="X357" s="8">
        <f t="shared" si="30"/>
        <v>0</v>
      </c>
      <c r="Y357" s="8">
        <f t="shared" si="30"/>
        <v>0</v>
      </c>
      <c r="Z357" s="8">
        <f t="shared" si="30"/>
        <v>0</v>
      </c>
      <c r="AA357" s="8">
        <f t="shared" si="30"/>
        <v>0</v>
      </c>
      <c r="AB357" s="8">
        <f t="shared" si="30"/>
        <v>0</v>
      </c>
      <c r="AC357" s="8" t="s">
        <v>21</v>
      </c>
      <c r="AD357" s="8" t="s">
        <v>23</v>
      </c>
      <c r="AE357" s="8" t="s">
        <v>24</v>
      </c>
      <c r="AF357" s="8" t="s">
        <v>25</v>
      </c>
    </row>
    <row r="358" spans="1:32" x14ac:dyDescent="0.3">
      <c r="A358" s="5">
        <v>357</v>
      </c>
      <c r="B358" s="5" t="s">
        <v>55</v>
      </c>
      <c r="C358" s="5">
        <f t="shared" si="32"/>
        <v>0</v>
      </c>
      <c r="D358" s="5">
        <f t="shared" si="31"/>
        <v>0</v>
      </c>
      <c r="E358" s="5">
        <f t="shared" si="31"/>
        <v>0</v>
      </c>
      <c r="F358" s="5">
        <f t="shared" si="31"/>
        <v>0</v>
      </c>
      <c r="G358" s="5">
        <f t="shared" si="31"/>
        <v>0</v>
      </c>
      <c r="H358" s="5">
        <f t="shared" si="31"/>
        <v>1</v>
      </c>
      <c r="I358" s="6" t="s">
        <v>49</v>
      </c>
      <c r="J358" s="6" t="s">
        <v>318</v>
      </c>
      <c r="K358" s="6" t="str">
        <f>_xlfn.XLOOKUP(J358,Worksheet!$F$1:$F$48,Worksheet!$G$1:$G$48,0)</f>
        <v>NA</v>
      </c>
      <c r="L358" s="6" t="s">
        <v>50</v>
      </c>
      <c r="M358" s="6" t="s">
        <v>49</v>
      </c>
      <c r="N358" s="6" t="s">
        <v>58</v>
      </c>
      <c r="O358" s="6">
        <v>5</v>
      </c>
      <c r="P358" s="6" t="s">
        <v>45</v>
      </c>
      <c r="Q358" s="6" t="s">
        <v>52</v>
      </c>
      <c r="R358" s="6" t="s">
        <v>139</v>
      </c>
      <c r="S358" s="6">
        <f t="shared" si="28"/>
        <v>0</v>
      </c>
      <c r="T358" s="6">
        <f t="shared" si="30"/>
        <v>1</v>
      </c>
      <c r="U358" s="6">
        <f t="shared" si="30"/>
        <v>0</v>
      </c>
      <c r="V358" s="6">
        <f t="shared" si="30"/>
        <v>0</v>
      </c>
      <c r="W358" s="6">
        <f t="shared" si="30"/>
        <v>0</v>
      </c>
      <c r="X358" s="6">
        <f t="shared" si="30"/>
        <v>0</v>
      </c>
      <c r="Y358" s="6">
        <f t="shared" si="30"/>
        <v>0</v>
      </c>
      <c r="Z358" s="6">
        <f t="shared" si="30"/>
        <v>0</v>
      </c>
      <c r="AA358" s="6">
        <f t="shared" si="30"/>
        <v>0</v>
      </c>
      <c r="AB358" s="6">
        <f t="shared" si="30"/>
        <v>0</v>
      </c>
      <c r="AC358" s="6" t="s">
        <v>21</v>
      </c>
      <c r="AD358" s="6" t="s">
        <v>34</v>
      </c>
      <c r="AE358" s="6" t="s">
        <v>88</v>
      </c>
      <c r="AF358" s="6" t="s">
        <v>25</v>
      </c>
    </row>
    <row r="359" spans="1:32" x14ac:dyDescent="0.3">
      <c r="A359" s="7">
        <v>358</v>
      </c>
      <c r="B359" s="7" t="s">
        <v>55</v>
      </c>
      <c r="C359" s="7">
        <f t="shared" si="32"/>
        <v>0</v>
      </c>
      <c r="D359" s="7">
        <f t="shared" si="31"/>
        <v>0</v>
      </c>
      <c r="E359" s="7">
        <f t="shared" si="31"/>
        <v>0</v>
      </c>
      <c r="F359" s="7">
        <f t="shared" si="31"/>
        <v>0</v>
      </c>
      <c r="G359" s="7">
        <f t="shared" si="31"/>
        <v>0</v>
      </c>
      <c r="H359" s="7">
        <f t="shared" si="31"/>
        <v>1</v>
      </c>
      <c r="I359" s="8" t="s">
        <v>27</v>
      </c>
      <c r="J359" s="8" t="s">
        <v>124</v>
      </c>
      <c r="K359" s="8" t="str">
        <f>_xlfn.XLOOKUP(J359,Worksheet!$F$1:$F$48,Worksheet!$G$1:$G$48,0)</f>
        <v>Fear</v>
      </c>
      <c r="L359" s="8" t="s">
        <v>37</v>
      </c>
      <c r="M359" s="8" t="s">
        <v>15</v>
      </c>
      <c r="N359" s="8" t="s">
        <v>44</v>
      </c>
      <c r="O359" s="8">
        <v>5</v>
      </c>
      <c r="P359" s="8" t="s">
        <v>45</v>
      </c>
      <c r="Q359" s="8" t="s">
        <v>63</v>
      </c>
      <c r="R359" s="8" t="s">
        <v>158</v>
      </c>
      <c r="S359" s="8">
        <f t="shared" si="28"/>
        <v>0</v>
      </c>
      <c r="T359" s="8">
        <f t="shared" si="30"/>
        <v>1</v>
      </c>
      <c r="U359" s="8">
        <f t="shared" si="30"/>
        <v>1</v>
      </c>
      <c r="V359" s="8">
        <f t="shared" si="30"/>
        <v>0</v>
      </c>
      <c r="W359" s="8">
        <f t="shared" si="30"/>
        <v>1</v>
      </c>
      <c r="X359" s="8">
        <f t="shared" si="30"/>
        <v>0</v>
      </c>
      <c r="Y359" s="8">
        <f t="shared" si="30"/>
        <v>0</v>
      </c>
      <c r="Z359" s="8">
        <f t="shared" si="30"/>
        <v>0</v>
      </c>
      <c r="AA359" s="8">
        <f t="shared" si="30"/>
        <v>0</v>
      </c>
      <c r="AB359" s="8">
        <f t="shared" si="30"/>
        <v>0</v>
      </c>
      <c r="AC359" s="8" t="s">
        <v>21</v>
      </c>
      <c r="AD359" s="8" t="s">
        <v>34</v>
      </c>
      <c r="AE359" s="8" t="s">
        <v>113</v>
      </c>
      <c r="AF359" s="8" t="s">
        <v>48</v>
      </c>
    </row>
    <row r="360" spans="1:32" x14ac:dyDescent="0.3">
      <c r="A360" s="5">
        <v>359</v>
      </c>
      <c r="B360" s="5" t="s">
        <v>55</v>
      </c>
      <c r="C360" s="5">
        <f t="shared" si="32"/>
        <v>0</v>
      </c>
      <c r="D360" s="5">
        <f t="shared" si="31"/>
        <v>0</v>
      </c>
      <c r="E360" s="5">
        <f t="shared" si="31"/>
        <v>0</v>
      </c>
      <c r="F360" s="5">
        <f t="shared" si="31"/>
        <v>0</v>
      </c>
      <c r="G360" s="5">
        <f t="shared" si="31"/>
        <v>0</v>
      </c>
      <c r="H360" s="5">
        <f t="shared" si="31"/>
        <v>1</v>
      </c>
      <c r="I360" s="6" t="s">
        <v>27</v>
      </c>
      <c r="J360" s="6" t="s">
        <v>83</v>
      </c>
      <c r="K360" s="6" t="str">
        <f>_xlfn.XLOOKUP(J360,Worksheet!$F$1:$F$48,Worksheet!$G$1:$G$48,0)</f>
        <v>Fear</v>
      </c>
      <c r="L360" s="6" t="s">
        <v>17</v>
      </c>
      <c r="M360" s="6" t="s">
        <v>18</v>
      </c>
      <c r="N360" s="6" t="s">
        <v>51</v>
      </c>
      <c r="O360" s="6">
        <v>3</v>
      </c>
      <c r="P360" s="6" t="s">
        <v>45</v>
      </c>
      <c r="Q360" s="6" t="s">
        <v>46</v>
      </c>
      <c r="R360" s="6" t="s">
        <v>56</v>
      </c>
      <c r="S360" s="6">
        <f t="shared" si="28"/>
        <v>1</v>
      </c>
      <c r="T360" s="6">
        <f t="shared" si="30"/>
        <v>0</v>
      </c>
      <c r="U360" s="6">
        <f t="shared" si="30"/>
        <v>0</v>
      </c>
      <c r="V360" s="6">
        <f t="shared" si="30"/>
        <v>0</v>
      </c>
      <c r="W360" s="6">
        <f t="shared" si="30"/>
        <v>0</v>
      </c>
      <c r="X360" s="6">
        <f t="shared" si="30"/>
        <v>0</v>
      </c>
      <c r="Y360" s="6">
        <f t="shared" si="30"/>
        <v>0</v>
      </c>
      <c r="Z360" s="6">
        <f t="shared" si="30"/>
        <v>0</v>
      </c>
      <c r="AA360" s="6">
        <f t="shared" si="30"/>
        <v>0</v>
      </c>
      <c r="AB360" s="6">
        <f t="shared" si="30"/>
        <v>0</v>
      </c>
      <c r="AC360" s="6" t="s">
        <v>25</v>
      </c>
      <c r="AD360" s="6" t="s">
        <v>34</v>
      </c>
      <c r="AE360" s="6" t="s">
        <v>88</v>
      </c>
      <c r="AF360" s="6" t="s">
        <v>25</v>
      </c>
    </row>
    <row r="361" spans="1:32" x14ac:dyDescent="0.3">
      <c r="A361" s="7">
        <v>360</v>
      </c>
      <c r="B361" s="7" t="s">
        <v>340</v>
      </c>
      <c r="C361" s="7">
        <f t="shared" si="32"/>
        <v>0</v>
      </c>
      <c r="D361" s="7">
        <f t="shared" si="31"/>
        <v>0</v>
      </c>
      <c r="E361" s="7">
        <f t="shared" si="31"/>
        <v>1</v>
      </c>
      <c r="F361" s="7">
        <f t="shared" si="31"/>
        <v>0</v>
      </c>
      <c r="G361" s="7">
        <f t="shared" si="31"/>
        <v>0</v>
      </c>
      <c r="H361" s="7">
        <f t="shared" si="31"/>
        <v>0</v>
      </c>
      <c r="I361" s="8" t="s">
        <v>15</v>
      </c>
      <c r="J361" s="8" t="s">
        <v>43</v>
      </c>
      <c r="K361" s="8" t="str">
        <f>_xlfn.XLOOKUP(J361,Worksheet!$F$1:$F$48,Worksheet!$G$1:$G$48,0)</f>
        <v>Lack of awareness</v>
      </c>
      <c r="L361" s="8" t="s">
        <v>50</v>
      </c>
      <c r="M361" s="8" t="s">
        <v>30</v>
      </c>
      <c r="N361" s="8" t="s">
        <v>70</v>
      </c>
      <c r="O361" s="8">
        <v>5</v>
      </c>
      <c r="P361" s="8" t="s">
        <v>45</v>
      </c>
      <c r="Q361" s="8" t="s">
        <v>63</v>
      </c>
      <c r="R361" s="8" t="s">
        <v>319</v>
      </c>
      <c r="S361" s="8">
        <f t="shared" si="28"/>
        <v>1</v>
      </c>
      <c r="T361" s="8">
        <f t="shared" si="30"/>
        <v>1</v>
      </c>
      <c r="U361" s="8">
        <f t="shared" si="30"/>
        <v>0</v>
      </c>
      <c r="V361" s="8">
        <f t="shared" si="30"/>
        <v>0</v>
      </c>
      <c r="W361" s="8">
        <f t="shared" si="30"/>
        <v>0</v>
      </c>
      <c r="X361" s="8">
        <f t="shared" si="30"/>
        <v>1</v>
      </c>
      <c r="Y361" s="8">
        <f t="shared" si="30"/>
        <v>1</v>
      </c>
      <c r="Z361" s="8">
        <f t="shared" si="30"/>
        <v>1</v>
      </c>
      <c r="AA361" s="8">
        <f t="shared" si="30"/>
        <v>1</v>
      </c>
      <c r="AB361" s="8">
        <f t="shared" si="30"/>
        <v>1</v>
      </c>
      <c r="AC361" s="8" t="s">
        <v>21</v>
      </c>
      <c r="AD361" s="8" t="s">
        <v>23</v>
      </c>
      <c r="AE361" s="8" t="s">
        <v>24</v>
      </c>
      <c r="AF361" s="8" t="s">
        <v>21</v>
      </c>
    </row>
    <row r="362" spans="1:32" x14ac:dyDescent="0.3">
      <c r="A362" s="5">
        <v>361</v>
      </c>
      <c r="B362" s="5" t="s">
        <v>66</v>
      </c>
      <c r="C362" s="5">
        <f t="shared" si="32"/>
        <v>0</v>
      </c>
      <c r="D362" s="5">
        <f t="shared" si="31"/>
        <v>1</v>
      </c>
      <c r="E362" s="5">
        <f t="shared" si="31"/>
        <v>0</v>
      </c>
      <c r="F362" s="5">
        <f t="shared" si="31"/>
        <v>0</v>
      </c>
      <c r="G362" s="5">
        <f t="shared" si="31"/>
        <v>0</v>
      </c>
      <c r="H362" s="5">
        <f t="shared" si="31"/>
        <v>1</v>
      </c>
      <c r="I362" s="6" t="s">
        <v>27</v>
      </c>
      <c r="J362" s="6" t="s">
        <v>16</v>
      </c>
      <c r="K362" s="6" t="str">
        <f>_xlfn.XLOOKUP(J362,Worksheet!$F$1:$F$48,Worksheet!$G$1:$G$48,0)</f>
        <v>Cost</v>
      </c>
      <c r="L362" s="6" t="s">
        <v>50</v>
      </c>
      <c r="M362" s="6" t="s">
        <v>102</v>
      </c>
      <c r="N362" s="6" t="s">
        <v>58</v>
      </c>
      <c r="O362" s="6">
        <v>5</v>
      </c>
      <c r="P362" s="6" t="s">
        <v>45</v>
      </c>
      <c r="Q362" s="6" t="s">
        <v>46</v>
      </c>
      <c r="R362" s="6" t="s">
        <v>67</v>
      </c>
      <c r="S362" s="6">
        <f t="shared" si="28"/>
        <v>1</v>
      </c>
      <c r="T362" s="6">
        <f t="shared" si="30"/>
        <v>1</v>
      </c>
      <c r="U362" s="6">
        <f t="shared" si="30"/>
        <v>1</v>
      </c>
      <c r="V362" s="6">
        <f t="shared" si="30"/>
        <v>1</v>
      </c>
      <c r="W362" s="6">
        <f t="shared" si="30"/>
        <v>1</v>
      </c>
      <c r="X362" s="6">
        <f t="shared" si="30"/>
        <v>1</v>
      </c>
      <c r="Y362" s="6">
        <f t="shared" si="30"/>
        <v>1</v>
      </c>
      <c r="Z362" s="6">
        <f t="shared" si="30"/>
        <v>1</v>
      </c>
      <c r="AA362" s="6">
        <f t="shared" si="30"/>
        <v>1</v>
      </c>
      <c r="AB362" s="6">
        <f t="shared" si="30"/>
        <v>1</v>
      </c>
      <c r="AC362" s="6" t="s">
        <v>21</v>
      </c>
      <c r="AD362" s="6" t="s">
        <v>23</v>
      </c>
      <c r="AE362" s="6" t="s">
        <v>24</v>
      </c>
      <c r="AF362" s="6" t="s">
        <v>21</v>
      </c>
    </row>
    <row r="363" spans="1:32" x14ac:dyDescent="0.3">
      <c r="A363" s="7">
        <v>362</v>
      </c>
      <c r="B363" s="7" t="s">
        <v>66</v>
      </c>
      <c r="C363" s="7">
        <f t="shared" si="32"/>
        <v>0</v>
      </c>
      <c r="D363" s="7">
        <f t="shared" si="31"/>
        <v>1</v>
      </c>
      <c r="E363" s="7">
        <f t="shared" si="31"/>
        <v>0</v>
      </c>
      <c r="F363" s="7">
        <f t="shared" si="31"/>
        <v>0</v>
      </c>
      <c r="G363" s="7">
        <f t="shared" si="31"/>
        <v>0</v>
      </c>
      <c r="H363" s="7">
        <f t="shared" si="31"/>
        <v>1</v>
      </c>
      <c r="I363" s="8" t="s">
        <v>42</v>
      </c>
      <c r="J363" s="8" t="s">
        <v>43</v>
      </c>
      <c r="K363" s="8" t="str">
        <f>_xlfn.XLOOKUP(J363,Worksheet!$F$1:$F$48,Worksheet!$G$1:$G$48,0)</f>
        <v>Lack of awareness</v>
      </c>
      <c r="L363" s="8" t="s">
        <v>50</v>
      </c>
      <c r="M363" s="8" t="s">
        <v>30</v>
      </c>
      <c r="N363" s="8" t="s">
        <v>70</v>
      </c>
      <c r="O363" s="8">
        <v>3</v>
      </c>
      <c r="P363" s="8" t="s">
        <v>45</v>
      </c>
      <c r="Q363" s="8" t="s">
        <v>46</v>
      </c>
      <c r="R363" s="8" t="s">
        <v>190</v>
      </c>
      <c r="S363" s="8">
        <f t="shared" si="28"/>
        <v>0</v>
      </c>
      <c r="T363" s="8">
        <f t="shared" si="30"/>
        <v>0</v>
      </c>
      <c r="U363" s="8">
        <f t="shared" si="30"/>
        <v>1</v>
      </c>
      <c r="V363" s="8">
        <f t="shared" si="30"/>
        <v>1</v>
      </c>
      <c r="W363" s="8">
        <f t="shared" si="30"/>
        <v>0</v>
      </c>
      <c r="X363" s="8">
        <f t="shared" si="30"/>
        <v>0</v>
      </c>
      <c r="Y363" s="8">
        <f t="shared" si="30"/>
        <v>0</v>
      </c>
      <c r="Z363" s="8">
        <f t="shared" si="30"/>
        <v>0</v>
      </c>
      <c r="AA363" s="8">
        <f t="shared" si="30"/>
        <v>0</v>
      </c>
      <c r="AB363" s="8">
        <f t="shared" si="30"/>
        <v>0</v>
      </c>
      <c r="AC363" s="8" t="s">
        <v>21</v>
      </c>
      <c r="AD363" s="8" t="s">
        <v>34</v>
      </c>
      <c r="AE363" s="8" t="s">
        <v>24</v>
      </c>
      <c r="AF363" s="8" t="s">
        <v>21</v>
      </c>
    </row>
    <row r="364" spans="1:32" x14ac:dyDescent="0.3">
      <c r="A364" s="5">
        <v>363</v>
      </c>
      <c r="B364" s="5" t="s">
        <v>100</v>
      </c>
      <c r="C364" s="5">
        <f t="shared" si="32"/>
        <v>1</v>
      </c>
      <c r="D364" s="5">
        <f t="shared" si="31"/>
        <v>0</v>
      </c>
      <c r="E364" s="5">
        <f t="shared" si="31"/>
        <v>0</v>
      </c>
      <c r="F364" s="5">
        <f t="shared" si="31"/>
        <v>0</v>
      </c>
      <c r="G364" s="5">
        <f t="shared" si="31"/>
        <v>0</v>
      </c>
      <c r="H364" s="5">
        <f t="shared" si="31"/>
        <v>0</v>
      </c>
      <c r="I364" s="6" t="s">
        <v>42</v>
      </c>
      <c r="J364" s="6" t="s">
        <v>83</v>
      </c>
      <c r="K364" s="6" t="str">
        <f>_xlfn.XLOOKUP(J364,Worksheet!$F$1:$F$48,Worksheet!$G$1:$G$48,0)</f>
        <v>Fear</v>
      </c>
      <c r="L364" s="6" t="s">
        <v>17</v>
      </c>
      <c r="M364" s="6" t="s">
        <v>18</v>
      </c>
      <c r="N364" s="6" t="s">
        <v>51</v>
      </c>
      <c r="O364" s="6">
        <v>1</v>
      </c>
      <c r="P364" s="6" t="s">
        <v>59</v>
      </c>
      <c r="Q364" s="6" t="s">
        <v>63</v>
      </c>
      <c r="R364" s="6" t="s">
        <v>56</v>
      </c>
      <c r="S364" s="6">
        <f t="shared" si="28"/>
        <v>1</v>
      </c>
      <c r="T364" s="6">
        <f t="shared" si="30"/>
        <v>0</v>
      </c>
      <c r="U364" s="6">
        <f t="shared" si="30"/>
        <v>0</v>
      </c>
      <c r="V364" s="6">
        <f t="shared" si="30"/>
        <v>0</v>
      </c>
      <c r="W364" s="6">
        <f t="shared" si="30"/>
        <v>0</v>
      </c>
      <c r="X364" s="6">
        <f t="shared" si="30"/>
        <v>0</v>
      </c>
      <c r="Y364" s="6">
        <f t="shared" si="30"/>
        <v>0</v>
      </c>
      <c r="Z364" s="6">
        <f t="shared" si="30"/>
        <v>0</v>
      </c>
      <c r="AA364" s="6">
        <f t="shared" si="30"/>
        <v>0</v>
      </c>
      <c r="AB364" s="6">
        <f t="shared" si="30"/>
        <v>0</v>
      </c>
      <c r="AC364" s="6" t="s">
        <v>21</v>
      </c>
      <c r="AD364" s="6" t="s">
        <v>40</v>
      </c>
      <c r="AE364" s="6" t="s">
        <v>24</v>
      </c>
      <c r="AF364" s="6" t="s">
        <v>21</v>
      </c>
    </row>
    <row r="365" spans="1:32" x14ac:dyDescent="0.3">
      <c r="A365" s="7">
        <v>364</v>
      </c>
      <c r="B365" s="7" t="s">
        <v>75</v>
      </c>
      <c r="C365" s="7">
        <f t="shared" si="32"/>
        <v>1</v>
      </c>
      <c r="D365" s="7">
        <f t="shared" si="31"/>
        <v>1</v>
      </c>
      <c r="E365" s="7">
        <f t="shared" si="31"/>
        <v>0</v>
      </c>
      <c r="F365" s="7">
        <f t="shared" si="31"/>
        <v>0</v>
      </c>
      <c r="G365" s="7">
        <f t="shared" si="31"/>
        <v>0</v>
      </c>
      <c r="H365" s="7">
        <f t="shared" si="31"/>
        <v>1</v>
      </c>
      <c r="I365" s="8" t="s">
        <v>42</v>
      </c>
      <c r="J365" s="8" t="s">
        <v>83</v>
      </c>
      <c r="K365" s="8" t="str">
        <f>_xlfn.XLOOKUP(J365,Worksheet!$F$1:$F$48,Worksheet!$G$1:$G$48,0)</f>
        <v>Fear</v>
      </c>
      <c r="L365" s="8" t="s">
        <v>17</v>
      </c>
      <c r="M365" s="8" t="s">
        <v>15</v>
      </c>
      <c r="N365" s="8" t="s">
        <v>51</v>
      </c>
      <c r="O365" s="8">
        <v>5</v>
      </c>
      <c r="P365" s="8" t="s">
        <v>45</v>
      </c>
      <c r="Q365" s="8" t="s">
        <v>46</v>
      </c>
      <c r="R365" s="8" t="s">
        <v>67</v>
      </c>
      <c r="S365" s="8">
        <f t="shared" si="28"/>
        <v>1</v>
      </c>
      <c r="T365" s="8">
        <f t="shared" si="30"/>
        <v>1</v>
      </c>
      <c r="U365" s="8">
        <f t="shared" si="30"/>
        <v>1</v>
      </c>
      <c r="V365" s="8">
        <f t="shared" si="30"/>
        <v>1</v>
      </c>
      <c r="W365" s="8">
        <f t="shared" si="30"/>
        <v>1</v>
      </c>
      <c r="X365" s="8">
        <f t="shared" si="30"/>
        <v>1</v>
      </c>
      <c r="Y365" s="8">
        <f t="shared" si="30"/>
        <v>1</v>
      </c>
      <c r="Z365" s="8">
        <f t="shared" si="30"/>
        <v>1</v>
      </c>
      <c r="AA365" s="8">
        <f t="shared" si="30"/>
        <v>1</v>
      </c>
      <c r="AB365" s="8">
        <f t="shared" si="30"/>
        <v>1</v>
      </c>
      <c r="AC365" s="8" t="s">
        <v>25</v>
      </c>
      <c r="AD365" s="8" t="s">
        <v>34</v>
      </c>
      <c r="AE365" s="8" t="s">
        <v>24</v>
      </c>
      <c r="AF365" s="8" t="s">
        <v>48</v>
      </c>
    </row>
    <row r="366" spans="1:32" x14ac:dyDescent="0.3">
      <c r="A366" s="5">
        <v>365</v>
      </c>
      <c r="B366" s="5" t="s">
        <v>41</v>
      </c>
      <c r="C366" s="5">
        <f t="shared" si="32"/>
        <v>0</v>
      </c>
      <c r="D366" s="5">
        <f t="shared" si="31"/>
        <v>0</v>
      </c>
      <c r="E366" s="5">
        <f t="shared" si="31"/>
        <v>0</v>
      </c>
      <c r="F366" s="5">
        <f t="shared" si="31"/>
        <v>0</v>
      </c>
      <c r="G366" s="5">
        <f t="shared" si="31"/>
        <v>1</v>
      </c>
      <c r="H366" s="5">
        <f t="shared" si="31"/>
        <v>0</v>
      </c>
      <c r="I366" s="6" t="s">
        <v>27</v>
      </c>
      <c r="J366" s="6" t="s">
        <v>43</v>
      </c>
      <c r="K366" s="6" t="str">
        <f>_xlfn.XLOOKUP(J366,Worksheet!$F$1:$F$48,Worksheet!$G$1:$G$48,0)</f>
        <v>Lack of awareness</v>
      </c>
      <c r="L366" s="6" t="s">
        <v>50</v>
      </c>
      <c r="M366" s="6" t="s">
        <v>49</v>
      </c>
      <c r="N366" s="6" t="s">
        <v>51</v>
      </c>
      <c r="O366" s="6">
        <v>1</v>
      </c>
      <c r="P366" s="6" t="s">
        <v>45</v>
      </c>
      <c r="Q366" s="6" t="s">
        <v>46</v>
      </c>
      <c r="R366" s="6" t="s">
        <v>56</v>
      </c>
      <c r="S366" s="6">
        <f t="shared" si="28"/>
        <v>1</v>
      </c>
      <c r="T366" s="6">
        <f t="shared" si="30"/>
        <v>0</v>
      </c>
      <c r="U366" s="6">
        <f t="shared" si="30"/>
        <v>0</v>
      </c>
      <c r="V366" s="6">
        <f t="shared" si="30"/>
        <v>0</v>
      </c>
      <c r="W366" s="6">
        <f t="shared" si="30"/>
        <v>0</v>
      </c>
      <c r="X366" s="6">
        <f t="shared" si="30"/>
        <v>0</v>
      </c>
      <c r="Y366" s="6">
        <f t="shared" si="30"/>
        <v>0</v>
      </c>
      <c r="Z366" s="6">
        <f t="shared" si="30"/>
        <v>0</v>
      </c>
      <c r="AA366" s="6">
        <f t="shared" si="30"/>
        <v>0</v>
      </c>
      <c r="AB366" s="6">
        <f t="shared" si="30"/>
        <v>0</v>
      </c>
      <c r="AC366" s="6" t="s">
        <v>21</v>
      </c>
      <c r="AD366" s="6" t="s">
        <v>23</v>
      </c>
      <c r="AE366" s="6" t="s">
        <v>88</v>
      </c>
      <c r="AF366" s="6" t="s">
        <v>21</v>
      </c>
    </row>
    <row r="367" spans="1:32" x14ac:dyDescent="0.3">
      <c r="A367" s="7">
        <v>366</v>
      </c>
      <c r="B367" s="7" t="s">
        <v>68</v>
      </c>
      <c r="C367" s="7">
        <f t="shared" si="32"/>
        <v>0</v>
      </c>
      <c r="D367" s="7">
        <f t="shared" si="31"/>
        <v>1</v>
      </c>
      <c r="E367" s="7">
        <f t="shared" si="31"/>
        <v>0</v>
      </c>
      <c r="F367" s="7">
        <f t="shared" si="31"/>
        <v>0</v>
      </c>
      <c r="G367" s="7">
        <f t="shared" si="31"/>
        <v>0</v>
      </c>
      <c r="H367" s="7">
        <f t="shared" si="31"/>
        <v>0</v>
      </c>
      <c r="I367" s="8" t="s">
        <v>49</v>
      </c>
      <c r="J367" s="8" t="s">
        <v>144</v>
      </c>
      <c r="K367" s="8" t="str">
        <f>_xlfn.XLOOKUP(J367,Worksheet!$F$1:$F$48,Worksheet!$G$1:$G$48,0)</f>
        <v>Lack of awareness</v>
      </c>
      <c r="L367" s="8" t="s">
        <v>50</v>
      </c>
      <c r="M367" s="8" t="s">
        <v>49</v>
      </c>
      <c r="N367" s="8" t="s">
        <v>70</v>
      </c>
      <c r="O367" s="8">
        <v>5</v>
      </c>
      <c r="P367" s="8" t="s">
        <v>45</v>
      </c>
      <c r="Q367" s="8" t="s">
        <v>52</v>
      </c>
      <c r="R367" s="8" t="s">
        <v>99</v>
      </c>
      <c r="S367" s="8">
        <f t="shared" si="28"/>
        <v>1</v>
      </c>
      <c r="T367" s="8">
        <f t="shared" si="30"/>
        <v>1</v>
      </c>
      <c r="U367" s="8">
        <f t="shared" si="30"/>
        <v>0</v>
      </c>
      <c r="V367" s="8">
        <f t="shared" si="30"/>
        <v>0</v>
      </c>
      <c r="W367" s="8">
        <f t="shared" si="30"/>
        <v>0</v>
      </c>
      <c r="X367" s="8">
        <f t="shared" si="30"/>
        <v>0</v>
      </c>
      <c r="Y367" s="8">
        <f t="shared" si="30"/>
        <v>0</v>
      </c>
      <c r="Z367" s="8">
        <f t="shared" si="30"/>
        <v>0</v>
      </c>
      <c r="AA367" s="8">
        <f t="shared" si="30"/>
        <v>0</v>
      </c>
      <c r="AB367" s="8">
        <f t="shared" si="30"/>
        <v>0</v>
      </c>
      <c r="AC367" s="8" t="s">
        <v>21</v>
      </c>
      <c r="AD367" s="8" t="s">
        <v>34</v>
      </c>
      <c r="AE367" s="8" t="s">
        <v>24</v>
      </c>
      <c r="AF367" s="8" t="s">
        <v>48</v>
      </c>
    </row>
    <row r="368" spans="1:32" x14ac:dyDescent="0.3">
      <c r="A368" s="5">
        <v>367</v>
      </c>
      <c r="B368" s="5" t="s">
        <v>75</v>
      </c>
      <c r="C368" s="5">
        <f t="shared" si="32"/>
        <v>1</v>
      </c>
      <c r="D368" s="5">
        <f t="shared" si="31"/>
        <v>1</v>
      </c>
      <c r="E368" s="5">
        <f t="shared" si="31"/>
        <v>0</v>
      </c>
      <c r="F368" s="5">
        <f t="shared" si="31"/>
        <v>0</v>
      </c>
      <c r="G368" s="5">
        <f t="shared" si="31"/>
        <v>0</v>
      </c>
      <c r="H368" s="5">
        <f t="shared" si="31"/>
        <v>1</v>
      </c>
      <c r="I368" s="6" t="s">
        <v>49</v>
      </c>
      <c r="J368" s="6" t="s">
        <v>43</v>
      </c>
      <c r="K368" s="6" t="str">
        <f>_xlfn.XLOOKUP(J368,Worksheet!$F$1:$F$48,Worksheet!$G$1:$G$48,0)</f>
        <v>Lack of awareness</v>
      </c>
      <c r="L368" s="6" t="s">
        <v>50</v>
      </c>
      <c r="M368" s="6" t="s">
        <v>49</v>
      </c>
      <c r="N368" s="6" t="s">
        <v>70</v>
      </c>
      <c r="O368" s="6">
        <v>4</v>
      </c>
      <c r="P368" s="6" t="s">
        <v>45</v>
      </c>
      <c r="Q368" s="6" t="s">
        <v>46</v>
      </c>
      <c r="R368" s="6" t="s">
        <v>188</v>
      </c>
      <c r="S368" s="6">
        <f t="shared" si="28"/>
        <v>1</v>
      </c>
      <c r="T368" s="6">
        <f t="shared" si="30"/>
        <v>1</v>
      </c>
      <c r="U368" s="6">
        <f t="shared" si="30"/>
        <v>0</v>
      </c>
      <c r="V368" s="6">
        <f t="shared" si="30"/>
        <v>1</v>
      </c>
      <c r="W368" s="6">
        <f t="shared" si="30"/>
        <v>1</v>
      </c>
      <c r="X368" s="6">
        <f t="shared" si="30"/>
        <v>1</v>
      </c>
      <c r="Y368" s="6">
        <f t="shared" si="30"/>
        <v>0</v>
      </c>
      <c r="Z368" s="6">
        <f t="shared" si="30"/>
        <v>0</v>
      </c>
      <c r="AA368" s="6">
        <f t="shared" si="30"/>
        <v>1</v>
      </c>
      <c r="AB368" s="6">
        <f t="shared" si="30"/>
        <v>0</v>
      </c>
      <c r="AC368" s="6" t="s">
        <v>21</v>
      </c>
      <c r="AD368" s="6" t="s">
        <v>23</v>
      </c>
      <c r="AE368" s="6" t="s">
        <v>24</v>
      </c>
      <c r="AF368" s="6" t="s">
        <v>25</v>
      </c>
    </row>
    <row r="369" spans="1:32" x14ac:dyDescent="0.3">
      <c r="A369" s="7">
        <v>368</v>
      </c>
      <c r="B369" s="7" t="s">
        <v>340</v>
      </c>
      <c r="C369" s="7">
        <f t="shared" si="32"/>
        <v>0</v>
      </c>
      <c r="D369" s="7">
        <f t="shared" si="31"/>
        <v>0</v>
      </c>
      <c r="E369" s="7">
        <f t="shared" si="31"/>
        <v>1</v>
      </c>
      <c r="F369" s="7">
        <f t="shared" si="31"/>
        <v>0</v>
      </c>
      <c r="G369" s="7">
        <f t="shared" si="31"/>
        <v>0</v>
      </c>
      <c r="H369" s="7">
        <f t="shared" si="31"/>
        <v>0</v>
      </c>
      <c r="I369" s="8" t="s">
        <v>27</v>
      </c>
      <c r="J369" s="8" t="s">
        <v>43</v>
      </c>
      <c r="K369" s="8" t="str">
        <f>_xlfn.XLOOKUP(J369,Worksheet!$F$1:$F$48,Worksheet!$G$1:$G$48,0)</f>
        <v>Lack of awareness</v>
      </c>
      <c r="L369" s="8" t="s">
        <v>50</v>
      </c>
      <c r="M369" s="8" t="s">
        <v>30</v>
      </c>
      <c r="N369" s="8" t="s">
        <v>44</v>
      </c>
      <c r="O369" s="8">
        <v>3</v>
      </c>
      <c r="P369" s="8" t="s">
        <v>59</v>
      </c>
      <c r="Q369" s="8" t="s">
        <v>63</v>
      </c>
      <c r="R369" s="8" t="s">
        <v>320</v>
      </c>
      <c r="S369" s="8">
        <f t="shared" si="28"/>
        <v>1</v>
      </c>
      <c r="T369" s="8">
        <f t="shared" si="30"/>
        <v>1</v>
      </c>
      <c r="U369" s="8">
        <f t="shared" si="30"/>
        <v>0</v>
      </c>
      <c r="V369" s="8">
        <f t="shared" si="30"/>
        <v>0</v>
      </c>
      <c r="W369" s="8">
        <f t="shared" si="30"/>
        <v>0</v>
      </c>
      <c r="X369" s="8">
        <f t="shared" si="30"/>
        <v>1</v>
      </c>
      <c r="Y369" s="8">
        <f t="shared" si="30"/>
        <v>0</v>
      </c>
      <c r="Z369" s="8">
        <f t="shared" si="30"/>
        <v>1</v>
      </c>
      <c r="AA369" s="8">
        <f t="shared" si="30"/>
        <v>0</v>
      </c>
      <c r="AB369" s="8">
        <f t="shared" si="30"/>
        <v>0</v>
      </c>
      <c r="AC369" s="8" t="s">
        <v>21</v>
      </c>
      <c r="AD369" s="8" t="s">
        <v>34</v>
      </c>
      <c r="AE369" s="8" t="s">
        <v>24</v>
      </c>
      <c r="AF369" s="8" t="s">
        <v>48</v>
      </c>
    </row>
    <row r="370" spans="1:32" x14ac:dyDescent="0.3">
      <c r="A370" s="5">
        <v>369</v>
      </c>
      <c r="B370" s="5" t="s">
        <v>55</v>
      </c>
      <c r="C370" s="5">
        <f t="shared" si="32"/>
        <v>0</v>
      </c>
      <c r="D370" s="5">
        <f t="shared" si="31"/>
        <v>0</v>
      </c>
      <c r="E370" s="5">
        <f t="shared" si="31"/>
        <v>0</v>
      </c>
      <c r="F370" s="5">
        <f t="shared" si="31"/>
        <v>0</v>
      </c>
      <c r="G370" s="5">
        <f t="shared" si="31"/>
        <v>0</v>
      </c>
      <c r="H370" s="5">
        <f t="shared" si="31"/>
        <v>1</v>
      </c>
      <c r="I370" s="6" t="s">
        <v>27</v>
      </c>
      <c r="J370" s="6" t="s">
        <v>43</v>
      </c>
      <c r="K370" s="6" t="str">
        <f>_xlfn.XLOOKUP(J370,Worksheet!$F$1:$F$48,Worksheet!$G$1:$G$48,0)</f>
        <v>Lack of awareness</v>
      </c>
      <c r="L370" s="6" t="s">
        <v>50</v>
      </c>
      <c r="M370" s="6" t="s">
        <v>49</v>
      </c>
      <c r="N370" s="6" t="s">
        <v>51</v>
      </c>
      <c r="O370" s="6">
        <v>3</v>
      </c>
      <c r="P370" s="6" t="s">
        <v>45</v>
      </c>
      <c r="Q370" s="6" t="s">
        <v>63</v>
      </c>
      <c r="R370" s="6" t="s">
        <v>321</v>
      </c>
      <c r="S370" s="6">
        <f t="shared" si="28"/>
        <v>1</v>
      </c>
      <c r="T370" s="6">
        <f t="shared" si="30"/>
        <v>1</v>
      </c>
      <c r="U370" s="6">
        <f t="shared" si="30"/>
        <v>0</v>
      </c>
      <c r="V370" s="6">
        <f t="shared" si="30"/>
        <v>1</v>
      </c>
      <c r="W370" s="6">
        <f t="shared" si="30"/>
        <v>0</v>
      </c>
      <c r="X370" s="6">
        <f t="shared" si="30"/>
        <v>0</v>
      </c>
      <c r="Y370" s="6">
        <f t="shared" si="30"/>
        <v>0</v>
      </c>
      <c r="Z370" s="6">
        <f t="shared" si="30"/>
        <v>0</v>
      </c>
      <c r="AA370" s="6">
        <f t="shared" si="30"/>
        <v>1</v>
      </c>
      <c r="AB370" s="6">
        <f t="shared" si="30"/>
        <v>1</v>
      </c>
      <c r="AC370" s="6" t="s">
        <v>25</v>
      </c>
      <c r="AD370" s="6" t="s">
        <v>34</v>
      </c>
      <c r="AE370" s="6" t="s">
        <v>24</v>
      </c>
      <c r="AF370" s="6" t="s">
        <v>48</v>
      </c>
    </row>
    <row r="371" spans="1:32" x14ac:dyDescent="0.3">
      <c r="A371" s="7">
        <v>370</v>
      </c>
      <c r="B371" s="7" t="s">
        <v>340</v>
      </c>
      <c r="C371" s="7">
        <f t="shared" si="32"/>
        <v>0</v>
      </c>
      <c r="D371" s="7">
        <f t="shared" si="31"/>
        <v>0</v>
      </c>
      <c r="E371" s="7">
        <f t="shared" si="31"/>
        <v>1</v>
      </c>
      <c r="F371" s="7">
        <f t="shared" si="31"/>
        <v>0</v>
      </c>
      <c r="G371" s="7">
        <f t="shared" si="31"/>
        <v>0</v>
      </c>
      <c r="H371" s="7">
        <f t="shared" si="31"/>
        <v>0</v>
      </c>
      <c r="I371" s="8" t="s">
        <v>27</v>
      </c>
      <c r="J371" s="8" t="s">
        <v>36</v>
      </c>
      <c r="K371" s="8" t="str">
        <f>_xlfn.XLOOKUP(J371,Worksheet!$F$1:$F$48,Worksheet!$G$1:$G$48,0)</f>
        <v>Shame</v>
      </c>
      <c r="L371" s="8" t="s">
        <v>356</v>
      </c>
      <c r="M371" s="8" t="s">
        <v>102</v>
      </c>
      <c r="N371" s="8" t="s">
        <v>44</v>
      </c>
      <c r="O371" s="8">
        <v>2</v>
      </c>
      <c r="P371" s="8" t="s">
        <v>45</v>
      </c>
      <c r="Q371" s="8" t="s">
        <v>63</v>
      </c>
      <c r="R371" s="8" t="s">
        <v>157</v>
      </c>
      <c r="S371" s="8">
        <f t="shared" si="28"/>
        <v>0</v>
      </c>
      <c r="T371" s="8">
        <f t="shared" si="30"/>
        <v>0</v>
      </c>
      <c r="U371" s="8">
        <f t="shared" si="30"/>
        <v>0</v>
      </c>
      <c r="V371" s="8">
        <f t="shared" si="30"/>
        <v>0</v>
      </c>
      <c r="W371" s="8">
        <f t="shared" si="30"/>
        <v>0</v>
      </c>
      <c r="X371" s="8">
        <f t="shared" si="30"/>
        <v>0</v>
      </c>
      <c r="Y371" s="8">
        <f t="shared" si="30"/>
        <v>0</v>
      </c>
      <c r="Z371" s="8">
        <f t="shared" si="30"/>
        <v>1</v>
      </c>
      <c r="AA371" s="8">
        <f t="shared" si="30"/>
        <v>0</v>
      </c>
      <c r="AB371" s="8">
        <f t="shared" si="30"/>
        <v>0</v>
      </c>
      <c r="AC371" s="8" t="s">
        <v>25</v>
      </c>
      <c r="AD371" s="8" t="s">
        <v>34</v>
      </c>
      <c r="AE371" s="8" t="s">
        <v>24</v>
      </c>
      <c r="AF371" s="8" t="s">
        <v>82</v>
      </c>
    </row>
    <row r="372" spans="1:32" x14ac:dyDescent="0.3">
      <c r="A372" s="5">
        <v>371</v>
      </c>
      <c r="B372" s="5" t="s">
        <v>338</v>
      </c>
      <c r="C372" s="5">
        <f t="shared" si="32"/>
        <v>0</v>
      </c>
      <c r="D372" s="5">
        <f t="shared" si="31"/>
        <v>0</v>
      </c>
      <c r="E372" s="5">
        <f t="shared" si="31"/>
        <v>1</v>
      </c>
      <c r="F372" s="5">
        <f t="shared" si="31"/>
        <v>0</v>
      </c>
      <c r="G372" s="5">
        <f t="shared" si="31"/>
        <v>1</v>
      </c>
      <c r="H372" s="5">
        <f t="shared" si="31"/>
        <v>0</v>
      </c>
      <c r="I372" s="6" t="s">
        <v>27</v>
      </c>
      <c r="J372" s="6" t="s">
        <v>322</v>
      </c>
      <c r="K372" s="6" t="str">
        <f>_xlfn.XLOOKUP(J372,Worksheet!$F$1:$F$48,Worksheet!$G$1:$G$48,0)</f>
        <v>No need</v>
      </c>
      <c r="L372" s="6" t="s">
        <v>50</v>
      </c>
      <c r="M372" s="6" t="s">
        <v>49</v>
      </c>
      <c r="N372" s="6" t="s">
        <v>51</v>
      </c>
      <c r="O372" s="6">
        <v>2</v>
      </c>
      <c r="P372" s="6" t="s">
        <v>45</v>
      </c>
      <c r="Q372" s="6" t="s">
        <v>52</v>
      </c>
      <c r="R372" s="6" t="s">
        <v>303</v>
      </c>
      <c r="S372" s="6">
        <f t="shared" si="28"/>
        <v>0</v>
      </c>
      <c r="T372" s="6">
        <f t="shared" si="30"/>
        <v>0</v>
      </c>
      <c r="U372" s="6">
        <f t="shared" si="30"/>
        <v>0</v>
      </c>
      <c r="V372" s="6">
        <f t="shared" si="30"/>
        <v>0</v>
      </c>
      <c r="W372" s="6">
        <f t="shared" si="30"/>
        <v>0</v>
      </c>
      <c r="X372" s="6">
        <f t="shared" si="30"/>
        <v>0</v>
      </c>
      <c r="Y372" s="6">
        <f t="shared" si="30"/>
        <v>0</v>
      </c>
      <c r="Z372" s="6">
        <f t="shared" si="30"/>
        <v>0</v>
      </c>
      <c r="AA372" s="6">
        <f t="shared" si="30"/>
        <v>0</v>
      </c>
      <c r="AB372" s="6">
        <f t="shared" si="30"/>
        <v>0</v>
      </c>
      <c r="AC372" s="6" t="s">
        <v>25</v>
      </c>
      <c r="AD372" s="6" t="s">
        <v>23</v>
      </c>
      <c r="AE372" s="6" t="s">
        <v>24</v>
      </c>
      <c r="AF372" s="6" t="s">
        <v>48</v>
      </c>
    </row>
    <row r="373" spans="1:32" x14ac:dyDescent="0.3">
      <c r="A373" s="7">
        <v>372</v>
      </c>
      <c r="B373" s="7" t="s">
        <v>75</v>
      </c>
      <c r="C373" s="7">
        <f t="shared" si="32"/>
        <v>1</v>
      </c>
      <c r="D373" s="7">
        <f t="shared" si="31"/>
        <v>1</v>
      </c>
      <c r="E373" s="7">
        <f t="shared" si="31"/>
        <v>0</v>
      </c>
      <c r="F373" s="7">
        <f t="shared" si="31"/>
        <v>0</v>
      </c>
      <c r="G373" s="7">
        <f t="shared" si="31"/>
        <v>0</v>
      </c>
      <c r="H373" s="7">
        <f t="shared" si="31"/>
        <v>1</v>
      </c>
      <c r="I373" s="8" t="s">
        <v>15</v>
      </c>
      <c r="J373" s="8" t="s">
        <v>323</v>
      </c>
      <c r="K373" s="8" t="str">
        <f>_xlfn.XLOOKUP(J373,Worksheet!$F$1:$F$48,Worksheet!$G$1:$G$48,0)</f>
        <v>Cost</v>
      </c>
      <c r="L373" s="8" t="s">
        <v>50</v>
      </c>
      <c r="M373" s="8" t="s">
        <v>49</v>
      </c>
      <c r="N373" s="8" t="s">
        <v>44</v>
      </c>
      <c r="O373" s="8">
        <v>5</v>
      </c>
      <c r="P373" s="8" t="s">
        <v>59</v>
      </c>
      <c r="Q373" s="8" t="s">
        <v>63</v>
      </c>
      <c r="R373" s="8" t="s">
        <v>324</v>
      </c>
      <c r="S373" s="8">
        <f t="shared" si="28"/>
        <v>0</v>
      </c>
      <c r="T373" s="8">
        <f t="shared" si="30"/>
        <v>1</v>
      </c>
      <c r="U373" s="8">
        <f t="shared" si="30"/>
        <v>0</v>
      </c>
      <c r="V373" s="8">
        <f t="shared" si="30"/>
        <v>0</v>
      </c>
      <c r="W373" s="8">
        <f t="shared" si="30"/>
        <v>0</v>
      </c>
      <c r="X373" s="8">
        <f t="shared" si="30"/>
        <v>1</v>
      </c>
      <c r="Y373" s="8">
        <f t="shared" si="30"/>
        <v>0</v>
      </c>
      <c r="Z373" s="8">
        <f t="shared" si="30"/>
        <v>0</v>
      </c>
      <c r="AA373" s="8">
        <f t="shared" si="30"/>
        <v>1</v>
      </c>
      <c r="AB373" s="8">
        <f t="shared" si="30"/>
        <v>0</v>
      </c>
      <c r="AC373" s="8" t="s">
        <v>21</v>
      </c>
      <c r="AD373" s="8" t="s">
        <v>23</v>
      </c>
      <c r="AE373" s="8" t="s">
        <v>187</v>
      </c>
      <c r="AF373" s="8" t="s">
        <v>82</v>
      </c>
    </row>
    <row r="374" spans="1:32" x14ac:dyDescent="0.3">
      <c r="A374" s="5">
        <v>373</v>
      </c>
      <c r="B374" s="5" t="s">
        <v>55</v>
      </c>
      <c r="C374" s="5">
        <f t="shared" si="32"/>
        <v>0</v>
      </c>
      <c r="D374" s="5">
        <f t="shared" si="31"/>
        <v>0</v>
      </c>
      <c r="E374" s="5">
        <f t="shared" si="31"/>
        <v>0</v>
      </c>
      <c r="F374" s="5">
        <f t="shared" si="31"/>
        <v>0</v>
      </c>
      <c r="G374" s="5">
        <f t="shared" si="31"/>
        <v>0</v>
      </c>
      <c r="H374" s="5">
        <f t="shared" si="31"/>
        <v>1</v>
      </c>
      <c r="I374" s="6" t="s">
        <v>27</v>
      </c>
      <c r="J374" s="6" t="s">
        <v>43</v>
      </c>
      <c r="K374" s="6" t="str">
        <f>_xlfn.XLOOKUP(J374,Worksheet!$F$1:$F$48,Worksheet!$G$1:$G$48,0)</f>
        <v>Lack of awareness</v>
      </c>
      <c r="L374" s="6" t="s">
        <v>50</v>
      </c>
      <c r="M374" s="6" t="s">
        <v>49</v>
      </c>
      <c r="N374" s="6" t="s">
        <v>51</v>
      </c>
      <c r="O374" s="6">
        <v>5</v>
      </c>
      <c r="P374" s="6" t="s">
        <v>59</v>
      </c>
      <c r="Q374" s="6" t="s">
        <v>46</v>
      </c>
      <c r="R374" s="6" t="s">
        <v>325</v>
      </c>
      <c r="S374" s="6">
        <f t="shared" si="28"/>
        <v>0</v>
      </c>
      <c r="T374" s="6">
        <f t="shared" si="30"/>
        <v>1</v>
      </c>
      <c r="U374" s="6">
        <f t="shared" si="30"/>
        <v>0</v>
      </c>
      <c r="V374" s="6">
        <f t="shared" si="30"/>
        <v>0</v>
      </c>
      <c r="W374" s="6">
        <f t="shared" si="30"/>
        <v>0</v>
      </c>
      <c r="X374" s="6">
        <f t="shared" si="30"/>
        <v>1</v>
      </c>
      <c r="Y374" s="6">
        <f t="shared" si="30"/>
        <v>0</v>
      </c>
      <c r="Z374" s="6">
        <f t="shared" si="30"/>
        <v>1</v>
      </c>
      <c r="AA374" s="6">
        <f t="shared" si="30"/>
        <v>0</v>
      </c>
      <c r="AB374" s="6">
        <f t="shared" si="30"/>
        <v>0</v>
      </c>
      <c r="AC374" s="6" t="s">
        <v>21</v>
      </c>
      <c r="AD374" s="6" t="s">
        <v>40</v>
      </c>
      <c r="AE374" s="6" t="s">
        <v>113</v>
      </c>
      <c r="AF374" s="6" t="s">
        <v>25</v>
      </c>
    </row>
    <row r="375" spans="1:32" x14ac:dyDescent="0.3">
      <c r="A375" s="7">
        <v>374</v>
      </c>
      <c r="B375" s="7" t="s">
        <v>61</v>
      </c>
      <c r="C375" s="7">
        <f t="shared" si="32"/>
        <v>1</v>
      </c>
      <c r="D375" s="7">
        <f t="shared" si="31"/>
        <v>1</v>
      </c>
      <c r="E375" s="7">
        <f t="shared" si="31"/>
        <v>0</v>
      </c>
      <c r="F375" s="7">
        <f t="shared" si="31"/>
        <v>0</v>
      </c>
      <c r="G375" s="7">
        <f t="shared" si="31"/>
        <v>1</v>
      </c>
      <c r="H375" s="7">
        <f t="shared" si="31"/>
        <v>1</v>
      </c>
      <c r="I375" s="8" t="s">
        <v>27</v>
      </c>
      <c r="J375" s="8" t="s">
        <v>43</v>
      </c>
      <c r="K375" s="8" t="str">
        <f>_xlfn.XLOOKUP(J375,Worksheet!$F$1:$F$48,Worksheet!$G$1:$G$48,0)</f>
        <v>Lack of awareness</v>
      </c>
      <c r="L375" s="8" t="s">
        <v>50</v>
      </c>
      <c r="M375" s="8" t="s">
        <v>49</v>
      </c>
      <c r="N375" s="8" t="s">
        <v>51</v>
      </c>
      <c r="O375" s="8">
        <v>5</v>
      </c>
      <c r="P375" s="8" t="s">
        <v>45</v>
      </c>
      <c r="Q375" s="8" t="s">
        <v>52</v>
      </c>
      <c r="R375" s="8" t="s">
        <v>326</v>
      </c>
      <c r="S375" s="8">
        <f t="shared" si="28"/>
        <v>1</v>
      </c>
      <c r="T375" s="8">
        <f t="shared" si="30"/>
        <v>1</v>
      </c>
      <c r="U375" s="8">
        <f t="shared" si="30"/>
        <v>0</v>
      </c>
      <c r="V375" s="8">
        <f t="shared" si="30"/>
        <v>1</v>
      </c>
      <c r="W375" s="8">
        <f t="shared" si="30"/>
        <v>1</v>
      </c>
      <c r="X375" s="8">
        <f t="shared" si="30"/>
        <v>0</v>
      </c>
      <c r="Y375" s="8">
        <f t="shared" si="30"/>
        <v>1</v>
      </c>
      <c r="Z375" s="8">
        <f t="shared" si="30"/>
        <v>1</v>
      </c>
      <c r="AA375" s="8">
        <f t="shared" si="30"/>
        <v>1</v>
      </c>
      <c r="AB375" s="8">
        <f t="shared" si="30"/>
        <v>1</v>
      </c>
      <c r="AC375" s="8" t="s">
        <v>21</v>
      </c>
      <c r="AD375" s="8" t="s">
        <v>23</v>
      </c>
      <c r="AE375" s="8" t="s">
        <v>24</v>
      </c>
      <c r="AF375" s="8" t="s">
        <v>21</v>
      </c>
    </row>
    <row r="376" spans="1:32" x14ac:dyDescent="0.3">
      <c r="A376" s="5">
        <v>375</v>
      </c>
      <c r="B376" s="5" t="s">
        <v>327</v>
      </c>
      <c r="C376" s="5">
        <f t="shared" si="32"/>
        <v>0</v>
      </c>
      <c r="D376" s="5">
        <f t="shared" si="31"/>
        <v>0</v>
      </c>
      <c r="E376" s="5">
        <f t="shared" si="31"/>
        <v>0</v>
      </c>
      <c r="F376" s="5">
        <f t="shared" si="31"/>
        <v>0</v>
      </c>
      <c r="G376" s="5">
        <f t="shared" si="31"/>
        <v>1</v>
      </c>
      <c r="H376" s="5">
        <f t="shared" si="31"/>
        <v>0</v>
      </c>
      <c r="I376" s="6" t="s">
        <v>27</v>
      </c>
      <c r="J376" s="6" t="s">
        <v>43</v>
      </c>
      <c r="K376" s="6" t="str">
        <f>_xlfn.XLOOKUP(J376,Worksheet!$F$1:$F$48,Worksheet!$G$1:$G$48,0)</f>
        <v>Lack of awareness</v>
      </c>
      <c r="L376" s="6" t="s">
        <v>50</v>
      </c>
      <c r="M376" s="6" t="s">
        <v>30</v>
      </c>
      <c r="N376" s="6" t="s">
        <v>51</v>
      </c>
      <c r="O376" s="6">
        <v>4</v>
      </c>
      <c r="P376" s="6" t="s">
        <v>45</v>
      </c>
      <c r="Q376" s="6" t="s">
        <v>63</v>
      </c>
      <c r="R376" s="6" t="s">
        <v>204</v>
      </c>
      <c r="S376" s="6">
        <f t="shared" si="28"/>
        <v>0</v>
      </c>
      <c r="T376" s="6">
        <f t="shared" si="30"/>
        <v>0</v>
      </c>
      <c r="U376" s="6">
        <f t="shared" si="30"/>
        <v>0</v>
      </c>
      <c r="V376" s="6">
        <f t="shared" si="30"/>
        <v>1</v>
      </c>
      <c r="W376" s="6">
        <f t="shared" si="30"/>
        <v>0</v>
      </c>
      <c r="X376" s="6">
        <f t="shared" si="30"/>
        <v>1</v>
      </c>
      <c r="Y376" s="6">
        <f t="shared" si="30"/>
        <v>0</v>
      </c>
      <c r="Z376" s="6">
        <f t="shared" si="30"/>
        <v>1</v>
      </c>
      <c r="AA376" s="6">
        <f t="shared" si="30"/>
        <v>0</v>
      </c>
      <c r="AB376" s="6">
        <f t="shared" si="30"/>
        <v>0</v>
      </c>
      <c r="AC376" s="6" t="s">
        <v>21</v>
      </c>
      <c r="AD376" s="6" t="s">
        <v>23</v>
      </c>
      <c r="AE376" s="6" t="s">
        <v>88</v>
      </c>
      <c r="AF376" s="6" t="s">
        <v>21</v>
      </c>
    </row>
    <row r="377" spans="1:32" x14ac:dyDescent="0.3">
      <c r="A377" s="7">
        <v>376</v>
      </c>
      <c r="B377" s="7" t="s">
        <v>100</v>
      </c>
      <c r="C377" s="7">
        <f t="shared" si="32"/>
        <v>1</v>
      </c>
      <c r="D377" s="7">
        <f t="shared" si="31"/>
        <v>0</v>
      </c>
      <c r="E377" s="7">
        <f t="shared" si="31"/>
        <v>0</v>
      </c>
      <c r="F377" s="7">
        <f t="shared" si="31"/>
        <v>0</v>
      </c>
      <c r="G377" s="7">
        <f t="shared" si="31"/>
        <v>0</v>
      </c>
      <c r="H377" s="7">
        <f t="shared" si="31"/>
        <v>0</v>
      </c>
      <c r="I377" s="8" t="s">
        <v>15</v>
      </c>
      <c r="J377" s="8" t="s">
        <v>43</v>
      </c>
      <c r="K377" s="8" t="str">
        <f>_xlfn.XLOOKUP(J377,Worksheet!$F$1:$F$48,Worksheet!$G$1:$G$48,0)</f>
        <v>Lack of awareness</v>
      </c>
      <c r="L377" s="8" t="s">
        <v>50</v>
      </c>
      <c r="M377" s="8" t="s">
        <v>49</v>
      </c>
      <c r="N377" s="8" t="s">
        <v>58</v>
      </c>
      <c r="O377" s="8">
        <v>5</v>
      </c>
      <c r="P377" s="8" t="s">
        <v>84</v>
      </c>
      <c r="Q377" s="8" t="s">
        <v>63</v>
      </c>
      <c r="R377" s="8" t="s">
        <v>328</v>
      </c>
      <c r="S377" s="8">
        <f t="shared" si="28"/>
        <v>0</v>
      </c>
      <c r="T377" s="8">
        <f t="shared" si="30"/>
        <v>0</v>
      </c>
      <c r="U377" s="8">
        <f t="shared" si="30"/>
        <v>1</v>
      </c>
      <c r="V377" s="8">
        <f t="shared" si="30"/>
        <v>0</v>
      </c>
      <c r="W377" s="8">
        <f t="shared" si="30"/>
        <v>1</v>
      </c>
      <c r="X377" s="8">
        <f t="shared" ref="T377:AB388" si="33">IFERROR(IF(SEARCH(X$1,$R377)&gt;0,1,0),0)</f>
        <v>0</v>
      </c>
      <c r="Y377" s="8">
        <f t="shared" si="33"/>
        <v>0</v>
      </c>
      <c r="Z377" s="8">
        <f t="shared" si="33"/>
        <v>0</v>
      </c>
      <c r="AA377" s="8">
        <f t="shared" si="33"/>
        <v>0</v>
      </c>
      <c r="AB377" s="8">
        <f t="shared" si="33"/>
        <v>1</v>
      </c>
      <c r="AC377" s="8" t="s">
        <v>21</v>
      </c>
      <c r="AD377" s="8" t="s">
        <v>23</v>
      </c>
      <c r="AE377" s="8" t="s">
        <v>24</v>
      </c>
      <c r="AF377" s="8" t="s">
        <v>21</v>
      </c>
    </row>
    <row r="378" spans="1:32" x14ac:dyDescent="0.3">
      <c r="A378" s="5">
        <v>377</v>
      </c>
      <c r="B378" s="5" t="s">
        <v>66</v>
      </c>
      <c r="C378" s="5">
        <f t="shared" si="32"/>
        <v>0</v>
      </c>
      <c r="D378" s="5">
        <f t="shared" si="31"/>
        <v>1</v>
      </c>
      <c r="E378" s="5">
        <f t="shared" si="31"/>
        <v>0</v>
      </c>
      <c r="F378" s="5">
        <f t="shared" si="31"/>
        <v>0</v>
      </c>
      <c r="G378" s="5">
        <f t="shared" si="31"/>
        <v>0</v>
      </c>
      <c r="H378" s="5">
        <f t="shared" si="31"/>
        <v>1</v>
      </c>
      <c r="I378" s="6" t="s">
        <v>49</v>
      </c>
      <c r="J378" s="6" t="s">
        <v>43</v>
      </c>
      <c r="K378" s="6" t="str">
        <f>_xlfn.XLOOKUP(J378,Worksheet!$F$1:$F$48,Worksheet!$G$1:$G$48,0)</f>
        <v>Lack of awareness</v>
      </c>
      <c r="L378" s="6" t="s">
        <v>356</v>
      </c>
      <c r="M378" s="6" t="s">
        <v>30</v>
      </c>
      <c r="N378" s="6" t="s">
        <v>51</v>
      </c>
      <c r="O378" s="6">
        <v>3</v>
      </c>
      <c r="P378" s="6" t="s">
        <v>45</v>
      </c>
      <c r="Q378" s="6" t="s">
        <v>63</v>
      </c>
      <c r="R378" s="6" t="s">
        <v>329</v>
      </c>
      <c r="S378" s="6">
        <f t="shared" si="28"/>
        <v>1</v>
      </c>
      <c r="T378" s="6">
        <f t="shared" si="33"/>
        <v>1</v>
      </c>
      <c r="U378" s="6">
        <f t="shared" si="33"/>
        <v>1</v>
      </c>
      <c r="V378" s="6">
        <f t="shared" si="33"/>
        <v>0</v>
      </c>
      <c r="W378" s="6">
        <f t="shared" si="33"/>
        <v>0</v>
      </c>
      <c r="X378" s="6">
        <f t="shared" si="33"/>
        <v>0</v>
      </c>
      <c r="Y378" s="6">
        <f t="shared" si="33"/>
        <v>0</v>
      </c>
      <c r="Z378" s="6">
        <f t="shared" si="33"/>
        <v>1</v>
      </c>
      <c r="AA378" s="6">
        <f t="shared" si="33"/>
        <v>1</v>
      </c>
      <c r="AB378" s="6">
        <f t="shared" si="33"/>
        <v>0</v>
      </c>
      <c r="AC378" s="6" t="s">
        <v>21</v>
      </c>
      <c r="AD378" s="6" t="s">
        <v>23</v>
      </c>
      <c r="AE378" s="6" t="s">
        <v>24</v>
      </c>
      <c r="AF378" s="6" t="s">
        <v>82</v>
      </c>
    </row>
    <row r="379" spans="1:32" x14ac:dyDescent="0.3">
      <c r="A379" s="7">
        <v>378</v>
      </c>
      <c r="B379" s="7" t="s">
        <v>68</v>
      </c>
      <c r="C379" s="7">
        <f t="shared" si="32"/>
        <v>0</v>
      </c>
      <c r="D379" s="7">
        <f t="shared" si="31"/>
        <v>1</v>
      </c>
      <c r="E379" s="7">
        <f t="shared" si="31"/>
        <v>0</v>
      </c>
      <c r="F379" s="7">
        <f t="shared" si="31"/>
        <v>0</v>
      </c>
      <c r="G379" s="7">
        <f t="shared" si="31"/>
        <v>0</v>
      </c>
      <c r="H379" s="7">
        <f t="shared" si="31"/>
        <v>0</v>
      </c>
      <c r="I379" s="8" t="s">
        <v>15</v>
      </c>
      <c r="J379" s="8" t="s">
        <v>16</v>
      </c>
      <c r="K379" s="8" t="str">
        <f>_xlfn.XLOOKUP(J379,Worksheet!$F$1:$F$48,Worksheet!$G$1:$G$48,0)</f>
        <v>Cost</v>
      </c>
      <c r="L379" s="8" t="s">
        <v>37</v>
      </c>
      <c r="M379" s="8" t="s">
        <v>15</v>
      </c>
      <c r="N379" s="8" t="s">
        <v>51</v>
      </c>
      <c r="O379" s="8">
        <v>5</v>
      </c>
      <c r="P379" s="8" t="s">
        <v>59</v>
      </c>
      <c r="Q379" s="8" t="s">
        <v>63</v>
      </c>
      <c r="R379" s="8" t="s">
        <v>157</v>
      </c>
      <c r="S379" s="8">
        <f t="shared" ref="S379:S388" si="34">IFERROR(IF(SEARCH(S$1,$R379)&gt;0,1,0),0)</f>
        <v>0</v>
      </c>
      <c r="T379" s="8">
        <f t="shared" si="33"/>
        <v>0</v>
      </c>
      <c r="U379" s="8">
        <f t="shared" si="33"/>
        <v>0</v>
      </c>
      <c r="V379" s="8">
        <f t="shared" si="33"/>
        <v>0</v>
      </c>
      <c r="W379" s="8">
        <f t="shared" si="33"/>
        <v>0</v>
      </c>
      <c r="X379" s="8">
        <f t="shared" si="33"/>
        <v>0</v>
      </c>
      <c r="Y379" s="8">
        <f t="shared" si="33"/>
        <v>0</v>
      </c>
      <c r="Z379" s="8">
        <f t="shared" si="33"/>
        <v>1</v>
      </c>
      <c r="AA379" s="8">
        <f t="shared" si="33"/>
        <v>0</v>
      </c>
      <c r="AB379" s="8">
        <f t="shared" si="33"/>
        <v>0</v>
      </c>
      <c r="AC379" s="8" t="s">
        <v>25</v>
      </c>
      <c r="AD379" s="8" t="s">
        <v>34</v>
      </c>
      <c r="AE379" s="8" t="s">
        <v>88</v>
      </c>
      <c r="AF379" s="8" t="s">
        <v>21</v>
      </c>
    </row>
    <row r="380" spans="1:32" x14ac:dyDescent="0.3">
      <c r="A380" s="5">
        <v>379</v>
      </c>
      <c r="B380" s="5" t="s">
        <v>68</v>
      </c>
      <c r="C380" s="5">
        <f t="shared" si="32"/>
        <v>0</v>
      </c>
      <c r="D380" s="5">
        <f t="shared" si="31"/>
        <v>1</v>
      </c>
      <c r="E380" s="5">
        <f t="shared" si="31"/>
        <v>0</v>
      </c>
      <c r="F380" s="5">
        <f t="shared" si="31"/>
        <v>0</v>
      </c>
      <c r="G380" s="5">
        <f t="shared" si="31"/>
        <v>0</v>
      </c>
      <c r="H380" s="5">
        <f t="shared" si="31"/>
        <v>0</v>
      </c>
      <c r="I380" s="6" t="s">
        <v>49</v>
      </c>
      <c r="J380" s="6" t="s">
        <v>43</v>
      </c>
      <c r="K380" s="6" t="str">
        <f>_xlfn.XLOOKUP(J380,Worksheet!$F$1:$F$48,Worksheet!$G$1:$G$48,0)</f>
        <v>Lack of awareness</v>
      </c>
      <c r="L380" s="6" t="s">
        <v>50</v>
      </c>
      <c r="M380" s="6" t="s">
        <v>30</v>
      </c>
      <c r="N380" s="6" t="s">
        <v>51</v>
      </c>
      <c r="O380" s="6">
        <v>5</v>
      </c>
      <c r="P380" s="6" t="s">
        <v>72</v>
      </c>
      <c r="Q380" s="6" t="s">
        <v>52</v>
      </c>
      <c r="R380" s="6" t="s">
        <v>161</v>
      </c>
      <c r="S380" s="6">
        <f t="shared" si="34"/>
        <v>0</v>
      </c>
      <c r="T380" s="6">
        <f t="shared" si="33"/>
        <v>0</v>
      </c>
      <c r="U380" s="6">
        <f t="shared" si="33"/>
        <v>0</v>
      </c>
      <c r="V380" s="6">
        <f t="shared" si="33"/>
        <v>0</v>
      </c>
      <c r="W380" s="6">
        <f t="shared" si="33"/>
        <v>0</v>
      </c>
      <c r="X380" s="6">
        <f t="shared" si="33"/>
        <v>0</v>
      </c>
      <c r="Y380" s="6">
        <f t="shared" si="33"/>
        <v>0</v>
      </c>
      <c r="Z380" s="6">
        <f t="shared" si="33"/>
        <v>0</v>
      </c>
      <c r="AA380" s="6">
        <f t="shared" si="33"/>
        <v>0</v>
      </c>
      <c r="AB380" s="6">
        <f t="shared" si="33"/>
        <v>1</v>
      </c>
      <c r="AC380" s="6" t="s">
        <v>21</v>
      </c>
      <c r="AD380" s="6" t="s">
        <v>23</v>
      </c>
      <c r="AE380" s="6" t="s">
        <v>88</v>
      </c>
      <c r="AF380" s="6" t="s">
        <v>82</v>
      </c>
    </row>
    <row r="381" spans="1:32" x14ac:dyDescent="0.3">
      <c r="A381" s="7">
        <v>380</v>
      </c>
      <c r="B381" s="7" t="s">
        <v>340</v>
      </c>
      <c r="C381" s="7">
        <f t="shared" si="32"/>
        <v>0</v>
      </c>
      <c r="D381" s="7">
        <f t="shared" si="31"/>
        <v>0</v>
      </c>
      <c r="E381" s="7">
        <f t="shared" si="31"/>
        <v>1</v>
      </c>
      <c r="F381" s="7">
        <f t="shared" si="31"/>
        <v>0</v>
      </c>
      <c r="G381" s="7">
        <f t="shared" si="31"/>
        <v>0</v>
      </c>
      <c r="H381" s="7">
        <f t="shared" si="31"/>
        <v>0</v>
      </c>
      <c r="I381" s="8" t="s">
        <v>49</v>
      </c>
      <c r="J381" s="8" t="s">
        <v>43</v>
      </c>
      <c r="K381" s="8" t="str">
        <f>_xlfn.XLOOKUP(J381,Worksheet!$F$1:$F$48,Worksheet!$G$1:$G$48,0)</f>
        <v>Lack of awareness</v>
      </c>
      <c r="L381" s="8" t="s">
        <v>50</v>
      </c>
      <c r="M381" s="8" t="s">
        <v>49</v>
      </c>
      <c r="N381" s="8" t="s">
        <v>51</v>
      </c>
      <c r="O381" s="8">
        <v>5</v>
      </c>
      <c r="P381" s="8" t="s">
        <v>45</v>
      </c>
      <c r="Q381" s="8" t="s">
        <v>63</v>
      </c>
      <c r="R381" s="8" t="s">
        <v>56</v>
      </c>
      <c r="S381" s="8">
        <f t="shared" si="34"/>
        <v>1</v>
      </c>
      <c r="T381" s="8">
        <f t="shared" si="33"/>
        <v>0</v>
      </c>
      <c r="U381" s="8">
        <f t="shared" si="33"/>
        <v>0</v>
      </c>
      <c r="V381" s="8">
        <f t="shared" si="33"/>
        <v>0</v>
      </c>
      <c r="W381" s="8">
        <f t="shared" si="33"/>
        <v>0</v>
      </c>
      <c r="X381" s="8">
        <f t="shared" si="33"/>
        <v>0</v>
      </c>
      <c r="Y381" s="8">
        <f t="shared" si="33"/>
        <v>0</v>
      </c>
      <c r="Z381" s="8">
        <f t="shared" si="33"/>
        <v>0</v>
      </c>
      <c r="AA381" s="8">
        <f t="shared" si="33"/>
        <v>0</v>
      </c>
      <c r="AB381" s="8">
        <f t="shared" si="33"/>
        <v>0</v>
      </c>
      <c r="AC381" s="8" t="s">
        <v>21</v>
      </c>
      <c r="AD381" s="8" t="s">
        <v>23</v>
      </c>
      <c r="AE381" s="8" t="s">
        <v>88</v>
      </c>
      <c r="AF381" s="8" t="s">
        <v>25</v>
      </c>
    </row>
    <row r="382" spans="1:32" x14ac:dyDescent="0.3">
      <c r="A382" s="5">
        <v>381</v>
      </c>
      <c r="B382" s="5" t="s">
        <v>68</v>
      </c>
      <c r="C382" s="5">
        <f t="shared" si="32"/>
        <v>0</v>
      </c>
      <c r="D382" s="5">
        <f t="shared" si="31"/>
        <v>1</v>
      </c>
      <c r="E382" s="5">
        <f t="shared" si="31"/>
        <v>0</v>
      </c>
      <c r="F382" s="5">
        <f t="shared" si="31"/>
        <v>0</v>
      </c>
      <c r="G382" s="5">
        <f t="shared" si="31"/>
        <v>0</v>
      </c>
      <c r="H382" s="5">
        <f t="shared" si="31"/>
        <v>0</v>
      </c>
      <c r="I382" s="6" t="s">
        <v>15</v>
      </c>
      <c r="J382" s="6" t="s">
        <v>43</v>
      </c>
      <c r="K382" s="6" t="str">
        <f>_xlfn.XLOOKUP(J382,Worksheet!$F$1:$F$48,Worksheet!$G$1:$G$48,0)</f>
        <v>Lack of awareness</v>
      </c>
      <c r="L382" s="6" t="s">
        <v>356</v>
      </c>
      <c r="M382" s="6" t="s">
        <v>15</v>
      </c>
      <c r="N382" s="6" t="s">
        <v>51</v>
      </c>
      <c r="O382" s="6">
        <v>5</v>
      </c>
      <c r="P382" s="6" t="s">
        <v>45</v>
      </c>
      <c r="Q382" s="6" t="s">
        <v>46</v>
      </c>
      <c r="R382" s="6" t="s">
        <v>330</v>
      </c>
      <c r="S382" s="6">
        <f t="shared" si="34"/>
        <v>1</v>
      </c>
      <c r="T382" s="6">
        <f t="shared" si="33"/>
        <v>0</v>
      </c>
      <c r="U382" s="6">
        <f t="shared" si="33"/>
        <v>1</v>
      </c>
      <c r="V382" s="6">
        <f t="shared" si="33"/>
        <v>0</v>
      </c>
      <c r="W382" s="6">
        <f t="shared" si="33"/>
        <v>0</v>
      </c>
      <c r="X382" s="6">
        <f t="shared" si="33"/>
        <v>0</v>
      </c>
      <c r="Y382" s="6">
        <f t="shared" si="33"/>
        <v>1</v>
      </c>
      <c r="Z382" s="6">
        <f t="shared" si="33"/>
        <v>1</v>
      </c>
      <c r="AA382" s="6">
        <f t="shared" si="33"/>
        <v>0</v>
      </c>
      <c r="AB382" s="6">
        <f t="shared" si="33"/>
        <v>0</v>
      </c>
      <c r="AC382" s="6" t="s">
        <v>21</v>
      </c>
      <c r="AD382" s="6" t="s">
        <v>23</v>
      </c>
      <c r="AE382" s="6" t="s">
        <v>113</v>
      </c>
      <c r="AF382" s="6" t="s">
        <v>48</v>
      </c>
    </row>
    <row r="383" spans="1:32" x14ac:dyDescent="0.3">
      <c r="A383" s="7">
        <v>382</v>
      </c>
      <c r="B383" s="7" t="s">
        <v>340</v>
      </c>
      <c r="C383" s="7">
        <f t="shared" si="32"/>
        <v>0</v>
      </c>
      <c r="D383" s="7">
        <f t="shared" si="31"/>
        <v>0</v>
      </c>
      <c r="E383" s="7">
        <f t="shared" si="31"/>
        <v>1</v>
      </c>
      <c r="F383" s="7">
        <f t="shared" si="31"/>
        <v>0</v>
      </c>
      <c r="G383" s="7">
        <f t="shared" si="31"/>
        <v>0</v>
      </c>
      <c r="H383" s="7">
        <f t="shared" si="31"/>
        <v>0</v>
      </c>
      <c r="I383" s="8" t="s">
        <v>49</v>
      </c>
      <c r="J383" s="8" t="s">
        <v>331</v>
      </c>
      <c r="K383" s="8" t="str">
        <f>_xlfn.XLOOKUP(J383,Worksheet!$F$1:$F$48,Worksheet!$G$1:$G$48,0)</f>
        <v>No need</v>
      </c>
      <c r="L383" s="8" t="s">
        <v>50</v>
      </c>
      <c r="M383" s="8" t="s">
        <v>30</v>
      </c>
      <c r="N383" s="8" t="s">
        <v>51</v>
      </c>
      <c r="O383" s="8">
        <v>3</v>
      </c>
      <c r="P383" s="8" t="s">
        <v>45</v>
      </c>
      <c r="Q383" s="8" t="s">
        <v>63</v>
      </c>
      <c r="R383" s="8" t="s">
        <v>332</v>
      </c>
      <c r="S383" s="8">
        <f t="shared" si="34"/>
        <v>1</v>
      </c>
      <c r="T383" s="8">
        <f t="shared" si="33"/>
        <v>1</v>
      </c>
      <c r="U383" s="8">
        <f t="shared" si="33"/>
        <v>0</v>
      </c>
      <c r="V383" s="8">
        <f t="shared" si="33"/>
        <v>0</v>
      </c>
      <c r="W383" s="8">
        <f t="shared" si="33"/>
        <v>0</v>
      </c>
      <c r="X383" s="8">
        <f t="shared" si="33"/>
        <v>0</v>
      </c>
      <c r="Y383" s="8">
        <f t="shared" si="33"/>
        <v>1</v>
      </c>
      <c r="Z383" s="8">
        <f t="shared" si="33"/>
        <v>0</v>
      </c>
      <c r="AA383" s="8">
        <f t="shared" si="33"/>
        <v>0</v>
      </c>
      <c r="AB383" s="8">
        <f t="shared" si="33"/>
        <v>0</v>
      </c>
      <c r="AC383" s="8" t="s">
        <v>21</v>
      </c>
      <c r="AD383" s="8" t="s">
        <v>34</v>
      </c>
      <c r="AE383" s="8" t="s">
        <v>88</v>
      </c>
      <c r="AF383" s="8" t="s">
        <v>25</v>
      </c>
    </row>
    <row r="384" spans="1:32" x14ac:dyDescent="0.3">
      <c r="A384" s="5">
        <v>383</v>
      </c>
      <c r="B384" s="5" t="s">
        <v>340</v>
      </c>
      <c r="C384" s="5">
        <f t="shared" si="32"/>
        <v>0</v>
      </c>
      <c r="D384" s="5">
        <f t="shared" si="31"/>
        <v>0</v>
      </c>
      <c r="E384" s="5">
        <f t="shared" si="31"/>
        <v>1</v>
      </c>
      <c r="F384" s="5">
        <f t="shared" si="31"/>
        <v>0</v>
      </c>
      <c r="G384" s="5">
        <f t="shared" si="31"/>
        <v>0</v>
      </c>
      <c r="H384" s="5">
        <f t="shared" si="31"/>
        <v>0</v>
      </c>
      <c r="I384" s="6" t="s">
        <v>27</v>
      </c>
      <c r="J384" s="6" t="s">
        <v>333</v>
      </c>
      <c r="K384" s="6" t="str">
        <f>_xlfn.XLOOKUP(J384,Worksheet!$F$1:$F$48,Worksheet!$G$1:$G$48,0)</f>
        <v>Lack of awareness</v>
      </c>
      <c r="L384" s="6" t="s">
        <v>29</v>
      </c>
      <c r="M384" s="6" t="s">
        <v>30</v>
      </c>
      <c r="N384" s="6" t="s">
        <v>44</v>
      </c>
      <c r="O384" s="6">
        <v>3</v>
      </c>
      <c r="P384" s="6" t="s">
        <v>45</v>
      </c>
      <c r="Q384" s="6" t="s">
        <v>63</v>
      </c>
      <c r="R384" s="6" t="s">
        <v>334</v>
      </c>
      <c r="S384" s="6">
        <f t="shared" si="34"/>
        <v>1</v>
      </c>
      <c r="T384" s="6">
        <f t="shared" si="33"/>
        <v>1</v>
      </c>
      <c r="U384" s="6">
        <f t="shared" si="33"/>
        <v>0</v>
      </c>
      <c r="V384" s="6">
        <f t="shared" si="33"/>
        <v>1</v>
      </c>
      <c r="W384" s="6">
        <f t="shared" si="33"/>
        <v>0</v>
      </c>
      <c r="X384" s="6">
        <f t="shared" si="33"/>
        <v>1</v>
      </c>
      <c r="Y384" s="6">
        <f t="shared" si="33"/>
        <v>1</v>
      </c>
      <c r="Z384" s="6">
        <f t="shared" si="33"/>
        <v>0</v>
      </c>
      <c r="AA384" s="6">
        <f t="shared" si="33"/>
        <v>0</v>
      </c>
      <c r="AB384" s="6">
        <f t="shared" si="33"/>
        <v>0</v>
      </c>
      <c r="AC384" s="6" t="s">
        <v>21</v>
      </c>
      <c r="AD384" s="6" t="s">
        <v>23</v>
      </c>
      <c r="AE384" s="6" t="s">
        <v>24</v>
      </c>
      <c r="AF384" s="6" t="s">
        <v>48</v>
      </c>
    </row>
    <row r="385" spans="1:32" x14ac:dyDescent="0.3">
      <c r="A385" s="7">
        <v>384</v>
      </c>
      <c r="B385" s="7" t="s">
        <v>41</v>
      </c>
      <c r="C385" s="7">
        <f t="shared" si="32"/>
        <v>0</v>
      </c>
      <c r="D385" s="7">
        <f t="shared" si="31"/>
        <v>0</v>
      </c>
      <c r="E385" s="7">
        <f t="shared" si="31"/>
        <v>0</v>
      </c>
      <c r="F385" s="7">
        <f t="shared" si="31"/>
        <v>0</v>
      </c>
      <c r="G385" s="7">
        <f t="shared" si="31"/>
        <v>1</v>
      </c>
      <c r="H385" s="7">
        <f t="shared" si="31"/>
        <v>0</v>
      </c>
      <c r="I385" s="8" t="s">
        <v>42</v>
      </c>
      <c r="J385" s="8" t="s">
        <v>335</v>
      </c>
      <c r="K385" s="8" t="str">
        <f>_xlfn.XLOOKUP(J385,Worksheet!$F$1:$F$48,Worksheet!$G$1:$G$48,0)</f>
        <v>Testing</v>
      </c>
      <c r="L385" s="8" t="s">
        <v>37</v>
      </c>
      <c r="M385" s="8" t="s">
        <v>18</v>
      </c>
      <c r="N385" s="8" t="s">
        <v>44</v>
      </c>
      <c r="O385" s="8">
        <v>5</v>
      </c>
      <c r="P385" s="8" t="s">
        <v>59</v>
      </c>
      <c r="Q385" s="8" t="s">
        <v>52</v>
      </c>
      <c r="R385" s="8" t="s">
        <v>233</v>
      </c>
      <c r="S385" s="8">
        <f t="shared" si="34"/>
        <v>1</v>
      </c>
      <c r="T385" s="8">
        <f t="shared" si="33"/>
        <v>0</v>
      </c>
      <c r="U385" s="8">
        <f t="shared" si="33"/>
        <v>0</v>
      </c>
      <c r="V385" s="8">
        <f t="shared" si="33"/>
        <v>0</v>
      </c>
      <c r="W385" s="8">
        <f t="shared" si="33"/>
        <v>1</v>
      </c>
      <c r="X385" s="8">
        <f t="shared" si="33"/>
        <v>1</v>
      </c>
      <c r="Y385" s="8">
        <f t="shared" si="33"/>
        <v>0</v>
      </c>
      <c r="Z385" s="8">
        <f t="shared" si="33"/>
        <v>0</v>
      </c>
      <c r="AA385" s="8">
        <f t="shared" si="33"/>
        <v>0</v>
      </c>
      <c r="AB385" s="8">
        <f t="shared" si="33"/>
        <v>0</v>
      </c>
      <c r="AC385" s="8" t="s">
        <v>21</v>
      </c>
      <c r="AD385" s="8" t="s">
        <v>34</v>
      </c>
      <c r="AE385" s="8" t="s">
        <v>88</v>
      </c>
      <c r="AF385" s="8" t="s">
        <v>21</v>
      </c>
    </row>
    <row r="386" spans="1:32" x14ac:dyDescent="0.3">
      <c r="A386" s="5">
        <v>385</v>
      </c>
      <c r="B386" s="5" t="s">
        <v>55</v>
      </c>
      <c r="C386" s="5">
        <f t="shared" si="32"/>
        <v>0</v>
      </c>
      <c r="D386" s="5">
        <f t="shared" si="31"/>
        <v>0</v>
      </c>
      <c r="E386" s="5">
        <f t="shared" si="31"/>
        <v>0</v>
      </c>
      <c r="F386" s="5">
        <f t="shared" si="31"/>
        <v>0</v>
      </c>
      <c r="G386" s="5">
        <f t="shared" si="31"/>
        <v>0</v>
      </c>
      <c r="H386" s="5">
        <f t="shared" si="31"/>
        <v>1</v>
      </c>
      <c r="I386" s="6" t="s">
        <v>15</v>
      </c>
      <c r="J386" s="6" t="s">
        <v>43</v>
      </c>
      <c r="K386" s="6" t="str">
        <f>_xlfn.XLOOKUP(J386,Worksheet!$F$1:$F$48,Worksheet!$G$1:$G$48,0)</f>
        <v>Lack of awareness</v>
      </c>
      <c r="L386" s="6" t="s">
        <v>37</v>
      </c>
      <c r="M386" s="6" t="s">
        <v>30</v>
      </c>
      <c r="N386" s="6" t="s">
        <v>44</v>
      </c>
      <c r="O386" s="6">
        <v>5</v>
      </c>
      <c r="P386" s="6" t="s">
        <v>45</v>
      </c>
      <c r="Q386" s="6" t="s">
        <v>63</v>
      </c>
      <c r="R386" s="6" t="s">
        <v>233</v>
      </c>
      <c r="S386" s="6">
        <f t="shared" si="34"/>
        <v>1</v>
      </c>
      <c r="T386" s="6">
        <f t="shared" si="33"/>
        <v>0</v>
      </c>
      <c r="U386" s="6">
        <f t="shared" si="33"/>
        <v>0</v>
      </c>
      <c r="V386" s="6">
        <f t="shared" si="33"/>
        <v>0</v>
      </c>
      <c r="W386" s="6">
        <f t="shared" si="33"/>
        <v>1</v>
      </c>
      <c r="X386" s="6">
        <f t="shared" si="33"/>
        <v>1</v>
      </c>
      <c r="Y386" s="6">
        <f t="shared" si="33"/>
        <v>0</v>
      </c>
      <c r="Z386" s="6">
        <f t="shared" si="33"/>
        <v>0</v>
      </c>
      <c r="AA386" s="6">
        <f t="shared" si="33"/>
        <v>0</v>
      </c>
      <c r="AB386" s="6">
        <f t="shared" si="33"/>
        <v>0</v>
      </c>
      <c r="AC386" s="6" t="s">
        <v>25</v>
      </c>
      <c r="AD386" s="6" t="s">
        <v>34</v>
      </c>
      <c r="AE386" s="6" t="s">
        <v>24</v>
      </c>
      <c r="AF386" s="6" t="s">
        <v>48</v>
      </c>
    </row>
    <row r="387" spans="1:32" x14ac:dyDescent="0.3">
      <c r="A387" s="7">
        <v>386</v>
      </c>
      <c r="B387" s="7" t="s">
        <v>340</v>
      </c>
      <c r="C387" s="7">
        <f t="shared" si="32"/>
        <v>0</v>
      </c>
      <c r="D387" s="7">
        <f t="shared" si="31"/>
        <v>0</v>
      </c>
      <c r="E387" s="7">
        <f t="shared" si="31"/>
        <v>1</v>
      </c>
      <c r="F387" s="7">
        <f t="shared" si="31"/>
        <v>0</v>
      </c>
      <c r="G387" s="7">
        <f t="shared" si="31"/>
        <v>0</v>
      </c>
      <c r="H387" s="7">
        <f t="shared" si="31"/>
        <v>0</v>
      </c>
      <c r="I387" s="8" t="s">
        <v>49</v>
      </c>
      <c r="J387" s="8" t="s">
        <v>43</v>
      </c>
      <c r="K387" s="8" t="str">
        <f>_xlfn.XLOOKUP(J387,Worksheet!$F$1:$F$48,Worksheet!$G$1:$G$48,0)</f>
        <v>Lack of awareness</v>
      </c>
      <c r="L387" s="8" t="s">
        <v>50</v>
      </c>
      <c r="M387" s="8" t="s">
        <v>49</v>
      </c>
      <c r="N387" s="8" t="s">
        <v>51</v>
      </c>
      <c r="O387" s="8">
        <v>5</v>
      </c>
      <c r="P387" s="8" t="s">
        <v>59</v>
      </c>
      <c r="Q387" s="8" t="s">
        <v>63</v>
      </c>
      <c r="R387" s="8" t="s">
        <v>139</v>
      </c>
      <c r="S387" s="8">
        <f t="shared" si="34"/>
        <v>0</v>
      </c>
      <c r="T387" s="8">
        <f t="shared" si="33"/>
        <v>1</v>
      </c>
      <c r="U387" s="8">
        <f t="shared" si="33"/>
        <v>0</v>
      </c>
      <c r="V387" s="8">
        <f t="shared" si="33"/>
        <v>0</v>
      </c>
      <c r="W387" s="8">
        <f t="shared" si="33"/>
        <v>0</v>
      </c>
      <c r="X387" s="8">
        <f t="shared" si="33"/>
        <v>0</v>
      </c>
      <c r="Y387" s="8">
        <f t="shared" si="33"/>
        <v>0</v>
      </c>
      <c r="Z387" s="8">
        <f t="shared" si="33"/>
        <v>0</v>
      </c>
      <c r="AA387" s="8">
        <f t="shared" si="33"/>
        <v>0</v>
      </c>
      <c r="AB387" s="8">
        <f t="shared" si="33"/>
        <v>0</v>
      </c>
      <c r="AC387" s="8" t="s">
        <v>25</v>
      </c>
      <c r="AD387" s="8" t="s">
        <v>34</v>
      </c>
      <c r="AE387" s="8" t="s">
        <v>113</v>
      </c>
      <c r="AF387" s="8" t="s">
        <v>25</v>
      </c>
    </row>
    <row r="388" spans="1:32" x14ac:dyDescent="0.3">
      <c r="A388" s="5">
        <v>387</v>
      </c>
      <c r="B388" s="5" t="s">
        <v>55</v>
      </c>
      <c r="C388" s="5">
        <f t="shared" si="32"/>
        <v>0</v>
      </c>
      <c r="D388" s="5">
        <f t="shared" si="31"/>
        <v>0</v>
      </c>
      <c r="E388" s="5">
        <f t="shared" si="31"/>
        <v>0</v>
      </c>
      <c r="F388" s="5">
        <f t="shared" si="31"/>
        <v>0</v>
      </c>
      <c r="G388" s="5">
        <f t="shared" si="31"/>
        <v>0</v>
      </c>
      <c r="H388" s="5">
        <f t="shared" si="31"/>
        <v>1</v>
      </c>
      <c r="I388" s="6" t="s">
        <v>15</v>
      </c>
      <c r="J388" s="6" t="s">
        <v>43</v>
      </c>
      <c r="K388" s="6" t="str">
        <f>_xlfn.XLOOKUP(J388,Worksheet!$F$1:$F$48,Worksheet!$G$1:$G$48,0)</f>
        <v>Lack of awareness</v>
      </c>
      <c r="L388" s="6" t="s">
        <v>50</v>
      </c>
      <c r="M388" s="6" t="s">
        <v>15</v>
      </c>
      <c r="N388" s="6" t="s">
        <v>58</v>
      </c>
      <c r="O388" s="6">
        <v>4</v>
      </c>
      <c r="P388" s="6" t="s">
        <v>45</v>
      </c>
      <c r="Q388" s="6" t="s">
        <v>46</v>
      </c>
      <c r="R388" s="6" t="s">
        <v>67</v>
      </c>
      <c r="S388" s="6">
        <f t="shared" si="34"/>
        <v>1</v>
      </c>
      <c r="T388" s="6">
        <f t="shared" si="33"/>
        <v>1</v>
      </c>
      <c r="U388" s="6">
        <f t="shared" si="33"/>
        <v>1</v>
      </c>
      <c r="V388" s="6">
        <f t="shared" si="33"/>
        <v>1</v>
      </c>
      <c r="W388" s="6">
        <f t="shared" si="33"/>
        <v>1</v>
      </c>
      <c r="X388" s="6">
        <f t="shared" si="33"/>
        <v>1</v>
      </c>
      <c r="Y388" s="6">
        <f t="shared" si="33"/>
        <v>1</v>
      </c>
      <c r="Z388" s="6">
        <f t="shared" si="33"/>
        <v>1</v>
      </c>
      <c r="AA388" s="6">
        <f t="shared" si="33"/>
        <v>1</v>
      </c>
      <c r="AB388" s="6">
        <f t="shared" si="33"/>
        <v>1</v>
      </c>
      <c r="AC388" s="6" t="s">
        <v>21</v>
      </c>
      <c r="AD388" s="6" t="s">
        <v>23</v>
      </c>
      <c r="AE388" s="6" t="s">
        <v>24</v>
      </c>
      <c r="AF388" s="6" t="s">
        <v>21</v>
      </c>
    </row>
  </sheetData>
  <phoneticPr fontId="2" type="noConversion"/>
  <conditionalFormatting sqref="C1">
    <cfRule type="duplicateValues" dxfId="24" priority="4"/>
  </conditionalFormatting>
  <conditionalFormatting sqref="C1:H1">
    <cfRule type="duplicateValues" dxfId="23" priority="10"/>
  </conditionalFormatting>
  <conditionalFormatting sqref="D1">
    <cfRule type="duplicateValues" dxfId="22" priority="7"/>
  </conditionalFormatting>
  <conditionalFormatting sqref="H1 E1">
    <cfRule type="duplicateValues" dxfId="21" priority="2"/>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G387"/>
  <sheetViews>
    <sheetView workbookViewId="0">
      <selection activeCell="B22" sqref="B22"/>
    </sheetView>
  </sheetViews>
  <sheetFormatPr defaultRowHeight="14.4" x14ac:dyDescent="0.3"/>
  <cols>
    <col min="1" max="1" width="4" bestFit="1" customWidth="1"/>
    <col min="2" max="2" width="28.88671875" bestFit="1" customWidth="1"/>
    <col min="3" max="5" width="28.44140625" bestFit="1" customWidth="1"/>
    <col min="6" max="6" width="52.21875" bestFit="1" customWidth="1"/>
    <col min="7" max="7" width="28.44140625" bestFit="1" customWidth="1"/>
    <col min="8" max="8" width="26.88671875" bestFit="1" customWidth="1"/>
  </cols>
  <sheetData>
    <row r="1" spans="1:7" x14ac:dyDescent="0.3">
      <c r="A1">
        <v>1</v>
      </c>
      <c r="B1" t="s">
        <v>16</v>
      </c>
      <c r="F1" s="6" t="s">
        <v>16</v>
      </c>
      <c r="G1" t="s">
        <v>16</v>
      </c>
    </row>
    <row r="2" spans="1:7" x14ac:dyDescent="0.3">
      <c r="A2">
        <v>2</v>
      </c>
      <c r="B2" t="s">
        <v>28</v>
      </c>
      <c r="C2" t="s">
        <v>43</v>
      </c>
      <c r="D2" t="s">
        <v>349</v>
      </c>
      <c r="E2" t="s">
        <v>350</v>
      </c>
      <c r="F2" s="8" t="s">
        <v>28</v>
      </c>
      <c r="G2" t="s">
        <v>352</v>
      </c>
    </row>
    <row r="3" spans="1:7" x14ac:dyDescent="0.3">
      <c r="A3">
        <v>3</v>
      </c>
      <c r="B3" t="s">
        <v>36</v>
      </c>
      <c r="C3" t="s">
        <v>347</v>
      </c>
      <c r="F3" s="6" t="s">
        <v>36</v>
      </c>
      <c r="G3" t="s">
        <v>36</v>
      </c>
    </row>
    <row r="4" spans="1:7" x14ac:dyDescent="0.3">
      <c r="A4">
        <v>4</v>
      </c>
      <c r="B4" t="s">
        <v>43</v>
      </c>
      <c r="C4" t="s">
        <v>345</v>
      </c>
      <c r="F4" s="8" t="s">
        <v>43</v>
      </c>
      <c r="G4" s="8" t="s">
        <v>43</v>
      </c>
    </row>
    <row r="5" spans="1:7" x14ac:dyDescent="0.3">
      <c r="A5">
        <v>5</v>
      </c>
      <c r="B5" t="s">
        <v>76</v>
      </c>
      <c r="C5" t="s">
        <v>348</v>
      </c>
      <c r="F5" s="8" t="s">
        <v>62</v>
      </c>
      <c r="G5" t="s">
        <v>16</v>
      </c>
    </row>
    <row r="6" spans="1:7" x14ac:dyDescent="0.3">
      <c r="A6">
        <v>6</v>
      </c>
      <c r="B6" t="s">
        <v>79</v>
      </c>
      <c r="C6" t="s">
        <v>36</v>
      </c>
      <c r="F6" s="6" t="s">
        <v>76</v>
      </c>
      <c r="G6" t="s">
        <v>352</v>
      </c>
    </row>
    <row r="7" spans="1:7" x14ac:dyDescent="0.3">
      <c r="A7">
        <v>7</v>
      </c>
      <c r="B7" t="s">
        <v>83</v>
      </c>
      <c r="C7" t="s">
        <v>16</v>
      </c>
      <c r="F7" s="6" t="s">
        <v>79</v>
      </c>
      <c r="G7" t="s">
        <v>353</v>
      </c>
    </row>
    <row r="8" spans="1:7" x14ac:dyDescent="0.3">
      <c r="A8">
        <v>8</v>
      </c>
      <c r="B8" t="s">
        <v>93</v>
      </c>
      <c r="C8" t="s">
        <v>351</v>
      </c>
      <c r="F8" s="8" t="s">
        <v>83</v>
      </c>
      <c r="G8" s="8" t="s">
        <v>83</v>
      </c>
    </row>
    <row r="9" spans="1:7" x14ac:dyDescent="0.3">
      <c r="A9">
        <v>9</v>
      </c>
      <c r="B9" t="s">
        <v>112</v>
      </c>
      <c r="F9" s="6" t="s">
        <v>93</v>
      </c>
      <c r="G9" t="s">
        <v>117</v>
      </c>
    </row>
    <row r="10" spans="1:7" x14ac:dyDescent="0.3">
      <c r="A10">
        <v>10</v>
      </c>
      <c r="B10" t="s">
        <v>117</v>
      </c>
      <c r="F10" s="8" t="s">
        <v>112</v>
      </c>
      <c r="G10" t="s">
        <v>353</v>
      </c>
    </row>
    <row r="11" spans="1:7" x14ac:dyDescent="0.3">
      <c r="A11">
        <v>11</v>
      </c>
      <c r="B11" t="s">
        <v>346</v>
      </c>
      <c r="F11" s="8" t="s">
        <v>117</v>
      </c>
      <c r="G11" t="s">
        <v>117</v>
      </c>
    </row>
    <row r="12" spans="1:7" x14ac:dyDescent="0.3">
      <c r="A12">
        <v>12</v>
      </c>
      <c r="B12" t="s">
        <v>150</v>
      </c>
      <c r="F12" s="6" t="s">
        <v>124</v>
      </c>
      <c r="G12" t="s">
        <v>83</v>
      </c>
    </row>
    <row r="13" spans="1:7" x14ac:dyDescent="0.3">
      <c r="A13">
        <v>13</v>
      </c>
      <c r="B13" t="s">
        <v>153</v>
      </c>
      <c r="F13" s="8" t="s">
        <v>128</v>
      </c>
      <c r="G13" s="8" t="s">
        <v>43</v>
      </c>
    </row>
    <row r="14" spans="1:7" x14ac:dyDescent="0.3">
      <c r="A14">
        <v>14</v>
      </c>
      <c r="B14" t="s">
        <v>159</v>
      </c>
      <c r="F14" s="6" t="s">
        <v>144</v>
      </c>
      <c r="G14" s="8" t="s">
        <v>43</v>
      </c>
    </row>
    <row r="15" spans="1:7" x14ac:dyDescent="0.3">
      <c r="A15">
        <v>15</v>
      </c>
      <c r="B15" t="s">
        <v>180</v>
      </c>
      <c r="F15" s="8" t="s">
        <v>150</v>
      </c>
      <c r="G15" t="s">
        <v>352</v>
      </c>
    </row>
    <row r="16" spans="1:7" x14ac:dyDescent="0.3">
      <c r="A16">
        <v>16</v>
      </c>
      <c r="B16" t="s">
        <v>186</v>
      </c>
      <c r="F16" s="8" t="s">
        <v>153</v>
      </c>
      <c r="G16" t="s">
        <v>352</v>
      </c>
    </row>
    <row r="17" spans="1:7" x14ac:dyDescent="0.3">
      <c r="A17">
        <v>17</v>
      </c>
      <c r="B17" t="s">
        <v>191</v>
      </c>
      <c r="F17" s="8" t="s">
        <v>159</v>
      </c>
      <c r="G17" t="s">
        <v>117</v>
      </c>
    </row>
    <row r="18" spans="1:7" x14ac:dyDescent="0.3">
      <c r="A18">
        <v>18</v>
      </c>
      <c r="B18" t="s">
        <v>194</v>
      </c>
      <c r="F18" s="8" t="s">
        <v>173</v>
      </c>
      <c r="G18" s="8" t="s">
        <v>43</v>
      </c>
    </row>
    <row r="19" spans="1:7" x14ac:dyDescent="0.3">
      <c r="A19">
        <v>19</v>
      </c>
      <c r="B19" t="s">
        <v>196</v>
      </c>
      <c r="F19" s="6" t="s">
        <v>180</v>
      </c>
      <c r="G19" t="s">
        <v>352</v>
      </c>
    </row>
    <row r="20" spans="1:7" x14ac:dyDescent="0.3">
      <c r="A20">
        <v>20</v>
      </c>
      <c r="B20" t="s">
        <v>200</v>
      </c>
      <c r="F20" s="6" t="s">
        <v>186</v>
      </c>
      <c r="G20" t="s">
        <v>352</v>
      </c>
    </row>
    <row r="21" spans="1:7" x14ac:dyDescent="0.3">
      <c r="A21">
        <v>21</v>
      </c>
      <c r="B21" t="s">
        <v>207</v>
      </c>
      <c r="F21" s="6" t="s">
        <v>191</v>
      </c>
      <c r="G21" t="s">
        <v>352</v>
      </c>
    </row>
    <row r="22" spans="1:7" x14ac:dyDescent="0.3">
      <c r="A22">
        <v>22</v>
      </c>
      <c r="B22" t="s">
        <v>49</v>
      </c>
      <c r="F22" s="8" t="s">
        <v>194</v>
      </c>
      <c r="G22" t="s">
        <v>352</v>
      </c>
    </row>
    <row r="23" spans="1:7" x14ac:dyDescent="0.3">
      <c r="A23">
        <v>23</v>
      </c>
      <c r="B23" t="s">
        <v>212</v>
      </c>
      <c r="F23" s="6" t="s">
        <v>196</v>
      </c>
      <c r="G23" t="s">
        <v>352</v>
      </c>
    </row>
    <row r="24" spans="1:7" x14ac:dyDescent="0.3">
      <c r="A24">
        <v>24</v>
      </c>
      <c r="B24" t="s">
        <v>215</v>
      </c>
      <c r="F24" s="6" t="s">
        <v>200</v>
      </c>
      <c r="G24" t="s">
        <v>352</v>
      </c>
    </row>
    <row r="25" spans="1:7" x14ac:dyDescent="0.3">
      <c r="A25">
        <v>25</v>
      </c>
      <c r="B25" t="s">
        <v>220</v>
      </c>
      <c r="F25" s="6" t="s">
        <v>207</v>
      </c>
      <c r="G25" s="8" t="s">
        <v>43</v>
      </c>
    </row>
    <row r="26" spans="1:7" x14ac:dyDescent="0.3">
      <c r="A26">
        <v>26</v>
      </c>
      <c r="B26" t="s">
        <v>242</v>
      </c>
      <c r="F26" s="8" t="s">
        <v>49</v>
      </c>
      <c r="G26" t="s">
        <v>353</v>
      </c>
    </row>
    <row r="27" spans="1:7" x14ac:dyDescent="0.3">
      <c r="A27">
        <v>27</v>
      </c>
      <c r="B27" t="s">
        <v>245</v>
      </c>
      <c r="F27" s="6" t="s">
        <v>212</v>
      </c>
      <c r="G27" t="s">
        <v>352</v>
      </c>
    </row>
    <row r="28" spans="1:7" x14ac:dyDescent="0.3">
      <c r="A28">
        <v>28</v>
      </c>
      <c r="B28" t="s">
        <v>248</v>
      </c>
      <c r="F28" s="8" t="s">
        <v>215</v>
      </c>
      <c r="G28" t="s">
        <v>352</v>
      </c>
    </row>
    <row r="29" spans="1:7" x14ac:dyDescent="0.3">
      <c r="A29">
        <v>29</v>
      </c>
      <c r="B29" t="s">
        <v>253</v>
      </c>
      <c r="F29" s="8" t="s">
        <v>220</v>
      </c>
      <c r="G29" t="s">
        <v>352</v>
      </c>
    </row>
    <row r="30" spans="1:7" x14ac:dyDescent="0.3">
      <c r="A30">
        <v>30</v>
      </c>
      <c r="B30" t="s">
        <v>275</v>
      </c>
      <c r="F30" s="8" t="s">
        <v>223</v>
      </c>
      <c r="G30" t="s">
        <v>83</v>
      </c>
    </row>
    <row r="31" spans="1:7" x14ac:dyDescent="0.3">
      <c r="A31">
        <v>31</v>
      </c>
      <c r="B31" t="s">
        <v>294</v>
      </c>
      <c r="F31" s="8" t="s">
        <v>226</v>
      </c>
      <c r="G31" t="s">
        <v>83</v>
      </c>
    </row>
    <row r="32" spans="1:7" x14ac:dyDescent="0.3">
      <c r="A32">
        <v>32</v>
      </c>
      <c r="B32" t="s">
        <v>303</v>
      </c>
      <c r="F32" s="8" t="s">
        <v>242</v>
      </c>
      <c r="G32" t="s">
        <v>16</v>
      </c>
    </row>
    <row r="33" spans="1:7" x14ac:dyDescent="0.3">
      <c r="A33">
        <v>33</v>
      </c>
      <c r="B33" t="s">
        <v>307</v>
      </c>
      <c r="F33" s="6" t="s">
        <v>243</v>
      </c>
      <c r="G33" t="s">
        <v>83</v>
      </c>
    </row>
    <row r="34" spans="1:7" x14ac:dyDescent="0.3">
      <c r="A34">
        <v>34</v>
      </c>
      <c r="B34" t="s">
        <v>309</v>
      </c>
      <c r="F34" s="8" t="s">
        <v>245</v>
      </c>
      <c r="G34" t="s">
        <v>352</v>
      </c>
    </row>
    <row r="35" spans="1:7" x14ac:dyDescent="0.3">
      <c r="A35">
        <v>35</v>
      </c>
      <c r="B35" t="s">
        <v>317</v>
      </c>
      <c r="F35" s="6" t="s">
        <v>248</v>
      </c>
      <c r="G35" t="s">
        <v>352</v>
      </c>
    </row>
    <row r="36" spans="1:7" x14ac:dyDescent="0.3">
      <c r="A36">
        <v>36</v>
      </c>
      <c r="B36" t="s">
        <v>318</v>
      </c>
      <c r="F36" s="6" t="s">
        <v>253</v>
      </c>
      <c r="G36" t="s">
        <v>352</v>
      </c>
    </row>
    <row r="37" spans="1:7" x14ac:dyDescent="0.3">
      <c r="A37">
        <v>37</v>
      </c>
      <c r="B37" t="s">
        <v>322</v>
      </c>
      <c r="F37" s="6" t="s">
        <v>275</v>
      </c>
      <c r="G37" t="s">
        <v>352</v>
      </c>
    </row>
    <row r="38" spans="1:7" x14ac:dyDescent="0.3">
      <c r="A38">
        <v>38</v>
      </c>
      <c r="B38" t="s">
        <v>331</v>
      </c>
      <c r="F38" s="8" t="s">
        <v>294</v>
      </c>
      <c r="G38" t="s">
        <v>352</v>
      </c>
    </row>
    <row r="39" spans="1:7" x14ac:dyDescent="0.3">
      <c r="A39">
        <v>39</v>
      </c>
      <c r="B39" t="s">
        <v>333</v>
      </c>
      <c r="F39" s="8" t="s">
        <v>303</v>
      </c>
      <c r="G39" t="s">
        <v>117</v>
      </c>
    </row>
    <row r="40" spans="1:7" x14ac:dyDescent="0.3">
      <c r="A40">
        <v>40</v>
      </c>
      <c r="B40" t="s">
        <v>335</v>
      </c>
      <c r="F40" s="6" t="s">
        <v>307</v>
      </c>
      <c r="G40" t="s">
        <v>354</v>
      </c>
    </row>
    <row r="41" spans="1:7" x14ac:dyDescent="0.3">
      <c r="A41">
        <v>41</v>
      </c>
      <c r="F41" s="8" t="s">
        <v>309</v>
      </c>
      <c r="G41" t="s">
        <v>352</v>
      </c>
    </row>
    <row r="42" spans="1:7" x14ac:dyDescent="0.3">
      <c r="A42">
        <v>42</v>
      </c>
      <c r="F42" s="6" t="s">
        <v>317</v>
      </c>
      <c r="G42" t="s">
        <v>354</v>
      </c>
    </row>
    <row r="43" spans="1:7" x14ac:dyDescent="0.3">
      <c r="A43">
        <v>43</v>
      </c>
      <c r="F43" s="6" t="s">
        <v>318</v>
      </c>
      <c r="G43" t="s">
        <v>117</v>
      </c>
    </row>
    <row r="44" spans="1:7" x14ac:dyDescent="0.3">
      <c r="A44">
        <v>44</v>
      </c>
      <c r="F44" s="6" t="s">
        <v>322</v>
      </c>
      <c r="G44" t="s">
        <v>352</v>
      </c>
    </row>
    <row r="45" spans="1:7" x14ac:dyDescent="0.3">
      <c r="A45">
        <v>45</v>
      </c>
      <c r="F45" s="8" t="s">
        <v>323</v>
      </c>
      <c r="G45" t="s">
        <v>16</v>
      </c>
    </row>
    <row r="46" spans="1:7" x14ac:dyDescent="0.3">
      <c r="A46">
        <v>46</v>
      </c>
      <c r="F46" s="8" t="s">
        <v>331</v>
      </c>
      <c r="G46" t="s">
        <v>352</v>
      </c>
    </row>
    <row r="47" spans="1:7" x14ac:dyDescent="0.3">
      <c r="A47">
        <v>47</v>
      </c>
      <c r="F47" s="6" t="s">
        <v>333</v>
      </c>
      <c r="G47" s="8" t="s">
        <v>43</v>
      </c>
    </row>
    <row r="48" spans="1:7" x14ac:dyDescent="0.3">
      <c r="A48">
        <v>48</v>
      </c>
      <c r="F48" s="8" t="s">
        <v>335</v>
      </c>
      <c r="G48" t="s">
        <v>354</v>
      </c>
    </row>
    <row r="49" spans="1:6" x14ac:dyDescent="0.3">
      <c r="A49">
        <v>49</v>
      </c>
      <c r="F49" s="8"/>
    </row>
    <row r="50" spans="1:6" x14ac:dyDescent="0.3">
      <c r="A50">
        <v>50</v>
      </c>
    </row>
    <row r="51" spans="1:6" x14ac:dyDescent="0.3">
      <c r="A51">
        <v>51</v>
      </c>
    </row>
    <row r="52" spans="1:6" x14ac:dyDescent="0.3">
      <c r="A52">
        <v>52</v>
      </c>
    </row>
    <row r="53" spans="1:6" x14ac:dyDescent="0.3">
      <c r="A53">
        <v>53</v>
      </c>
    </row>
    <row r="54" spans="1:6" x14ac:dyDescent="0.3">
      <c r="A54">
        <v>54</v>
      </c>
    </row>
    <row r="55" spans="1:6" x14ac:dyDescent="0.3">
      <c r="A55">
        <v>55</v>
      </c>
    </row>
    <row r="56" spans="1:6" x14ac:dyDescent="0.3">
      <c r="A56">
        <v>56</v>
      </c>
    </row>
    <row r="57" spans="1:6" x14ac:dyDescent="0.3">
      <c r="A57">
        <v>57</v>
      </c>
    </row>
    <row r="58" spans="1:6" x14ac:dyDescent="0.3">
      <c r="A58">
        <v>58</v>
      </c>
    </row>
    <row r="59" spans="1:6" x14ac:dyDescent="0.3">
      <c r="A59">
        <v>59</v>
      </c>
    </row>
    <row r="60" spans="1:6" x14ac:dyDescent="0.3">
      <c r="A60">
        <v>60</v>
      </c>
    </row>
    <row r="61" spans="1:6" x14ac:dyDescent="0.3">
      <c r="A61">
        <v>61</v>
      </c>
    </row>
    <row r="62" spans="1:6" x14ac:dyDescent="0.3">
      <c r="A62">
        <v>62</v>
      </c>
    </row>
    <row r="63" spans="1:6" x14ac:dyDescent="0.3">
      <c r="A63">
        <v>63</v>
      </c>
    </row>
    <row r="64" spans="1:6" x14ac:dyDescent="0.3">
      <c r="A64">
        <v>64</v>
      </c>
    </row>
    <row r="65" spans="1:1" x14ac:dyDescent="0.3">
      <c r="A65">
        <v>65</v>
      </c>
    </row>
    <row r="66" spans="1:1" x14ac:dyDescent="0.3">
      <c r="A66">
        <v>66</v>
      </c>
    </row>
    <row r="67" spans="1:1" x14ac:dyDescent="0.3">
      <c r="A67">
        <v>67</v>
      </c>
    </row>
    <row r="68" spans="1:1" x14ac:dyDescent="0.3">
      <c r="A68">
        <v>68</v>
      </c>
    </row>
    <row r="69" spans="1:1" x14ac:dyDescent="0.3">
      <c r="A69">
        <v>69</v>
      </c>
    </row>
    <row r="70" spans="1:1" x14ac:dyDescent="0.3">
      <c r="A70">
        <v>70</v>
      </c>
    </row>
    <row r="71" spans="1:1" x14ac:dyDescent="0.3">
      <c r="A71">
        <v>71</v>
      </c>
    </row>
    <row r="72" spans="1:1" x14ac:dyDescent="0.3">
      <c r="A72">
        <v>72</v>
      </c>
    </row>
    <row r="73" spans="1:1" x14ac:dyDescent="0.3">
      <c r="A73">
        <v>73</v>
      </c>
    </row>
    <row r="74" spans="1:1" x14ac:dyDescent="0.3">
      <c r="A74">
        <v>74</v>
      </c>
    </row>
    <row r="75" spans="1:1" x14ac:dyDescent="0.3">
      <c r="A75">
        <v>75</v>
      </c>
    </row>
    <row r="76" spans="1:1" x14ac:dyDescent="0.3">
      <c r="A76">
        <v>76</v>
      </c>
    </row>
    <row r="77" spans="1:1" x14ac:dyDescent="0.3">
      <c r="A77">
        <v>77</v>
      </c>
    </row>
    <row r="78" spans="1:1" x14ac:dyDescent="0.3">
      <c r="A78">
        <v>78</v>
      </c>
    </row>
    <row r="79" spans="1:1" x14ac:dyDescent="0.3">
      <c r="A79">
        <v>79</v>
      </c>
    </row>
    <row r="80" spans="1:1" x14ac:dyDescent="0.3">
      <c r="A80">
        <v>80</v>
      </c>
    </row>
    <row r="81" spans="1:1" x14ac:dyDescent="0.3">
      <c r="A81">
        <v>81</v>
      </c>
    </row>
    <row r="82" spans="1:1" x14ac:dyDescent="0.3">
      <c r="A82">
        <v>82</v>
      </c>
    </row>
    <row r="83" spans="1:1" x14ac:dyDescent="0.3">
      <c r="A83">
        <v>83</v>
      </c>
    </row>
    <row r="84" spans="1:1" x14ac:dyDescent="0.3">
      <c r="A84">
        <v>84</v>
      </c>
    </row>
    <row r="85" spans="1:1" x14ac:dyDescent="0.3">
      <c r="A85">
        <v>85</v>
      </c>
    </row>
    <row r="86" spans="1:1" x14ac:dyDescent="0.3">
      <c r="A86">
        <v>86</v>
      </c>
    </row>
    <row r="87" spans="1:1" x14ac:dyDescent="0.3">
      <c r="A87">
        <v>87</v>
      </c>
    </row>
    <row r="88" spans="1:1" x14ac:dyDescent="0.3">
      <c r="A88">
        <v>88</v>
      </c>
    </row>
    <row r="89" spans="1:1" x14ac:dyDescent="0.3">
      <c r="A89">
        <v>89</v>
      </c>
    </row>
    <row r="90" spans="1:1" x14ac:dyDescent="0.3">
      <c r="A90">
        <v>90</v>
      </c>
    </row>
    <row r="91" spans="1:1" x14ac:dyDescent="0.3">
      <c r="A91">
        <v>91</v>
      </c>
    </row>
    <row r="92" spans="1:1" x14ac:dyDescent="0.3">
      <c r="A92">
        <v>92</v>
      </c>
    </row>
    <row r="93" spans="1:1" x14ac:dyDescent="0.3">
      <c r="A93">
        <v>93</v>
      </c>
    </row>
    <row r="94" spans="1:1" x14ac:dyDescent="0.3">
      <c r="A94">
        <v>94</v>
      </c>
    </row>
    <row r="95" spans="1:1" x14ac:dyDescent="0.3">
      <c r="A95">
        <v>95</v>
      </c>
    </row>
    <row r="96" spans="1:1" x14ac:dyDescent="0.3">
      <c r="A96">
        <v>96</v>
      </c>
    </row>
    <row r="97" spans="1:1" x14ac:dyDescent="0.3">
      <c r="A97">
        <v>97</v>
      </c>
    </row>
    <row r="98" spans="1:1" x14ac:dyDescent="0.3">
      <c r="A98">
        <v>98</v>
      </c>
    </row>
    <row r="99" spans="1:1" x14ac:dyDescent="0.3">
      <c r="A99">
        <v>99</v>
      </c>
    </row>
    <row r="100" spans="1:1" x14ac:dyDescent="0.3">
      <c r="A100">
        <v>100</v>
      </c>
    </row>
    <row r="101" spans="1:1" x14ac:dyDescent="0.3">
      <c r="A101">
        <v>101</v>
      </c>
    </row>
    <row r="102" spans="1:1" x14ac:dyDescent="0.3">
      <c r="A102">
        <v>102</v>
      </c>
    </row>
    <row r="103" spans="1:1" x14ac:dyDescent="0.3">
      <c r="A103">
        <v>103</v>
      </c>
    </row>
    <row r="104" spans="1:1" x14ac:dyDescent="0.3">
      <c r="A104">
        <v>104</v>
      </c>
    </row>
    <row r="105" spans="1:1" x14ac:dyDescent="0.3">
      <c r="A105">
        <v>105</v>
      </c>
    </row>
    <row r="106" spans="1:1" x14ac:dyDescent="0.3">
      <c r="A106">
        <v>106</v>
      </c>
    </row>
    <row r="107" spans="1:1" x14ac:dyDescent="0.3">
      <c r="A107">
        <v>107</v>
      </c>
    </row>
    <row r="108" spans="1:1" x14ac:dyDescent="0.3">
      <c r="A108">
        <v>108</v>
      </c>
    </row>
    <row r="109" spans="1:1" x14ac:dyDescent="0.3">
      <c r="A109">
        <v>109</v>
      </c>
    </row>
    <row r="110" spans="1:1" x14ac:dyDescent="0.3">
      <c r="A110">
        <v>110</v>
      </c>
    </row>
    <row r="111" spans="1:1" x14ac:dyDescent="0.3">
      <c r="A111">
        <v>111</v>
      </c>
    </row>
    <row r="112" spans="1:1" x14ac:dyDescent="0.3">
      <c r="A112">
        <v>112</v>
      </c>
    </row>
    <row r="113" spans="1:1" x14ac:dyDescent="0.3">
      <c r="A113">
        <v>113</v>
      </c>
    </row>
    <row r="114" spans="1:1" x14ac:dyDescent="0.3">
      <c r="A114">
        <v>114</v>
      </c>
    </row>
    <row r="115" spans="1:1" x14ac:dyDescent="0.3">
      <c r="A115">
        <v>115</v>
      </c>
    </row>
    <row r="116" spans="1:1" x14ac:dyDescent="0.3">
      <c r="A116">
        <v>116</v>
      </c>
    </row>
    <row r="117" spans="1:1" x14ac:dyDescent="0.3">
      <c r="A117">
        <v>117</v>
      </c>
    </row>
    <row r="118" spans="1:1" x14ac:dyDescent="0.3">
      <c r="A118">
        <v>118</v>
      </c>
    </row>
    <row r="119" spans="1:1" x14ac:dyDescent="0.3">
      <c r="A119">
        <v>119</v>
      </c>
    </row>
    <row r="120" spans="1:1" x14ac:dyDescent="0.3">
      <c r="A120">
        <v>120</v>
      </c>
    </row>
    <row r="121" spans="1:1" x14ac:dyDescent="0.3">
      <c r="A121">
        <v>121</v>
      </c>
    </row>
    <row r="122" spans="1:1" x14ac:dyDescent="0.3">
      <c r="A122">
        <v>122</v>
      </c>
    </row>
    <row r="123" spans="1:1" x14ac:dyDescent="0.3">
      <c r="A123">
        <v>123</v>
      </c>
    </row>
    <row r="124" spans="1:1" x14ac:dyDescent="0.3">
      <c r="A124">
        <v>124</v>
      </c>
    </row>
    <row r="125" spans="1:1" x14ac:dyDescent="0.3">
      <c r="A125">
        <v>125</v>
      </c>
    </row>
    <row r="126" spans="1:1" x14ac:dyDescent="0.3">
      <c r="A126">
        <v>126</v>
      </c>
    </row>
    <row r="127" spans="1:1" x14ac:dyDescent="0.3">
      <c r="A127">
        <v>127</v>
      </c>
    </row>
    <row r="128" spans="1:1" x14ac:dyDescent="0.3">
      <c r="A128">
        <v>128</v>
      </c>
    </row>
    <row r="129" spans="1:1" x14ac:dyDescent="0.3">
      <c r="A129">
        <v>129</v>
      </c>
    </row>
    <row r="130" spans="1:1" x14ac:dyDescent="0.3">
      <c r="A130">
        <v>130</v>
      </c>
    </row>
    <row r="131" spans="1:1" x14ac:dyDescent="0.3">
      <c r="A131">
        <v>131</v>
      </c>
    </row>
    <row r="132" spans="1:1" x14ac:dyDescent="0.3">
      <c r="A132">
        <v>132</v>
      </c>
    </row>
    <row r="133" spans="1:1" x14ac:dyDescent="0.3">
      <c r="A133">
        <v>133</v>
      </c>
    </row>
    <row r="134" spans="1:1" x14ac:dyDescent="0.3">
      <c r="A134">
        <v>134</v>
      </c>
    </row>
    <row r="135" spans="1:1" x14ac:dyDescent="0.3">
      <c r="A135">
        <v>135</v>
      </c>
    </row>
    <row r="136" spans="1:1" x14ac:dyDescent="0.3">
      <c r="A136">
        <v>136</v>
      </c>
    </row>
    <row r="137" spans="1:1" x14ac:dyDescent="0.3">
      <c r="A137">
        <v>137</v>
      </c>
    </row>
    <row r="138" spans="1:1" x14ac:dyDescent="0.3">
      <c r="A138">
        <v>138</v>
      </c>
    </row>
    <row r="139" spans="1:1" x14ac:dyDescent="0.3">
      <c r="A139">
        <v>139</v>
      </c>
    </row>
    <row r="140" spans="1:1" x14ac:dyDescent="0.3">
      <c r="A140">
        <v>140</v>
      </c>
    </row>
    <row r="141" spans="1:1" x14ac:dyDescent="0.3">
      <c r="A141">
        <v>141</v>
      </c>
    </row>
    <row r="142" spans="1:1" x14ac:dyDescent="0.3">
      <c r="A142">
        <v>142</v>
      </c>
    </row>
    <row r="143" spans="1:1" x14ac:dyDescent="0.3">
      <c r="A143">
        <v>143</v>
      </c>
    </row>
    <row r="144" spans="1:1" x14ac:dyDescent="0.3">
      <c r="A144">
        <v>144</v>
      </c>
    </row>
    <row r="145" spans="1:1" x14ac:dyDescent="0.3">
      <c r="A145">
        <v>145</v>
      </c>
    </row>
    <row r="146" spans="1:1" x14ac:dyDescent="0.3">
      <c r="A146">
        <v>146</v>
      </c>
    </row>
    <row r="147" spans="1:1" x14ac:dyDescent="0.3">
      <c r="A147">
        <v>147</v>
      </c>
    </row>
    <row r="148" spans="1:1" x14ac:dyDescent="0.3">
      <c r="A148">
        <v>148</v>
      </c>
    </row>
    <row r="149" spans="1:1" x14ac:dyDescent="0.3">
      <c r="A149">
        <v>149</v>
      </c>
    </row>
    <row r="150" spans="1:1" x14ac:dyDescent="0.3">
      <c r="A150">
        <v>150</v>
      </c>
    </row>
    <row r="151" spans="1:1" x14ac:dyDescent="0.3">
      <c r="A151">
        <v>151</v>
      </c>
    </row>
    <row r="152" spans="1:1" x14ac:dyDescent="0.3">
      <c r="A152">
        <v>152</v>
      </c>
    </row>
    <row r="153" spans="1:1" x14ac:dyDescent="0.3">
      <c r="A153">
        <v>153</v>
      </c>
    </row>
    <row r="154" spans="1:1" x14ac:dyDescent="0.3">
      <c r="A154">
        <v>154</v>
      </c>
    </row>
    <row r="155" spans="1:1" x14ac:dyDescent="0.3">
      <c r="A155">
        <v>155</v>
      </c>
    </row>
    <row r="156" spans="1:1" x14ac:dyDescent="0.3">
      <c r="A156">
        <v>156</v>
      </c>
    </row>
    <row r="157" spans="1:1" x14ac:dyDescent="0.3">
      <c r="A157">
        <v>157</v>
      </c>
    </row>
    <row r="158" spans="1:1" x14ac:dyDescent="0.3">
      <c r="A158">
        <v>158</v>
      </c>
    </row>
    <row r="159" spans="1:1" x14ac:dyDescent="0.3">
      <c r="A159">
        <v>159</v>
      </c>
    </row>
    <row r="160" spans="1:1" x14ac:dyDescent="0.3">
      <c r="A160">
        <v>160</v>
      </c>
    </row>
    <row r="161" spans="1:1" x14ac:dyDescent="0.3">
      <c r="A161">
        <v>161</v>
      </c>
    </row>
    <row r="162" spans="1:1" x14ac:dyDescent="0.3">
      <c r="A162">
        <v>162</v>
      </c>
    </row>
    <row r="163" spans="1:1" x14ac:dyDescent="0.3">
      <c r="A163">
        <v>163</v>
      </c>
    </row>
    <row r="164" spans="1:1" x14ac:dyDescent="0.3">
      <c r="A164">
        <v>164</v>
      </c>
    </row>
    <row r="165" spans="1:1" x14ac:dyDescent="0.3">
      <c r="A165">
        <v>165</v>
      </c>
    </row>
    <row r="166" spans="1:1" x14ac:dyDescent="0.3">
      <c r="A166">
        <v>166</v>
      </c>
    </row>
    <row r="167" spans="1:1" x14ac:dyDescent="0.3">
      <c r="A167">
        <v>167</v>
      </c>
    </row>
    <row r="168" spans="1:1" x14ac:dyDescent="0.3">
      <c r="A168">
        <v>168</v>
      </c>
    </row>
    <row r="169" spans="1:1" x14ac:dyDescent="0.3">
      <c r="A169">
        <v>169</v>
      </c>
    </row>
    <row r="170" spans="1:1" x14ac:dyDescent="0.3">
      <c r="A170">
        <v>170</v>
      </c>
    </row>
    <row r="171" spans="1:1" x14ac:dyDescent="0.3">
      <c r="A171">
        <v>171</v>
      </c>
    </row>
    <row r="172" spans="1:1" x14ac:dyDescent="0.3">
      <c r="A172">
        <v>172</v>
      </c>
    </row>
    <row r="173" spans="1:1" x14ac:dyDescent="0.3">
      <c r="A173">
        <v>173</v>
      </c>
    </row>
    <row r="174" spans="1:1" x14ac:dyDescent="0.3">
      <c r="A174">
        <v>174</v>
      </c>
    </row>
    <row r="175" spans="1:1" x14ac:dyDescent="0.3">
      <c r="A175">
        <v>175</v>
      </c>
    </row>
    <row r="176" spans="1:1" x14ac:dyDescent="0.3">
      <c r="A176">
        <v>176</v>
      </c>
    </row>
    <row r="177" spans="1:1" x14ac:dyDescent="0.3">
      <c r="A177">
        <v>177</v>
      </c>
    </row>
    <row r="178" spans="1:1" x14ac:dyDescent="0.3">
      <c r="A178">
        <v>178</v>
      </c>
    </row>
    <row r="179" spans="1:1" x14ac:dyDescent="0.3">
      <c r="A179">
        <v>179</v>
      </c>
    </row>
    <row r="180" spans="1:1" x14ac:dyDescent="0.3">
      <c r="A180">
        <v>180</v>
      </c>
    </row>
    <row r="181" spans="1:1" x14ac:dyDescent="0.3">
      <c r="A181">
        <v>181</v>
      </c>
    </row>
    <row r="182" spans="1:1" x14ac:dyDescent="0.3">
      <c r="A182">
        <v>182</v>
      </c>
    </row>
    <row r="183" spans="1:1" x14ac:dyDescent="0.3">
      <c r="A183">
        <v>183</v>
      </c>
    </row>
    <row r="184" spans="1:1" x14ac:dyDescent="0.3">
      <c r="A184">
        <v>184</v>
      </c>
    </row>
    <row r="185" spans="1:1" x14ac:dyDescent="0.3">
      <c r="A185">
        <v>185</v>
      </c>
    </row>
    <row r="186" spans="1:1" x14ac:dyDescent="0.3">
      <c r="A186">
        <v>186</v>
      </c>
    </row>
    <row r="187" spans="1:1" x14ac:dyDescent="0.3">
      <c r="A187">
        <v>187</v>
      </c>
    </row>
    <row r="188" spans="1:1" x14ac:dyDescent="0.3">
      <c r="A188">
        <v>188</v>
      </c>
    </row>
    <row r="189" spans="1:1" x14ac:dyDescent="0.3">
      <c r="A189">
        <v>189</v>
      </c>
    </row>
    <row r="190" spans="1:1" x14ac:dyDescent="0.3">
      <c r="A190">
        <v>190</v>
      </c>
    </row>
    <row r="191" spans="1:1" x14ac:dyDescent="0.3">
      <c r="A191">
        <v>191</v>
      </c>
    </row>
    <row r="192" spans="1:1" x14ac:dyDescent="0.3">
      <c r="A192">
        <v>192</v>
      </c>
    </row>
    <row r="193" spans="1:1" x14ac:dyDescent="0.3">
      <c r="A193">
        <v>193</v>
      </c>
    </row>
    <row r="194" spans="1:1" x14ac:dyDescent="0.3">
      <c r="A194">
        <v>194</v>
      </c>
    </row>
    <row r="195" spans="1:1" x14ac:dyDescent="0.3">
      <c r="A195">
        <v>195</v>
      </c>
    </row>
    <row r="196" spans="1:1" x14ac:dyDescent="0.3">
      <c r="A196">
        <v>196</v>
      </c>
    </row>
    <row r="197" spans="1:1" x14ac:dyDescent="0.3">
      <c r="A197">
        <v>197</v>
      </c>
    </row>
    <row r="198" spans="1:1" x14ac:dyDescent="0.3">
      <c r="A198">
        <v>198</v>
      </c>
    </row>
    <row r="199" spans="1:1" x14ac:dyDescent="0.3">
      <c r="A199">
        <v>199</v>
      </c>
    </row>
    <row r="200" spans="1:1" x14ac:dyDescent="0.3">
      <c r="A200">
        <v>200</v>
      </c>
    </row>
    <row r="201" spans="1:1" x14ac:dyDescent="0.3">
      <c r="A201">
        <v>201</v>
      </c>
    </row>
    <row r="202" spans="1:1" x14ac:dyDescent="0.3">
      <c r="A202">
        <v>202</v>
      </c>
    </row>
    <row r="203" spans="1:1" x14ac:dyDescent="0.3">
      <c r="A203">
        <v>203</v>
      </c>
    </row>
    <row r="204" spans="1:1" x14ac:dyDescent="0.3">
      <c r="A204">
        <v>204</v>
      </c>
    </row>
    <row r="205" spans="1:1" x14ac:dyDescent="0.3">
      <c r="A205">
        <v>205</v>
      </c>
    </row>
    <row r="206" spans="1:1" x14ac:dyDescent="0.3">
      <c r="A206">
        <v>206</v>
      </c>
    </row>
    <row r="207" spans="1:1" x14ac:dyDescent="0.3">
      <c r="A207">
        <v>207</v>
      </c>
    </row>
    <row r="208" spans="1:1" x14ac:dyDescent="0.3">
      <c r="A208">
        <v>208</v>
      </c>
    </row>
    <row r="209" spans="1:1" x14ac:dyDescent="0.3">
      <c r="A209">
        <v>209</v>
      </c>
    </row>
    <row r="210" spans="1:1" x14ac:dyDescent="0.3">
      <c r="A210">
        <v>210</v>
      </c>
    </row>
    <row r="211" spans="1:1" x14ac:dyDescent="0.3">
      <c r="A211">
        <v>211</v>
      </c>
    </row>
    <row r="212" spans="1:1" x14ac:dyDescent="0.3">
      <c r="A212">
        <v>212</v>
      </c>
    </row>
    <row r="213" spans="1:1" x14ac:dyDescent="0.3">
      <c r="A213">
        <v>213</v>
      </c>
    </row>
    <row r="214" spans="1:1" x14ac:dyDescent="0.3">
      <c r="A214">
        <v>214</v>
      </c>
    </row>
    <row r="215" spans="1:1" x14ac:dyDescent="0.3">
      <c r="A215">
        <v>215</v>
      </c>
    </row>
    <row r="216" spans="1:1" x14ac:dyDescent="0.3">
      <c r="A216">
        <v>216</v>
      </c>
    </row>
    <row r="217" spans="1:1" x14ac:dyDescent="0.3">
      <c r="A217">
        <v>217</v>
      </c>
    </row>
    <row r="218" spans="1:1" x14ac:dyDescent="0.3">
      <c r="A218">
        <v>218</v>
      </c>
    </row>
    <row r="219" spans="1:1" x14ac:dyDescent="0.3">
      <c r="A219">
        <v>219</v>
      </c>
    </row>
    <row r="220" spans="1:1" x14ac:dyDescent="0.3">
      <c r="A220">
        <v>220</v>
      </c>
    </row>
    <row r="221" spans="1:1" x14ac:dyDescent="0.3">
      <c r="A221">
        <v>221</v>
      </c>
    </row>
    <row r="222" spans="1:1" x14ac:dyDescent="0.3">
      <c r="A222">
        <v>222</v>
      </c>
    </row>
    <row r="223" spans="1:1" x14ac:dyDescent="0.3">
      <c r="A223">
        <v>223</v>
      </c>
    </row>
    <row r="224" spans="1:1" x14ac:dyDescent="0.3">
      <c r="A224">
        <v>224</v>
      </c>
    </row>
    <row r="225" spans="1:1" x14ac:dyDescent="0.3">
      <c r="A225">
        <v>225</v>
      </c>
    </row>
    <row r="226" spans="1:1" x14ac:dyDescent="0.3">
      <c r="A226">
        <v>226</v>
      </c>
    </row>
    <row r="227" spans="1:1" x14ac:dyDescent="0.3">
      <c r="A227">
        <v>227</v>
      </c>
    </row>
    <row r="228" spans="1:1" x14ac:dyDescent="0.3">
      <c r="A228">
        <v>228</v>
      </c>
    </row>
    <row r="229" spans="1:1" x14ac:dyDescent="0.3">
      <c r="A229">
        <v>229</v>
      </c>
    </row>
    <row r="230" spans="1:1" x14ac:dyDescent="0.3">
      <c r="A230">
        <v>230</v>
      </c>
    </row>
    <row r="231" spans="1:1" x14ac:dyDescent="0.3">
      <c r="A231">
        <v>231</v>
      </c>
    </row>
    <row r="232" spans="1:1" x14ac:dyDescent="0.3">
      <c r="A232">
        <v>232</v>
      </c>
    </row>
    <row r="233" spans="1:1" x14ac:dyDescent="0.3">
      <c r="A233">
        <v>233</v>
      </c>
    </row>
    <row r="234" spans="1:1" x14ac:dyDescent="0.3">
      <c r="A234">
        <v>234</v>
      </c>
    </row>
    <row r="235" spans="1:1" x14ac:dyDescent="0.3">
      <c r="A235">
        <v>235</v>
      </c>
    </row>
    <row r="236" spans="1:1" x14ac:dyDescent="0.3">
      <c r="A236">
        <v>236</v>
      </c>
    </row>
    <row r="237" spans="1:1" x14ac:dyDescent="0.3">
      <c r="A237">
        <v>237</v>
      </c>
    </row>
    <row r="238" spans="1:1" x14ac:dyDescent="0.3">
      <c r="A238">
        <v>238</v>
      </c>
    </row>
    <row r="239" spans="1:1" x14ac:dyDescent="0.3">
      <c r="A239">
        <v>239</v>
      </c>
    </row>
    <row r="240" spans="1:1" x14ac:dyDescent="0.3">
      <c r="A240">
        <v>240</v>
      </c>
    </row>
    <row r="241" spans="1:1" x14ac:dyDescent="0.3">
      <c r="A241">
        <v>241</v>
      </c>
    </row>
    <row r="242" spans="1:1" x14ac:dyDescent="0.3">
      <c r="A242">
        <v>242</v>
      </c>
    </row>
    <row r="243" spans="1:1" x14ac:dyDescent="0.3">
      <c r="A243">
        <v>243</v>
      </c>
    </row>
    <row r="244" spans="1:1" x14ac:dyDescent="0.3">
      <c r="A244">
        <v>244</v>
      </c>
    </row>
    <row r="245" spans="1:1" x14ac:dyDescent="0.3">
      <c r="A245">
        <v>245</v>
      </c>
    </row>
    <row r="246" spans="1:1" x14ac:dyDescent="0.3">
      <c r="A246">
        <v>246</v>
      </c>
    </row>
    <row r="247" spans="1:1" x14ac:dyDescent="0.3">
      <c r="A247">
        <v>247</v>
      </c>
    </row>
    <row r="248" spans="1:1" x14ac:dyDescent="0.3">
      <c r="A248">
        <v>248</v>
      </c>
    </row>
    <row r="249" spans="1:1" x14ac:dyDescent="0.3">
      <c r="A249">
        <v>249</v>
      </c>
    </row>
    <row r="250" spans="1:1" x14ac:dyDescent="0.3">
      <c r="A250">
        <v>250</v>
      </c>
    </row>
    <row r="251" spans="1:1" x14ac:dyDescent="0.3">
      <c r="A251">
        <v>251</v>
      </c>
    </row>
    <row r="252" spans="1:1" x14ac:dyDescent="0.3">
      <c r="A252">
        <v>252</v>
      </c>
    </row>
    <row r="253" spans="1:1" x14ac:dyDescent="0.3">
      <c r="A253">
        <v>253</v>
      </c>
    </row>
    <row r="254" spans="1:1" x14ac:dyDescent="0.3">
      <c r="A254">
        <v>254</v>
      </c>
    </row>
    <row r="255" spans="1:1" x14ac:dyDescent="0.3">
      <c r="A255">
        <v>255</v>
      </c>
    </row>
    <row r="256" spans="1:1" x14ac:dyDescent="0.3">
      <c r="A256">
        <v>256</v>
      </c>
    </row>
    <row r="257" spans="1:1" x14ac:dyDescent="0.3">
      <c r="A257">
        <v>257</v>
      </c>
    </row>
    <row r="258" spans="1:1" x14ac:dyDescent="0.3">
      <c r="A258">
        <v>258</v>
      </c>
    </row>
    <row r="259" spans="1:1" x14ac:dyDescent="0.3">
      <c r="A259">
        <v>259</v>
      </c>
    </row>
    <row r="260" spans="1:1" x14ac:dyDescent="0.3">
      <c r="A260">
        <v>260</v>
      </c>
    </row>
    <row r="261" spans="1:1" x14ac:dyDescent="0.3">
      <c r="A261">
        <v>261</v>
      </c>
    </row>
    <row r="262" spans="1:1" x14ac:dyDescent="0.3">
      <c r="A262">
        <v>262</v>
      </c>
    </row>
    <row r="263" spans="1:1" x14ac:dyDescent="0.3">
      <c r="A263">
        <v>263</v>
      </c>
    </row>
    <row r="264" spans="1:1" x14ac:dyDescent="0.3">
      <c r="A264">
        <v>264</v>
      </c>
    </row>
    <row r="265" spans="1:1" x14ac:dyDescent="0.3">
      <c r="A265">
        <v>265</v>
      </c>
    </row>
    <row r="266" spans="1:1" x14ac:dyDescent="0.3">
      <c r="A266">
        <v>266</v>
      </c>
    </row>
    <row r="267" spans="1:1" x14ac:dyDescent="0.3">
      <c r="A267">
        <v>267</v>
      </c>
    </row>
    <row r="268" spans="1:1" x14ac:dyDescent="0.3">
      <c r="A268">
        <v>268</v>
      </c>
    </row>
    <row r="269" spans="1:1" x14ac:dyDescent="0.3">
      <c r="A269">
        <v>269</v>
      </c>
    </row>
    <row r="270" spans="1:1" x14ac:dyDescent="0.3">
      <c r="A270">
        <v>270</v>
      </c>
    </row>
    <row r="271" spans="1:1" x14ac:dyDescent="0.3">
      <c r="A271">
        <v>271</v>
      </c>
    </row>
    <row r="272" spans="1:1" x14ac:dyDescent="0.3">
      <c r="A272">
        <v>272</v>
      </c>
    </row>
    <row r="273" spans="1:1" x14ac:dyDescent="0.3">
      <c r="A273">
        <v>273</v>
      </c>
    </row>
    <row r="274" spans="1:1" x14ac:dyDescent="0.3">
      <c r="A274">
        <v>274</v>
      </c>
    </row>
    <row r="275" spans="1:1" x14ac:dyDescent="0.3">
      <c r="A275">
        <v>275</v>
      </c>
    </row>
    <row r="276" spans="1:1" x14ac:dyDescent="0.3">
      <c r="A276">
        <v>276</v>
      </c>
    </row>
    <row r="277" spans="1:1" x14ac:dyDescent="0.3">
      <c r="A277">
        <v>277</v>
      </c>
    </row>
    <row r="278" spans="1:1" x14ac:dyDescent="0.3">
      <c r="A278">
        <v>278</v>
      </c>
    </row>
    <row r="279" spans="1:1" x14ac:dyDescent="0.3">
      <c r="A279">
        <v>279</v>
      </c>
    </row>
    <row r="280" spans="1:1" x14ac:dyDescent="0.3">
      <c r="A280">
        <v>280</v>
      </c>
    </row>
    <row r="281" spans="1:1" x14ac:dyDescent="0.3">
      <c r="A281">
        <v>281</v>
      </c>
    </row>
    <row r="282" spans="1:1" x14ac:dyDescent="0.3">
      <c r="A282">
        <v>282</v>
      </c>
    </row>
    <row r="283" spans="1:1" x14ac:dyDescent="0.3">
      <c r="A283">
        <v>283</v>
      </c>
    </row>
    <row r="284" spans="1:1" x14ac:dyDescent="0.3">
      <c r="A284">
        <v>284</v>
      </c>
    </row>
    <row r="285" spans="1:1" x14ac:dyDescent="0.3">
      <c r="A285">
        <v>285</v>
      </c>
    </row>
    <row r="286" spans="1:1" x14ac:dyDescent="0.3">
      <c r="A286">
        <v>286</v>
      </c>
    </row>
    <row r="287" spans="1:1" x14ac:dyDescent="0.3">
      <c r="A287">
        <v>287</v>
      </c>
    </row>
    <row r="288" spans="1:1" x14ac:dyDescent="0.3">
      <c r="A288">
        <v>288</v>
      </c>
    </row>
    <row r="289" spans="1:1" x14ac:dyDescent="0.3">
      <c r="A289">
        <v>289</v>
      </c>
    </row>
    <row r="290" spans="1:1" x14ac:dyDescent="0.3">
      <c r="A290">
        <v>290</v>
      </c>
    </row>
    <row r="291" spans="1:1" x14ac:dyDescent="0.3">
      <c r="A291">
        <v>291</v>
      </c>
    </row>
    <row r="292" spans="1:1" x14ac:dyDescent="0.3">
      <c r="A292">
        <v>292</v>
      </c>
    </row>
    <row r="293" spans="1:1" x14ac:dyDescent="0.3">
      <c r="A293">
        <v>293</v>
      </c>
    </row>
    <row r="294" spans="1:1" x14ac:dyDescent="0.3">
      <c r="A294">
        <v>294</v>
      </c>
    </row>
    <row r="295" spans="1:1" x14ac:dyDescent="0.3">
      <c r="A295">
        <v>295</v>
      </c>
    </row>
    <row r="296" spans="1:1" x14ac:dyDescent="0.3">
      <c r="A296">
        <v>296</v>
      </c>
    </row>
    <row r="297" spans="1:1" x14ac:dyDescent="0.3">
      <c r="A297">
        <v>297</v>
      </c>
    </row>
    <row r="298" spans="1:1" x14ac:dyDescent="0.3">
      <c r="A298">
        <v>298</v>
      </c>
    </row>
    <row r="299" spans="1:1" x14ac:dyDescent="0.3">
      <c r="A299">
        <v>299</v>
      </c>
    </row>
    <row r="300" spans="1:1" x14ac:dyDescent="0.3">
      <c r="A300">
        <v>300</v>
      </c>
    </row>
    <row r="301" spans="1:1" x14ac:dyDescent="0.3">
      <c r="A301">
        <v>301</v>
      </c>
    </row>
    <row r="302" spans="1:1" x14ac:dyDescent="0.3">
      <c r="A302">
        <v>302</v>
      </c>
    </row>
    <row r="303" spans="1:1" x14ac:dyDescent="0.3">
      <c r="A303">
        <v>303</v>
      </c>
    </row>
    <row r="304" spans="1:1" x14ac:dyDescent="0.3">
      <c r="A304">
        <v>304</v>
      </c>
    </row>
    <row r="305" spans="1:1" x14ac:dyDescent="0.3">
      <c r="A305">
        <v>305</v>
      </c>
    </row>
    <row r="306" spans="1:1" x14ac:dyDescent="0.3">
      <c r="A306">
        <v>306</v>
      </c>
    </row>
    <row r="307" spans="1:1" x14ac:dyDescent="0.3">
      <c r="A307">
        <v>307</v>
      </c>
    </row>
    <row r="308" spans="1:1" x14ac:dyDescent="0.3">
      <c r="A308">
        <v>308</v>
      </c>
    </row>
    <row r="309" spans="1:1" x14ac:dyDescent="0.3">
      <c r="A309">
        <v>309</v>
      </c>
    </row>
    <row r="310" spans="1:1" x14ac:dyDescent="0.3">
      <c r="A310">
        <v>310</v>
      </c>
    </row>
    <row r="311" spans="1:1" x14ac:dyDescent="0.3">
      <c r="A311">
        <v>311</v>
      </c>
    </row>
    <row r="312" spans="1:1" x14ac:dyDescent="0.3">
      <c r="A312">
        <v>312</v>
      </c>
    </row>
    <row r="313" spans="1:1" x14ac:dyDescent="0.3">
      <c r="A313">
        <v>313</v>
      </c>
    </row>
    <row r="314" spans="1:1" x14ac:dyDescent="0.3">
      <c r="A314">
        <v>314</v>
      </c>
    </row>
    <row r="315" spans="1:1" x14ac:dyDescent="0.3">
      <c r="A315">
        <v>315</v>
      </c>
    </row>
    <row r="316" spans="1:1" x14ac:dyDescent="0.3">
      <c r="A316">
        <v>316</v>
      </c>
    </row>
    <row r="317" spans="1:1" x14ac:dyDescent="0.3">
      <c r="A317">
        <v>317</v>
      </c>
    </row>
    <row r="318" spans="1:1" x14ac:dyDescent="0.3">
      <c r="A318">
        <v>318</v>
      </c>
    </row>
    <row r="319" spans="1:1" x14ac:dyDescent="0.3">
      <c r="A319">
        <v>319</v>
      </c>
    </row>
    <row r="320" spans="1:1" x14ac:dyDescent="0.3">
      <c r="A320">
        <v>320</v>
      </c>
    </row>
    <row r="321" spans="1:1" x14ac:dyDescent="0.3">
      <c r="A321">
        <v>321</v>
      </c>
    </row>
    <row r="322" spans="1:1" x14ac:dyDescent="0.3">
      <c r="A322">
        <v>322</v>
      </c>
    </row>
    <row r="323" spans="1:1" x14ac:dyDescent="0.3">
      <c r="A323">
        <v>323</v>
      </c>
    </row>
    <row r="324" spans="1:1" x14ac:dyDescent="0.3">
      <c r="A324">
        <v>324</v>
      </c>
    </row>
    <row r="325" spans="1:1" x14ac:dyDescent="0.3">
      <c r="A325">
        <v>325</v>
      </c>
    </row>
    <row r="326" spans="1:1" x14ac:dyDescent="0.3">
      <c r="A326">
        <v>326</v>
      </c>
    </row>
    <row r="327" spans="1:1" x14ac:dyDescent="0.3">
      <c r="A327">
        <v>327</v>
      </c>
    </row>
    <row r="328" spans="1:1" x14ac:dyDescent="0.3">
      <c r="A328">
        <v>328</v>
      </c>
    </row>
    <row r="329" spans="1:1" x14ac:dyDescent="0.3">
      <c r="A329">
        <v>329</v>
      </c>
    </row>
    <row r="330" spans="1:1" x14ac:dyDescent="0.3">
      <c r="A330">
        <v>330</v>
      </c>
    </row>
    <row r="331" spans="1:1" x14ac:dyDescent="0.3">
      <c r="A331">
        <v>331</v>
      </c>
    </row>
    <row r="332" spans="1:1" x14ac:dyDescent="0.3">
      <c r="A332">
        <v>332</v>
      </c>
    </row>
    <row r="333" spans="1:1" x14ac:dyDescent="0.3">
      <c r="A333">
        <v>333</v>
      </c>
    </row>
    <row r="334" spans="1:1" x14ac:dyDescent="0.3">
      <c r="A334">
        <v>334</v>
      </c>
    </row>
    <row r="335" spans="1:1" x14ac:dyDescent="0.3">
      <c r="A335">
        <v>335</v>
      </c>
    </row>
    <row r="336" spans="1:1" x14ac:dyDescent="0.3">
      <c r="A336">
        <v>336</v>
      </c>
    </row>
    <row r="337" spans="1:1" x14ac:dyDescent="0.3">
      <c r="A337">
        <v>337</v>
      </c>
    </row>
    <row r="338" spans="1:1" x14ac:dyDescent="0.3">
      <c r="A338">
        <v>338</v>
      </c>
    </row>
    <row r="339" spans="1:1" x14ac:dyDescent="0.3">
      <c r="A339">
        <v>339</v>
      </c>
    </row>
    <row r="340" spans="1:1" x14ac:dyDescent="0.3">
      <c r="A340">
        <v>340</v>
      </c>
    </row>
    <row r="341" spans="1:1" x14ac:dyDescent="0.3">
      <c r="A341">
        <v>341</v>
      </c>
    </row>
    <row r="342" spans="1:1" x14ac:dyDescent="0.3">
      <c r="A342">
        <v>342</v>
      </c>
    </row>
    <row r="343" spans="1:1" x14ac:dyDescent="0.3">
      <c r="A343">
        <v>343</v>
      </c>
    </row>
    <row r="344" spans="1:1" x14ac:dyDescent="0.3">
      <c r="A344">
        <v>344</v>
      </c>
    </row>
    <row r="345" spans="1:1" x14ac:dyDescent="0.3">
      <c r="A345">
        <v>345</v>
      </c>
    </row>
    <row r="346" spans="1:1" x14ac:dyDescent="0.3">
      <c r="A346">
        <v>346</v>
      </c>
    </row>
    <row r="347" spans="1:1" x14ac:dyDescent="0.3">
      <c r="A347">
        <v>347</v>
      </c>
    </row>
    <row r="348" spans="1:1" x14ac:dyDescent="0.3">
      <c r="A348">
        <v>348</v>
      </c>
    </row>
    <row r="349" spans="1:1" x14ac:dyDescent="0.3">
      <c r="A349">
        <v>349</v>
      </c>
    </row>
    <row r="350" spans="1:1" x14ac:dyDescent="0.3">
      <c r="A350">
        <v>350</v>
      </c>
    </row>
    <row r="351" spans="1:1" x14ac:dyDescent="0.3">
      <c r="A351">
        <v>351</v>
      </c>
    </row>
    <row r="352" spans="1:1" x14ac:dyDescent="0.3">
      <c r="A352">
        <v>352</v>
      </c>
    </row>
    <row r="353" spans="1:1" x14ac:dyDescent="0.3">
      <c r="A353">
        <v>353</v>
      </c>
    </row>
    <row r="354" spans="1:1" x14ac:dyDescent="0.3">
      <c r="A354">
        <v>354</v>
      </c>
    </row>
    <row r="355" spans="1:1" x14ac:dyDescent="0.3">
      <c r="A355">
        <v>355</v>
      </c>
    </row>
    <row r="356" spans="1:1" x14ac:dyDescent="0.3">
      <c r="A356">
        <v>356</v>
      </c>
    </row>
    <row r="357" spans="1:1" x14ac:dyDescent="0.3">
      <c r="A357">
        <v>357</v>
      </c>
    </row>
    <row r="358" spans="1:1" x14ac:dyDescent="0.3">
      <c r="A358">
        <v>358</v>
      </c>
    </row>
    <row r="359" spans="1:1" x14ac:dyDescent="0.3">
      <c r="A359">
        <v>359</v>
      </c>
    </row>
    <row r="360" spans="1:1" x14ac:dyDescent="0.3">
      <c r="A360">
        <v>360</v>
      </c>
    </row>
    <row r="361" spans="1:1" x14ac:dyDescent="0.3">
      <c r="A361">
        <v>361</v>
      </c>
    </row>
    <row r="362" spans="1:1" x14ac:dyDescent="0.3">
      <c r="A362">
        <v>362</v>
      </c>
    </row>
    <row r="363" spans="1:1" x14ac:dyDescent="0.3">
      <c r="A363">
        <v>363</v>
      </c>
    </row>
    <row r="364" spans="1:1" x14ac:dyDescent="0.3">
      <c r="A364">
        <v>364</v>
      </c>
    </row>
    <row r="365" spans="1:1" x14ac:dyDescent="0.3">
      <c r="A365">
        <v>365</v>
      </c>
    </row>
    <row r="366" spans="1:1" x14ac:dyDescent="0.3">
      <c r="A366">
        <v>366</v>
      </c>
    </row>
    <row r="367" spans="1:1" x14ac:dyDescent="0.3">
      <c r="A367">
        <v>367</v>
      </c>
    </row>
    <row r="368" spans="1:1" x14ac:dyDescent="0.3">
      <c r="A368">
        <v>368</v>
      </c>
    </row>
    <row r="369" spans="1:1" x14ac:dyDescent="0.3">
      <c r="A369">
        <v>369</v>
      </c>
    </row>
    <row r="370" spans="1:1" x14ac:dyDescent="0.3">
      <c r="A370">
        <v>370</v>
      </c>
    </row>
    <row r="371" spans="1:1" x14ac:dyDescent="0.3">
      <c r="A371">
        <v>371</v>
      </c>
    </row>
    <row r="372" spans="1:1" x14ac:dyDescent="0.3">
      <c r="A372">
        <v>372</v>
      </c>
    </row>
    <row r="373" spans="1:1" x14ac:dyDescent="0.3">
      <c r="A373">
        <v>373</v>
      </c>
    </row>
    <row r="374" spans="1:1" x14ac:dyDescent="0.3">
      <c r="A374">
        <v>374</v>
      </c>
    </row>
    <row r="375" spans="1:1" x14ac:dyDescent="0.3">
      <c r="A375">
        <v>375</v>
      </c>
    </row>
    <row r="376" spans="1:1" x14ac:dyDescent="0.3">
      <c r="A376">
        <v>376</v>
      </c>
    </row>
    <row r="377" spans="1:1" x14ac:dyDescent="0.3">
      <c r="A377">
        <v>377</v>
      </c>
    </row>
    <row r="378" spans="1:1" x14ac:dyDescent="0.3">
      <c r="A378">
        <v>378</v>
      </c>
    </row>
    <row r="379" spans="1:1" x14ac:dyDescent="0.3">
      <c r="A379">
        <v>379</v>
      </c>
    </row>
    <row r="380" spans="1:1" x14ac:dyDescent="0.3">
      <c r="A380">
        <v>380</v>
      </c>
    </row>
    <row r="381" spans="1:1" x14ac:dyDescent="0.3">
      <c r="A381">
        <v>381</v>
      </c>
    </row>
    <row r="382" spans="1:1" x14ac:dyDescent="0.3">
      <c r="A382">
        <v>382</v>
      </c>
    </row>
    <row r="383" spans="1:1" x14ac:dyDescent="0.3">
      <c r="A383">
        <v>383</v>
      </c>
    </row>
    <row r="384" spans="1:1" x14ac:dyDescent="0.3">
      <c r="A384">
        <v>384</v>
      </c>
    </row>
    <row r="385" spans="1:1" x14ac:dyDescent="0.3">
      <c r="A385">
        <v>385</v>
      </c>
    </row>
    <row r="386" spans="1:1" x14ac:dyDescent="0.3">
      <c r="A386">
        <v>386</v>
      </c>
    </row>
    <row r="387" spans="1:1" x14ac:dyDescent="0.3">
      <c r="A387">
        <v>387</v>
      </c>
    </row>
  </sheetData>
  <autoFilter ref="G1:G387" xr:uid="{00000000-0001-0000-0000-000000000000}"/>
  <conditionalFormatting sqref="C3">
    <cfRule type="duplicateValues" dxfId="20" priority="21"/>
  </conditionalFormatting>
  <conditionalFormatting sqref="C4">
    <cfRule type="duplicateValues" dxfId="19" priority="20"/>
  </conditionalFormatting>
  <conditionalFormatting sqref="C5">
    <cfRule type="duplicateValues" dxfId="18" priority="19"/>
  </conditionalFormatting>
  <conditionalFormatting sqref="C2:E2 G2:H2">
    <cfRule type="duplicateValues" dxfId="17" priority="22"/>
  </conditionalFormatting>
  <conditionalFormatting sqref="G6:G7">
    <cfRule type="duplicateValues" dxfId="16" priority="17"/>
  </conditionalFormatting>
  <conditionalFormatting sqref="G10">
    <cfRule type="duplicateValues" dxfId="15" priority="16"/>
  </conditionalFormatting>
  <conditionalFormatting sqref="G15">
    <cfRule type="duplicateValues" dxfId="14" priority="15"/>
  </conditionalFormatting>
  <conditionalFormatting sqref="G16">
    <cfRule type="duplicateValues" dxfId="13" priority="14"/>
  </conditionalFormatting>
  <conditionalFormatting sqref="G19">
    <cfRule type="duplicateValues" dxfId="12" priority="13"/>
  </conditionalFormatting>
  <conditionalFormatting sqref="G20">
    <cfRule type="duplicateValues" dxfId="11" priority="12"/>
  </conditionalFormatting>
  <conditionalFormatting sqref="G21">
    <cfRule type="duplicateValues" dxfId="10" priority="11"/>
  </conditionalFormatting>
  <conditionalFormatting sqref="G22">
    <cfRule type="duplicateValues" dxfId="9" priority="10"/>
  </conditionalFormatting>
  <conditionalFormatting sqref="G23">
    <cfRule type="duplicateValues" dxfId="8" priority="9"/>
  </conditionalFormatting>
  <conditionalFormatting sqref="G24">
    <cfRule type="duplicateValues" dxfId="7" priority="8"/>
  </conditionalFormatting>
  <conditionalFormatting sqref="G26">
    <cfRule type="duplicateValues" dxfId="6" priority="7"/>
  </conditionalFormatting>
  <conditionalFormatting sqref="G27">
    <cfRule type="duplicateValues" dxfId="5" priority="6"/>
  </conditionalFormatting>
  <conditionalFormatting sqref="G28">
    <cfRule type="duplicateValues" dxfId="4" priority="1"/>
  </conditionalFormatting>
  <conditionalFormatting sqref="G29:G38">
    <cfRule type="duplicateValues" dxfId="3" priority="5"/>
  </conditionalFormatting>
  <conditionalFormatting sqref="G41">
    <cfRule type="duplicateValues" dxfId="2" priority="4"/>
  </conditionalFormatting>
  <conditionalFormatting sqref="G44">
    <cfRule type="duplicateValues" dxfId="1" priority="3"/>
  </conditionalFormatting>
  <conditionalFormatting sqref="G46">
    <cfRule type="duplicateValues" dxfId="0"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D7A4-A16A-4041-8F3F-9171214C1F3C}">
  <sheetPr>
    <tabColor theme="1"/>
  </sheetPr>
  <dimension ref="A1:O388"/>
  <sheetViews>
    <sheetView tabSelected="1" workbookViewId="0">
      <selection sqref="A1:O388"/>
    </sheetView>
  </sheetViews>
  <sheetFormatPr defaultRowHeight="14.4" x14ac:dyDescent="0.3"/>
  <cols>
    <col min="1" max="1" width="80.88671875" bestFit="1" customWidth="1"/>
    <col min="2" max="2" width="29.33203125" bestFit="1" customWidth="1"/>
    <col min="3" max="3" width="16.109375" bestFit="1" customWidth="1"/>
    <col min="4" max="4" width="52.21875" bestFit="1" customWidth="1"/>
    <col min="5" max="5" width="59.88671875" bestFit="1" customWidth="1"/>
    <col min="6" max="6" width="25.77734375" bestFit="1" customWidth="1"/>
    <col min="7" max="7" width="22.44140625" bestFit="1" customWidth="1"/>
    <col min="8" max="8" width="25.5546875" bestFit="1" customWidth="1"/>
    <col min="9" max="9" width="33.88671875" bestFit="1" customWidth="1"/>
    <col min="10" max="10" width="25.6640625" bestFit="1" customWidth="1"/>
    <col min="11" max="11" width="80.88671875" bestFit="1" customWidth="1"/>
    <col min="12" max="12" width="47" bestFit="1" customWidth="1"/>
    <col min="13" max="13" width="32.88671875" bestFit="1" customWidth="1"/>
    <col min="14" max="14" width="12.44140625" bestFit="1" customWidth="1"/>
    <col min="15" max="15" width="25.77734375" bestFit="1" customWidth="1"/>
  </cols>
  <sheetData>
    <row r="1" spans="1:15" x14ac:dyDescent="0.3">
      <c r="A1" t="s">
        <v>336</v>
      </c>
      <c r="B1" t="s">
        <v>337</v>
      </c>
      <c r="C1" t="s">
        <v>1</v>
      </c>
      <c r="D1" t="s">
        <v>2</v>
      </c>
      <c r="E1" t="s">
        <v>3</v>
      </c>
      <c r="F1" t="s">
        <v>4</v>
      </c>
      <c r="G1" t="s">
        <v>5</v>
      </c>
      <c r="H1" t="s">
        <v>6</v>
      </c>
      <c r="I1" t="s">
        <v>7</v>
      </c>
      <c r="J1" t="s">
        <v>8</v>
      </c>
      <c r="K1" t="s">
        <v>9</v>
      </c>
      <c r="L1" t="s">
        <v>10</v>
      </c>
      <c r="M1" t="s">
        <v>11</v>
      </c>
      <c r="N1" t="s">
        <v>12</v>
      </c>
      <c r="O1" t="s">
        <v>13</v>
      </c>
    </row>
    <row r="2" spans="1:15" x14ac:dyDescent="0.3">
      <c r="A2" t="s">
        <v>14</v>
      </c>
      <c r="C2" t="s">
        <v>15</v>
      </c>
      <c r="D2" t="s">
        <v>16</v>
      </c>
      <c r="E2" t="s">
        <v>17</v>
      </c>
      <c r="F2" t="s">
        <v>18</v>
      </c>
      <c r="G2" t="s">
        <v>19</v>
      </c>
      <c r="H2">
        <v>5</v>
      </c>
      <c r="I2" t="s">
        <v>20</v>
      </c>
      <c r="J2" t="s">
        <v>21</v>
      </c>
      <c r="K2" t="s">
        <v>22</v>
      </c>
      <c r="L2" t="s">
        <v>21</v>
      </c>
      <c r="M2" t="s">
        <v>23</v>
      </c>
      <c r="N2" t="s">
        <v>24</v>
      </c>
      <c r="O2" t="s">
        <v>25</v>
      </c>
    </row>
    <row r="3" spans="1:15" x14ac:dyDescent="0.3">
      <c r="A3" t="s">
        <v>26</v>
      </c>
      <c r="C3" t="s">
        <v>27</v>
      </c>
      <c r="D3" t="s">
        <v>28</v>
      </c>
      <c r="E3" t="s">
        <v>29</v>
      </c>
      <c r="F3" t="s">
        <v>30</v>
      </c>
      <c r="G3" t="s">
        <v>31</v>
      </c>
      <c r="H3">
        <v>5</v>
      </c>
      <c r="I3" t="s">
        <v>32</v>
      </c>
      <c r="J3" t="s">
        <v>21</v>
      </c>
      <c r="K3" t="s">
        <v>33</v>
      </c>
      <c r="L3" t="s">
        <v>21</v>
      </c>
      <c r="M3" t="s">
        <v>34</v>
      </c>
      <c r="N3" t="s">
        <v>24</v>
      </c>
      <c r="O3" t="s">
        <v>21</v>
      </c>
    </row>
    <row r="4" spans="1:15" x14ac:dyDescent="0.3">
      <c r="A4" t="s">
        <v>35</v>
      </c>
      <c r="C4" t="s">
        <v>27</v>
      </c>
      <c r="D4" t="s">
        <v>36</v>
      </c>
      <c r="E4" t="s">
        <v>37</v>
      </c>
      <c r="F4" t="s">
        <v>15</v>
      </c>
      <c r="G4" t="s">
        <v>19</v>
      </c>
      <c r="H4">
        <v>5</v>
      </c>
      <c r="I4" t="s">
        <v>32</v>
      </c>
      <c r="J4" t="s">
        <v>38</v>
      </c>
      <c r="K4" t="s">
        <v>39</v>
      </c>
      <c r="L4" t="s">
        <v>25</v>
      </c>
      <c r="M4" t="s">
        <v>40</v>
      </c>
      <c r="N4" t="s">
        <v>24</v>
      </c>
      <c r="O4" t="s">
        <v>38</v>
      </c>
    </row>
    <row r="5" spans="1:15" x14ac:dyDescent="0.3">
      <c r="A5" t="s">
        <v>41</v>
      </c>
      <c r="C5" t="s">
        <v>42</v>
      </c>
      <c r="D5" t="s">
        <v>43</v>
      </c>
      <c r="E5" t="s">
        <v>37</v>
      </c>
      <c r="F5" t="s">
        <v>15</v>
      </c>
      <c r="G5" t="s">
        <v>44</v>
      </c>
      <c r="H5">
        <v>4</v>
      </c>
      <c r="I5" t="s">
        <v>45</v>
      </c>
      <c r="J5" t="s">
        <v>46</v>
      </c>
      <c r="K5" t="s">
        <v>47</v>
      </c>
      <c r="L5" t="s">
        <v>21</v>
      </c>
      <c r="M5" t="s">
        <v>40</v>
      </c>
      <c r="N5" t="s">
        <v>24</v>
      </c>
      <c r="O5" t="s">
        <v>48</v>
      </c>
    </row>
    <row r="6" spans="1:15" x14ac:dyDescent="0.3">
      <c r="A6" t="s">
        <v>41</v>
      </c>
      <c r="C6" t="s">
        <v>49</v>
      </c>
      <c r="D6" t="s">
        <v>43</v>
      </c>
      <c r="E6" t="s">
        <v>50</v>
      </c>
      <c r="F6" t="s">
        <v>30</v>
      </c>
      <c r="G6" t="s">
        <v>51</v>
      </c>
      <c r="H6">
        <v>5</v>
      </c>
      <c r="I6" t="s">
        <v>45</v>
      </c>
      <c r="J6" t="s">
        <v>52</v>
      </c>
      <c r="K6" t="s">
        <v>53</v>
      </c>
      <c r="L6" t="s">
        <v>25</v>
      </c>
      <c r="M6" t="s">
        <v>34</v>
      </c>
      <c r="N6" t="s">
        <v>54</v>
      </c>
      <c r="O6" t="s">
        <v>25</v>
      </c>
    </row>
    <row r="7" spans="1:15" x14ac:dyDescent="0.3">
      <c r="A7" t="s">
        <v>55</v>
      </c>
      <c r="C7" t="s">
        <v>27</v>
      </c>
      <c r="D7" t="s">
        <v>43</v>
      </c>
      <c r="E7" t="s">
        <v>17</v>
      </c>
      <c r="F7" t="s">
        <v>49</v>
      </c>
      <c r="G7" t="s">
        <v>51</v>
      </c>
      <c r="H7">
        <v>5</v>
      </c>
      <c r="I7" t="s">
        <v>45</v>
      </c>
      <c r="J7" t="s">
        <v>52</v>
      </c>
      <c r="K7" t="s">
        <v>56</v>
      </c>
      <c r="L7" t="s">
        <v>21</v>
      </c>
      <c r="M7" t="s">
        <v>34</v>
      </c>
      <c r="N7" t="s">
        <v>54</v>
      </c>
      <c r="O7" t="s">
        <v>25</v>
      </c>
    </row>
    <row r="8" spans="1:15" x14ac:dyDescent="0.3">
      <c r="A8" t="s">
        <v>57</v>
      </c>
      <c r="C8" t="s">
        <v>42</v>
      </c>
      <c r="D8" t="s">
        <v>43</v>
      </c>
      <c r="E8" t="s">
        <v>17</v>
      </c>
      <c r="F8" t="s">
        <v>30</v>
      </c>
      <c r="G8" t="s">
        <v>58</v>
      </c>
      <c r="H8">
        <v>4</v>
      </c>
      <c r="I8" t="s">
        <v>59</v>
      </c>
      <c r="J8" t="s">
        <v>46</v>
      </c>
      <c r="K8" t="s">
        <v>60</v>
      </c>
      <c r="L8" t="s">
        <v>21</v>
      </c>
      <c r="M8" t="s">
        <v>23</v>
      </c>
      <c r="N8" t="s">
        <v>24</v>
      </c>
      <c r="O8" t="s">
        <v>21</v>
      </c>
    </row>
    <row r="9" spans="1:15" x14ac:dyDescent="0.3">
      <c r="A9" t="s">
        <v>61</v>
      </c>
      <c r="C9" t="s">
        <v>27</v>
      </c>
      <c r="D9" t="s">
        <v>62</v>
      </c>
      <c r="E9" t="s">
        <v>50</v>
      </c>
      <c r="F9" t="s">
        <v>49</v>
      </c>
      <c r="G9" t="s">
        <v>58</v>
      </c>
      <c r="H9">
        <v>4</v>
      </c>
      <c r="I9" t="s">
        <v>59</v>
      </c>
      <c r="J9" t="s">
        <v>63</v>
      </c>
      <c r="K9" t="s">
        <v>64</v>
      </c>
      <c r="L9" t="s">
        <v>21</v>
      </c>
      <c r="M9" t="s">
        <v>40</v>
      </c>
      <c r="N9" t="s">
        <v>24</v>
      </c>
      <c r="O9" t="s">
        <v>21</v>
      </c>
    </row>
    <row r="10" spans="1:15" x14ac:dyDescent="0.3">
      <c r="A10" t="s">
        <v>55</v>
      </c>
      <c r="C10" t="s">
        <v>15</v>
      </c>
      <c r="D10" t="s">
        <v>43</v>
      </c>
      <c r="E10" t="s">
        <v>29</v>
      </c>
      <c r="F10" t="s">
        <v>30</v>
      </c>
      <c r="G10" t="s">
        <v>51</v>
      </c>
      <c r="H10">
        <v>5</v>
      </c>
      <c r="I10" t="s">
        <v>45</v>
      </c>
      <c r="J10" t="s">
        <v>46</v>
      </c>
      <c r="K10" t="s">
        <v>65</v>
      </c>
      <c r="L10" t="s">
        <v>21</v>
      </c>
      <c r="M10" t="s">
        <v>23</v>
      </c>
      <c r="N10" t="s">
        <v>24</v>
      </c>
      <c r="O10" t="s">
        <v>48</v>
      </c>
    </row>
    <row r="11" spans="1:15" x14ac:dyDescent="0.3">
      <c r="A11" t="s">
        <v>66</v>
      </c>
      <c r="C11" t="s">
        <v>49</v>
      </c>
      <c r="D11" t="s">
        <v>43</v>
      </c>
      <c r="E11" t="s">
        <v>50</v>
      </c>
      <c r="F11" t="s">
        <v>30</v>
      </c>
      <c r="G11" t="s">
        <v>51</v>
      </c>
      <c r="H11">
        <v>4</v>
      </c>
      <c r="I11" t="s">
        <v>45</v>
      </c>
      <c r="J11" t="s">
        <v>63</v>
      </c>
      <c r="K11" t="s">
        <v>67</v>
      </c>
      <c r="L11" t="s">
        <v>21</v>
      </c>
      <c r="M11" t="s">
        <v>34</v>
      </c>
      <c r="N11" t="s">
        <v>24</v>
      </c>
      <c r="O11" t="s">
        <v>48</v>
      </c>
    </row>
    <row r="12" spans="1:15" x14ac:dyDescent="0.3">
      <c r="A12" t="s">
        <v>68</v>
      </c>
      <c r="C12" t="s">
        <v>27</v>
      </c>
      <c r="D12" t="s">
        <v>43</v>
      </c>
      <c r="E12" t="s">
        <v>69</v>
      </c>
      <c r="F12" t="s">
        <v>30</v>
      </c>
      <c r="G12" t="s">
        <v>70</v>
      </c>
      <c r="H12">
        <v>4</v>
      </c>
      <c r="I12" t="s">
        <v>45</v>
      </c>
      <c r="J12" t="s">
        <v>63</v>
      </c>
      <c r="K12" t="s">
        <v>71</v>
      </c>
      <c r="L12" t="s">
        <v>21</v>
      </c>
      <c r="M12" t="s">
        <v>34</v>
      </c>
      <c r="N12" t="s">
        <v>24</v>
      </c>
      <c r="O12" t="s">
        <v>48</v>
      </c>
    </row>
    <row r="13" spans="1:15" x14ac:dyDescent="0.3">
      <c r="A13" t="s">
        <v>68</v>
      </c>
      <c r="C13" t="s">
        <v>42</v>
      </c>
      <c r="D13" t="s">
        <v>16</v>
      </c>
      <c r="E13" t="s">
        <v>37</v>
      </c>
      <c r="F13" t="s">
        <v>18</v>
      </c>
      <c r="G13" t="s">
        <v>44</v>
      </c>
      <c r="H13">
        <v>5</v>
      </c>
      <c r="I13" t="s">
        <v>72</v>
      </c>
      <c r="J13" t="s">
        <v>46</v>
      </c>
      <c r="K13" t="s">
        <v>53</v>
      </c>
      <c r="L13" t="s">
        <v>21</v>
      </c>
      <c r="M13" t="s">
        <v>40</v>
      </c>
      <c r="N13" t="s">
        <v>24</v>
      </c>
      <c r="O13" t="s">
        <v>21</v>
      </c>
    </row>
    <row r="14" spans="1:15" x14ac:dyDescent="0.3">
      <c r="A14" t="s">
        <v>55</v>
      </c>
      <c r="C14" t="s">
        <v>15</v>
      </c>
      <c r="D14" t="s">
        <v>16</v>
      </c>
      <c r="E14" t="s">
        <v>37</v>
      </c>
      <c r="F14" t="s">
        <v>15</v>
      </c>
      <c r="G14" t="s">
        <v>44</v>
      </c>
      <c r="H14">
        <v>2</v>
      </c>
      <c r="I14" t="s">
        <v>72</v>
      </c>
      <c r="J14" t="s">
        <v>63</v>
      </c>
      <c r="K14" t="s">
        <v>73</v>
      </c>
      <c r="L14" t="s">
        <v>21</v>
      </c>
      <c r="M14" t="s">
        <v>23</v>
      </c>
      <c r="N14" t="s">
        <v>24</v>
      </c>
      <c r="O14" t="s">
        <v>25</v>
      </c>
    </row>
    <row r="15" spans="1:15" x14ac:dyDescent="0.3">
      <c r="A15" t="s">
        <v>55</v>
      </c>
      <c r="C15" t="s">
        <v>15</v>
      </c>
      <c r="D15" t="s">
        <v>36</v>
      </c>
      <c r="E15" t="s">
        <v>69</v>
      </c>
      <c r="F15" t="s">
        <v>30</v>
      </c>
      <c r="G15" t="s">
        <v>58</v>
      </c>
      <c r="H15">
        <v>2</v>
      </c>
      <c r="I15" t="s">
        <v>72</v>
      </c>
      <c r="J15" t="s">
        <v>63</v>
      </c>
      <c r="K15" t="s">
        <v>74</v>
      </c>
      <c r="L15" t="s">
        <v>21</v>
      </c>
      <c r="M15" t="s">
        <v>23</v>
      </c>
      <c r="N15" t="s">
        <v>24</v>
      </c>
      <c r="O15" t="s">
        <v>21</v>
      </c>
    </row>
    <row r="16" spans="1:15" x14ac:dyDescent="0.3">
      <c r="A16" t="s">
        <v>75</v>
      </c>
      <c r="C16" t="s">
        <v>27</v>
      </c>
      <c r="D16" t="s">
        <v>76</v>
      </c>
      <c r="E16" t="s">
        <v>29</v>
      </c>
      <c r="F16" t="s">
        <v>49</v>
      </c>
      <c r="G16" t="s">
        <v>58</v>
      </c>
      <c r="H16">
        <v>5</v>
      </c>
      <c r="I16" t="s">
        <v>45</v>
      </c>
      <c r="J16" t="s">
        <v>63</v>
      </c>
      <c r="K16" t="s">
        <v>77</v>
      </c>
      <c r="L16" t="s">
        <v>21</v>
      </c>
      <c r="M16" t="s">
        <v>23</v>
      </c>
      <c r="N16" t="s">
        <v>24</v>
      </c>
      <c r="O16" t="s">
        <v>48</v>
      </c>
    </row>
    <row r="17" spans="1:15" x14ac:dyDescent="0.3">
      <c r="A17" t="s">
        <v>14</v>
      </c>
      <c r="C17" t="s">
        <v>27</v>
      </c>
      <c r="D17" t="s">
        <v>43</v>
      </c>
      <c r="E17" t="s">
        <v>29</v>
      </c>
      <c r="F17" t="s">
        <v>15</v>
      </c>
      <c r="G17" t="s">
        <v>51</v>
      </c>
      <c r="H17">
        <v>5</v>
      </c>
      <c r="I17" t="s">
        <v>45</v>
      </c>
      <c r="J17" t="s">
        <v>46</v>
      </c>
      <c r="K17" t="s">
        <v>78</v>
      </c>
      <c r="L17" t="s">
        <v>21</v>
      </c>
      <c r="M17" t="s">
        <v>23</v>
      </c>
      <c r="N17" t="s">
        <v>24</v>
      </c>
      <c r="O17" t="s">
        <v>25</v>
      </c>
    </row>
    <row r="18" spans="1:15" x14ac:dyDescent="0.3">
      <c r="A18" t="s">
        <v>41</v>
      </c>
      <c r="C18" t="s">
        <v>15</v>
      </c>
      <c r="D18" t="s">
        <v>79</v>
      </c>
      <c r="E18" t="s">
        <v>17</v>
      </c>
      <c r="F18" t="s">
        <v>30</v>
      </c>
      <c r="G18" t="s">
        <v>58</v>
      </c>
      <c r="H18">
        <v>4</v>
      </c>
      <c r="I18" t="s">
        <v>45</v>
      </c>
      <c r="J18" t="s">
        <v>63</v>
      </c>
      <c r="K18" t="s">
        <v>80</v>
      </c>
      <c r="L18" t="s">
        <v>25</v>
      </c>
      <c r="M18" t="s">
        <v>23</v>
      </c>
      <c r="N18" t="s">
        <v>24</v>
      </c>
      <c r="O18" t="s">
        <v>48</v>
      </c>
    </row>
    <row r="19" spans="1:15" x14ac:dyDescent="0.3">
      <c r="A19" t="s">
        <v>55</v>
      </c>
      <c r="C19" t="s">
        <v>15</v>
      </c>
      <c r="D19" t="s">
        <v>43</v>
      </c>
      <c r="E19" t="s">
        <v>37</v>
      </c>
      <c r="F19" t="s">
        <v>30</v>
      </c>
      <c r="G19" t="s">
        <v>51</v>
      </c>
      <c r="H19">
        <v>3</v>
      </c>
      <c r="I19" t="s">
        <v>45</v>
      </c>
      <c r="J19" t="s">
        <v>52</v>
      </c>
      <c r="K19" t="s">
        <v>47</v>
      </c>
      <c r="L19" t="s">
        <v>21</v>
      </c>
      <c r="M19" t="s">
        <v>40</v>
      </c>
      <c r="N19" t="s">
        <v>24</v>
      </c>
      <c r="O19" t="s">
        <v>25</v>
      </c>
    </row>
    <row r="20" spans="1:15" x14ac:dyDescent="0.3">
      <c r="A20" t="s">
        <v>68</v>
      </c>
      <c r="C20" t="s">
        <v>15</v>
      </c>
      <c r="D20" t="s">
        <v>43</v>
      </c>
      <c r="E20" t="s">
        <v>29</v>
      </c>
      <c r="F20" t="s">
        <v>15</v>
      </c>
      <c r="G20" t="s">
        <v>44</v>
      </c>
      <c r="H20">
        <v>2</v>
      </c>
      <c r="I20" t="s">
        <v>45</v>
      </c>
      <c r="J20" t="s">
        <v>63</v>
      </c>
      <c r="K20" t="s">
        <v>81</v>
      </c>
      <c r="L20" t="s">
        <v>21</v>
      </c>
      <c r="M20" t="s">
        <v>23</v>
      </c>
      <c r="N20" t="s">
        <v>24</v>
      </c>
      <c r="O20" t="s">
        <v>82</v>
      </c>
    </row>
    <row r="21" spans="1:15" x14ac:dyDescent="0.3">
      <c r="A21" t="s">
        <v>14</v>
      </c>
      <c r="C21" t="s">
        <v>15</v>
      </c>
      <c r="D21" t="s">
        <v>83</v>
      </c>
      <c r="E21" t="s">
        <v>17</v>
      </c>
      <c r="F21" t="s">
        <v>18</v>
      </c>
      <c r="G21" t="s">
        <v>51</v>
      </c>
      <c r="H21">
        <v>5</v>
      </c>
      <c r="I21" t="s">
        <v>84</v>
      </c>
      <c r="J21" t="s">
        <v>63</v>
      </c>
      <c r="K21" t="s">
        <v>85</v>
      </c>
      <c r="L21" t="s">
        <v>21</v>
      </c>
      <c r="M21" t="s">
        <v>34</v>
      </c>
      <c r="N21" t="s">
        <v>24</v>
      </c>
      <c r="O21" t="s">
        <v>21</v>
      </c>
    </row>
    <row r="22" spans="1:15" x14ac:dyDescent="0.3">
      <c r="A22" t="s">
        <v>66</v>
      </c>
      <c r="C22" t="s">
        <v>49</v>
      </c>
      <c r="D22" t="s">
        <v>43</v>
      </c>
      <c r="E22" t="s">
        <v>50</v>
      </c>
      <c r="F22" t="s">
        <v>30</v>
      </c>
      <c r="G22" t="s">
        <v>51</v>
      </c>
      <c r="H22">
        <v>5</v>
      </c>
      <c r="I22" t="s">
        <v>45</v>
      </c>
      <c r="J22" t="s">
        <v>46</v>
      </c>
      <c r="K22" t="s">
        <v>67</v>
      </c>
      <c r="L22" t="s">
        <v>21</v>
      </c>
      <c r="M22" t="s">
        <v>23</v>
      </c>
      <c r="N22" t="s">
        <v>24</v>
      </c>
      <c r="O22" t="s">
        <v>48</v>
      </c>
    </row>
    <row r="23" spans="1:15" x14ac:dyDescent="0.3">
      <c r="A23" t="s">
        <v>61</v>
      </c>
      <c r="C23" t="s">
        <v>27</v>
      </c>
      <c r="D23" t="s">
        <v>16</v>
      </c>
      <c r="E23" t="s">
        <v>50</v>
      </c>
      <c r="F23" t="s">
        <v>49</v>
      </c>
      <c r="G23" t="s">
        <v>44</v>
      </c>
      <c r="H23">
        <v>5</v>
      </c>
      <c r="I23" t="s">
        <v>45</v>
      </c>
      <c r="J23" t="s">
        <v>46</v>
      </c>
      <c r="K23" t="s">
        <v>86</v>
      </c>
      <c r="L23" t="s">
        <v>21</v>
      </c>
      <c r="M23" t="s">
        <v>23</v>
      </c>
      <c r="N23" t="s">
        <v>24</v>
      </c>
      <c r="O23" t="s">
        <v>25</v>
      </c>
    </row>
    <row r="24" spans="1:15" x14ac:dyDescent="0.3">
      <c r="A24" t="s">
        <v>61</v>
      </c>
      <c r="C24" t="s">
        <v>15</v>
      </c>
      <c r="D24" t="s">
        <v>16</v>
      </c>
      <c r="E24" t="s">
        <v>29</v>
      </c>
      <c r="F24" t="s">
        <v>30</v>
      </c>
      <c r="G24" t="s">
        <v>70</v>
      </c>
      <c r="H24">
        <v>5</v>
      </c>
      <c r="I24" t="s">
        <v>72</v>
      </c>
      <c r="J24" t="s">
        <v>63</v>
      </c>
      <c r="K24" t="s">
        <v>87</v>
      </c>
      <c r="L24" t="s">
        <v>21</v>
      </c>
      <c r="M24" t="s">
        <v>34</v>
      </c>
      <c r="N24" t="s">
        <v>54</v>
      </c>
      <c r="O24" t="s">
        <v>48</v>
      </c>
    </row>
    <row r="25" spans="1:15" x14ac:dyDescent="0.3">
      <c r="A25" t="s">
        <v>68</v>
      </c>
      <c r="C25" t="s">
        <v>49</v>
      </c>
      <c r="D25" t="s">
        <v>43</v>
      </c>
      <c r="E25" t="s">
        <v>29</v>
      </c>
      <c r="F25" t="s">
        <v>30</v>
      </c>
      <c r="G25" t="s">
        <v>44</v>
      </c>
      <c r="H25">
        <v>4</v>
      </c>
      <c r="I25" t="s">
        <v>45</v>
      </c>
      <c r="J25" t="s">
        <v>46</v>
      </c>
      <c r="K25" t="s">
        <v>56</v>
      </c>
      <c r="L25" t="s">
        <v>21</v>
      </c>
      <c r="M25" t="s">
        <v>34</v>
      </c>
      <c r="N25" t="s">
        <v>88</v>
      </c>
      <c r="O25" t="s">
        <v>48</v>
      </c>
    </row>
    <row r="26" spans="1:15" x14ac:dyDescent="0.3">
      <c r="A26" t="s">
        <v>68</v>
      </c>
      <c r="C26" t="s">
        <v>49</v>
      </c>
      <c r="D26" t="s">
        <v>43</v>
      </c>
      <c r="E26" t="s">
        <v>69</v>
      </c>
      <c r="F26" t="s">
        <v>15</v>
      </c>
      <c r="G26" t="s">
        <v>51</v>
      </c>
      <c r="H26">
        <v>5</v>
      </c>
      <c r="I26" t="s">
        <v>45</v>
      </c>
      <c r="J26" t="s">
        <v>63</v>
      </c>
      <c r="K26" t="s">
        <v>60</v>
      </c>
      <c r="L26" t="s">
        <v>21</v>
      </c>
      <c r="M26" t="s">
        <v>23</v>
      </c>
      <c r="N26" t="s">
        <v>54</v>
      </c>
      <c r="O26" t="s">
        <v>25</v>
      </c>
    </row>
    <row r="27" spans="1:15" x14ac:dyDescent="0.3">
      <c r="A27" t="s">
        <v>89</v>
      </c>
      <c r="C27" t="s">
        <v>27</v>
      </c>
      <c r="D27" t="s">
        <v>43</v>
      </c>
      <c r="E27" t="s">
        <v>37</v>
      </c>
      <c r="F27" t="s">
        <v>30</v>
      </c>
      <c r="G27" t="s">
        <v>44</v>
      </c>
      <c r="H27">
        <v>5</v>
      </c>
      <c r="I27" t="s">
        <v>45</v>
      </c>
      <c r="J27" t="s">
        <v>46</v>
      </c>
      <c r="K27" t="s">
        <v>85</v>
      </c>
      <c r="L27" t="s">
        <v>25</v>
      </c>
      <c r="M27" t="s">
        <v>23</v>
      </c>
      <c r="N27" t="s">
        <v>24</v>
      </c>
      <c r="O27" t="s">
        <v>48</v>
      </c>
    </row>
    <row r="28" spans="1:15" x14ac:dyDescent="0.3">
      <c r="A28" t="s">
        <v>68</v>
      </c>
      <c r="C28" t="s">
        <v>27</v>
      </c>
      <c r="D28" t="s">
        <v>43</v>
      </c>
      <c r="E28" t="s">
        <v>69</v>
      </c>
      <c r="F28" t="s">
        <v>49</v>
      </c>
      <c r="G28" t="s">
        <v>51</v>
      </c>
      <c r="H28">
        <v>5</v>
      </c>
      <c r="I28" t="s">
        <v>45</v>
      </c>
      <c r="J28" t="s">
        <v>63</v>
      </c>
      <c r="K28" t="s">
        <v>90</v>
      </c>
      <c r="L28" t="s">
        <v>21</v>
      </c>
      <c r="M28" t="s">
        <v>23</v>
      </c>
      <c r="N28" t="s">
        <v>24</v>
      </c>
      <c r="O28" t="s">
        <v>25</v>
      </c>
    </row>
    <row r="29" spans="1:15" x14ac:dyDescent="0.3">
      <c r="A29" t="s">
        <v>91</v>
      </c>
      <c r="C29" t="s">
        <v>42</v>
      </c>
      <c r="D29" t="s">
        <v>43</v>
      </c>
      <c r="E29" t="s">
        <v>50</v>
      </c>
      <c r="F29" t="s">
        <v>15</v>
      </c>
      <c r="G29" t="s">
        <v>58</v>
      </c>
      <c r="H29">
        <v>4</v>
      </c>
      <c r="I29" t="s">
        <v>45</v>
      </c>
      <c r="J29" t="s">
        <v>46</v>
      </c>
      <c r="K29" t="s">
        <v>92</v>
      </c>
      <c r="L29" t="s">
        <v>21</v>
      </c>
      <c r="M29" t="s">
        <v>40</v>
      </c>
      <c r="N29" t="s">
        <v>24</v>
      </c>
      <c r="O29" t="s">
        <v>21</v>
      </c>
    </row>
    <row r="30" spans="1:15" x14ac:dyDescent="0.3">
      <c r="A30" t="s">
        <v>55</v>
      </c>
      <c r="C30" t="s">
        <v>27</v>
      </c>
      <c r="D30" t="s">
        <v>93</v>
      </c>
      <c r="E30" t="s">
        <v>69</v>
      </c>
      <c r="F30" t="s">
        <v>30</v>
      </c>
      <c r="G30" t="s">
        <v>51</v>
      </c>
      <c r="H30">
        <v>4</v>
      </c>
      <c r="I30" t="s">
        <v>59</v>
      </c>
      <c r="J30" t="s">
        <v>52</v>
      </c>
      <c r="K30" t="s">
        <v>94</v>
      </c>
      <c r="L30" t="s">
        <v>25</v>
      </c>
      <c r="M30" t="s">
        <v>34</v>
      </c>
      <c r="N30" t="s">
        <v>54</v>
      </c>
      <c r="O30" t="s">
        <v>25</v>
      </c>
    </row>
    <row r="31" spans="1:15" x14ac:dyDescent="0.3">
      <c r="A31" t="s">
        <v>68</v>
      </c>
      <c r="C31" t="s">
        <v>27</v>
      </c>
      <c r="D31" t="s">
        <v>83</v>
      </c>
      <c r="E31" t="s">
        <v>69</v>
      </c>
      <c r="F31" t="s">
        <v>15</v>
      </c>
      <c r="G31" t="s">
        <v>58</v>
      </c>
      <c r="H31">
        <v>1</v>
      </c>
      <c r="I31" t="s">
        <v>45</v>
      </c>
      <c r="J31" t="s">
        <v>46</v>
      </c>
      <c r="K31" t="s">
        <v>95</v>
      </c>
      <c r="L31" t="s">
        <v>21</v>
      </c>
      <c r="M31" t="s">
        <v>23</v>
      </c>
      <c r="N31" t="s">
        <v>24</v>
      </c>
      <c r="O31" t="s">
        <v>21</v>
      </c>
    </row>
    <row r="32" spans="1:15" x14ac:dyDescent="0.3">
      <c r="A32" t="s">
        <v>55</v>
      </c>
      <c r="C32" t="s">
        <v>27</v>
      </c>
      <c r="D32" t="s">
        <v>36</v>
      </c>
      <c r="E32" t="s">
        <v>37</v>
      </c>
      <c r="F32" t="s">
        <v>49</v>
      </c>
      <c r="G32" t="s">
        <v>44</v>
      </c>
      <c r="H32">
        <v>2</v>
      </c>
      <c r="I32" t="s">
        <v>45</v>
      </c>
      <c r="J32" t="s">
        <v>63</v>
      </c>
      <c r="K32" t="s">
        <v>96</v>
      </c>
      <c r="L32" t="s">
        <v>21</v>
      </c>
      <c r="M32" t="s">
        <v>23</v>
      </c>
      <c r="N32" t="s">
        <v>24</v>
      </c>
      <c r="O32" t="s">
        <v>48</v>
      </c>
    </row>
    <row r="33" spans="1:15" x14ac:dyDescent="0.3">
      <c r="A33" t="s">
        <v>97</v>
      </c>
      <c r="C33" t="s">
        <v>49</v>
      </c>
      <c r="D33" t="s">
        <v>43</v>
      </c>
      <c r="E33" t="s">
        <v>98</v>
      </c>
      <c r="F33" t="s">
        <v>30</v>
      </c>
      <c r="G33" t="s">
        <v>51</v>
      </c>
      <c r="H33">
        <v>2</v>
      </c>
      <c r="I33" t="s">
        <v>45</v>
      </c>
      <c r="J33" t="s">
        <v>52</v>
      </c>
      <c r="K33" t="s">
        <v>99</v>
      </c>
      <c r="L33" t="s">
        <v>25</v>
      </c>
      <c r="M33" t="s">
        <v>34</v>
      </c>
      <c r="N33" t="s">
        <v>24</v>
      </c>
      <c r="O33" t="s">
        <v>21</v>
      </c>
    </row>
    <row r="34" spans="1:15" x14ac:dyDescent="0.3">
      <c r="A34" t="s">
        <v>100</v>
      </c>
      <c r="C34" t="s">
        <v>15</v>
      </c>
      <c r="D34" t="s">
        <v>36</v>
      </c>
      <c r="E34" t="s">
        <v>37</v>
      </c>
      <c r="F34" t="s">
        <v>15</v>
      </c>
      <c r="G34" t="s">
        <v>44</v>
      </c>
      <c r="H34">
        <v>1</v>
      </c>
      <c r="I34" t="s">
        <v>59</v>
      </c>
      <c r="J34" t="s">
        <v>63</v>
      </c>
      <c r="K34" t="s">
        <v>101</v>
      </c>
      <c r="L34" t="s">
        <v>21</v>
      </c>
      <c r="M34" t="s">
        <v>40</v>
      </c>
      <c r="N34" t="s">
        <v>24</v>
      </c>
      <c r="O34" t="s">
        <v>25</v>
      </c>
    </row>
    <row r="35" spans="1:15" x14ac:dyDescent="0.3">
      <c r="A35" t="s">
        <v>55</v>
      </c>
      <c r="C35" t="s">
        <v>15</v>
      </c>
      <c r="D35" t="s">
        <v>83</v>
      </c>
      <c r="E35" t="s">
        <v>69</v>
      </c>
      <c r="F35" t="s">
        <v>15</v>
      </c>
      <c r="G35" t="s">
        <v>44</v>
      </c>
      <c r="H35">
        <v>3</v>
      </c>
      <c r="I35" t="s">
        <v>45</v>
      </c>
      <c r="J35" t="s">
        <v>46</v>
      </c>
      <c r="K35" t="s">
        <v>47</v>
      </c>
      <c r="L35" t="s">
        <v>25</v>
      </c>
      <c r="M35" t="s">
        <v>23</v>
      </c>
      <c r="N35" t="s">
        <v>24</v>
      </c>
      <c r="O35" t="s">
        <v>21</v>
      </c>
    </row>
    <row r="36" spans="1:15" x14ac:dyDescent="0.3">
      <c r="A36" t="s">
        <v>55</v>
      </c>
      <c r="C36" t="s">
        <v>15</v>
      </c>
      <c r="D36" t="s">
        <v>83</v>
      </c>
      <c r="E36" t="s">
        <v>17</v>
      </c>
      <c r="F36" t="s">
        <v>102</v>
      </c>
      <c r="G36" t="s">
        <v>44</v>
      </c>
      <c r="H36">
        <v>2</v>
      </c>
      <c r="I36" t="s">
        <v>45</v>
      </c>
      <c r="J36" t="s">
        <v>46</v>
      </c>
      <c r="K36" t="s">
        <v>60</v>
      </c>
      <c r="L36" t="s">
        <v>21</v>
      </c>
      <c r="M36" t="s">
        <v>23</v>
      </c>
      <c r="N36" t="s">
        <v>24</v>
      </c>
      <c r="O36" t="s">
        <v>25</v>
      </c>
    </row>
    <row r="37" spans="1:15" x14ac:dyDescent="0.3">
      <c r="A37" t="s">
        <v>55</v>
      </c>
      <c r="C37" t="s">
        <v>15</v>
      </c>
      <c r="D37" t="s">
        <v>36</v>
      </c>
      <c r="E37" t="s">
        <v>29</v>
      </c>
      <c r="F37" t="s">
        <v>49</v>
      </c>
      <c r="G37" t="s">
        <v>70</v>
      </c>
      <c r="H37">
        <v>1</v>
      </c>
      <c r="I37" t="s">
        <v>45</v>
      </c>
      <c r="J37" t="s">
        <v>46</v>
      </c>
      <c r="K37" t="s">
        <v>67</v>
      </c>
      <c r="L37" t="s">
        <v>21</v>
      </c>
      <c r="M37" t="s">
        <v>40</v>
      </c>
      <c r="N37" t="s">
        <v>24</v>
      </c>
      <c r="O37" t="s">
        <v>25</v>
      </c>
    </row>
    <row r="38" spans="1:15" x14ac:dyDescent="0.3">
      <c r="A38" t="s">
        <v>103</v>
      </c>
      <c r="C38" t="s">
        <v>15</v>
      </c>
      <c r="D38" t="s">
        <v>43</v>
      </c>
      <c r="E38" t="s">
        <v>69</v>
      </c>
      <c r="F38" t="s">
        <v>102</v>
      </c>
      <c r="G38" t="s">
        <v>58</v>
      </c>
      <c r="H38">
        <v>1</v>
      </c>
      <c r="I38" t="s">
        <v>45</v>
      </c>
      <c r="J38" t="s">
        <v>52</v>
      </c>
      <c r="K38" t="s">
        <v>104</v>
      </c>
      <c r="L38" t="s">
        <v>25</v>
      </c>
      <c r="M38" t="s">
        <v>34</v>
      </c>
      <c r="N38" t="s">
        <v>24</v>
      </c>
      <c r="O38" t="s">
        <v>82</v>
      </c>
    </row>
    <row r="39" spans="1:15" x14ac:dyDescent="0.3">
      <c r="A39" t="s">
        <v>55</v>
      </c>
      <c r="C39" t="s">
        <v>15</v>
      </c>
      <c r="D39" t="s">
        <v>43</v>
      </c>
      <c r="E39" t="s">
        <v>37</v>
      </c>
      <c r="F39" t="s">
        <v>15</v>
      </c>
      <c r="G39" t="s">
        <v>70</v>
      </c>
      <c r="H39">
        <v>5</v>
      </c>
      <c r="I39" t="s">
        <v>45</v>
      </c>
      <c r="J39" t="s">
        <v>46</v>
      </c>
      <c r="K39" t="s">
        <v>67</v>
      </c>
      <c r="L39" t="s">
        <v>21</v>
      </c>
      <c r="M39" t="s">
        <v>23</v>
      </c>
      <c r="N39" t="s">
        <v>24</v>
      </c>
      <c r="O39" t="s">
        <v>21</v>
      </c>
    </row>
    <row r="40" spans="1:15" x14ac:dyDescent="0.3">
      <c r="A40" t="s">
        <v>66</v>
      </c>
      <c r="C40" t="s">
        <v>49</v>
      </c>
      <c r="D40" t="s">
        <v>43</v>
      </c>
      <c r="E40" t="s">
        <v>50</v>
      </c>
      <c r="F40" t="s">
        <v>49</v>
      </c>
      <c r="G40" t="s">
        <v>70</v>
      </c>
      <c r="H40">
        <v>5</v>
      </c>
      <c r="I40" t="s">
        <v>45</v>
      </c>
      <c r="J40" t="s">
        <v>63</v>
      </c>
      <c r="K40" t="s">
        <v>105</v>
      </c>
      <c r="L40" t="s">
        <v>21</v>
      </c>
      <c r="M40" t="s">
        <v>23</v>
      </c>
      <c r="N40" t="s">
        <v>88</v>
      </c>
      <c r="O40" t="s">
        <v>25</v>
      </c>
    </row>
    <row r="41" spans="1:15" x14ac:dyDescent="0.3">
      <c r="A41" t="s">
        <v>55</v>
      </c>
      <c r="C41" t="s">
        <v>27</v>
      </c>
      <c r="D41" t="s">
        <v>43</v>
      </c>
      <c r="E41" t="s">
        <v>29</v>
      </c>
      <c r="F41" t="s">
        <v>30</v>
      </c>
      <c r="G41" t="s">
        <v>58</v>
      </c>
      <c r="H41">
        <v>4</v>
      </c>
      <c r="I41" t="s">
        <v>45</v>
      </c>
      <c r="J41" t="s">
        <v>46</v>
      </c>
      <c r="K41" t="s">
        <v>106</v>
      </c>
      <c r="L41" t="s">
        <v>21</v>
      </c>
      <c r="M41" t="s">
        <v>23</v>
      </c>
      <c r="N41" t="s">
        <v>24</v>
      </c>
      <c r="O41" t="s">
        <v>48</v>
      </c>
    </row>
    <row r="42" spans="1:15" x14ac:dyDescent="0.3">
      <c r="A42" t="s">
        <v>103</v>
      </c>
      <c r="C42" t="s">
        <v>27</v>
      </c>
      <c r="D42" t="s">
        <v>43</v>
      </c>
      <c r="E42" t="s">
        <v>50</v>
      </c>
      <c r="F42" t="s">
        <v>102</v>
      </c>
      <c r="G42" t="s">
        <v>51</v>
      </c>
      <c r="H42">
        <v>1</v>
      </c>
      <c r="I42" t="s">
        <v>45</v>
      </c>
      <c r="J42" t="s">
        <v>63</v>
      </c>
      <c r="K42" t="s">
        <v>107</v>
      </c>
      <c r="L42" t="s">
        <v>21</v>
      </c>
      <c r="M42" t="s">
        <v>34</v>
      </c>
      <c r="N42" t="s">
        <v>24</v>
      </c>
      <c r="O42" t="s">
        <v>25</v>
      </c>
    </row>
    <row r="43" spans="1:15" x14ac:dyDescent="0.3">
      <c r="A43" t="s">
        <v>14</v>
      </c>
      <c r="C43" t="s">
        <v>49</v>
      </c>
      <c r="D43" t="s">
        <v>43</v>
      </c>
      <c r="E43" t="s">
        <v>50</v>
      </c>
      <c r="F43" t="s">
        <v>49</v>
      </c>
      <c r="G43" t="s">
        <v>44</v>
      </c>
      <c r="H43">
        <v>5</v>
      </c>
      <c r="I43" t="s">
        <v>45</v>
      </c>
      <c r="J43" t="s">
        <v>63</v>
      </c>
      <c r="K43" t="s">
        <v>108</v>
      </c>
      <c r="L43" t="s">
        <v>25</v>
      </c>
      <c r="M43" t="s">
        <v>34</v>
      </c>
      <c r="N43" t="s">
        <v>24</v>
      </c>
      <c r="O43" t="s">
        <v>25</v>
      </c>
    </row>
    <row r="44" spans="1:15" x14ac:dyDescent="0.3">
      <c r="A44" t="s">
        <v>66</v>
      </c>
      <c r="C44" t="s">
        <v>27</v>
      </c>
      <c r="D44" t="s">
        <v>43</v>
      </c>
      <c r="E44" t="s">
        <v>50</v>
      </c>
      <c r="F44" t="s">
        <v>30</v>
      </c>
      <c r="G44" t="s">
        <v>70</v>
      </c>
      <c r="H44">
        <v>5</v>
      </c>
      <c r="I44" t="s">
        <v>45</v>
      </c>
      <c r="J44" t="s">
        <v>46</v>
      </c>
      <c r="K44" t="s">
        <v>67</v>
      </c>
      <c r="L44" t="s">
        <v>21</v>
      </c>
      <c r="M44" t="s">
        <v>23</v>
      </c>
      <c r="N44" t="s">
        <v>24</v>
      </c>
      <c r="O44" t="s">
        <v>82</v>
      </c>
    </row>
    <row r="45" spans="1:15" x14ac:dyDescent="0.3">
      <c r="A45" t="s">
        <v>68</v>
      </c>
      <c r="C45" t="s">
        <v>27</v>
      </c>
      <c r="D45" t="s">
        <v>43</v>
      </c>
      <c r="E45" t="s">
        <v>69</v>
      </c>
      <c r="F45" t="s">
        <v>30</v>
      </c>
      <c r="G45" t="s">
        <v>51</v>
      </c>
      <c r="H45">
        <v>5</v>
      </c>
      <c r="I45" t="s">
        <v>45</v>
      </c>
      <c r="J45" t="s">
        <v>63</v>
      </c>
      <c r="K45" t="s">
        <v>109</v>
      </c>
      <c r="L45" t="s">
        <v>21</v>
      </c>
      <c r="M45" t="s">
        <v>23</v>
      </c>
      <c r="N45" t="s">
        <v>24</v>
      </c>
      <c r="O45" t="s">
        <v>48</v>
      </c>
    </row>
    <row r="46" spans="1:15" x14ac:dyDescent="0.3">
      <c r="A46" t="s">
        <v>41</v>
      </c>
      <c r="C46" t="s">
        <v>27</v>
      </c>
      <c r="D46" t="s">
        <v>43</v>
      </c>
      <c r="E46" t="s">
        <v>17</v>
      </c>
      <c r="F46" t="s">
        <v>15</v>
      </c>
      <c r="G46" t="s">
        <v>51</v>
      </c>
      <c r="H46">
        <v>5</v>
      </c>
      <c r="I46" t="s">
        <v>45</v>
      </c>
      <c r="J46" t="s">
        <v>63</v>
      </c>
      <c r="K46" t="s">
        <v>47</v>
      </c>
      <c r="L46" t="s">
        <v>21</v>
      </c>
      <c r="M46" t="s">
        <v>34</v>
      </c>
      <c r="N46" t="s">
        <v>24</v>
      </c>
      <c r="O46" t="s">
        <v>21</v>
      </c>
    </row>
    <row r="47" spans="1:15" x14ac:dyDescent="0.3">
      <c r="A47" t="s">
        <v>14</v>
      </c>
      <c r="C47" t="s">
        <v>15</v>
      </c>
      <c r="D47" t="s">
        <v>43</v>
      </c>
      <c r="E47" t="s">
        <v>69</v>
      </c>
      <c r="F47" t="s">
        <v>49</v>
      </c>
      <c r="G47" t="s">
        <v>44</v>
      </c>
      <c r="H47">
        <v>3</v>
      </c>
      <c r="I47" t="s">
        <v>45</v>
      </c>
      <c r="J47" t="s">
        <v>63</v>
      </c>
      <c r="K47" t="s">
        <v>110</v>
      </c>
      <c r="L47" t="s">
        <v>25</v>
      </c>
      <c r="M47" t="s">
        <v>23</v>
      </c>
      <c r="N47" t="s">
        <v>24</v>
      </c>
      <c r="O47" t="s">
        <v>25</v>
      </c>
    </row>
    <row r="48" spans="1:15" x14ac:dyDescent="0.3">
      <c r="A48" t="s">
        <v>55</v>
      </c>
      <c r="C48" t="s">
        <v>49</v>
      </c>
      <c r="D48" t="s">
        <v>43</v>
      </c>
      <c r="E48" t="s">
        <v>50</v>
      </c>
      <c r="F48" t="s">
        <v>49</v>
      </c>
      <c r="G48" t="s">
        <v>44</v>
      </c>
      <c r="H48">
        <v>1</v>
      </c>
      <c r="I48" t="s">
        <v>45</v>
      </c>
      <c r="J48" t="s">
        <v>63</v>
      </c>
      <c r="K48" t="s">
        <v>111</v>
      </c>
      <c r="L48" t="s">
        <v>25</v>
      </c>
      <c r="M48" t="s">
        <v>34</v>
      </c>
      <c r="N48" t="s">
        <v>24</v>
      </c>
      <c r="O48" t="s">
        <v>25</v>
      </c>
    </row>
    <row r="49" spans="1:15" x14ac:dyDescent="0.3">
      <c r="A49" t="s">
        <v>61</v>
      </c>
      <c r="C49" t="s">
        <v>49</v>
      </c>
      <c r="D49" t="s">
        <v>112</v>
      </c>
      <c r="E49" t="s">
        <v>50</v>
      </c>
      <c r="F49" t="s">
        <v>49</v>
      </c>
      <c r="G49" t="s">
        <v>51</v>
      </c>
      <c r="H49">
        <v>5</v>
      </c>
      <c r="I49" t="s">
        <v>45</v>
      </c>
      <c r="J49" t="s">
        <v>63</v>
      </c>
      <c r="K49" t="s">
        <v>67</v>
      </c>
      <c r="L49" t="s">
        <v>21</v>
      </c>
      <c r="M49" t="s">
        <v>23</v>
      </c>
      <c r="N49" t="s">
        <v>113</v>
      </c>
      <c r="O49" t="s">
        <v>25</v>
      </c>
    </row>
    <row r="50" spans="1:15" x14ac:dyDescent="0.3">
      <c r="A50" t="s">
        <v>97</v>
      </c>
      <c r="C50" t="s">
        <v>15</v>
      </c>
      <c r="D50" t="s">
        <v>62</v>
      </c>
      <c r="E50" t="s">
        <v>29</v>
      </c>
      <c r="F50" t="s">
        <v>49</v>
      </c>
      <c r="G50" t="s">
        <v>44</v>
      </c>
      <c r="H50">
        <v>5</v>
      </c>
      <c r="I50" t="s">
        <v>45</v>
      </c>
      <c r="J50" t="s">
        <v>63</v>
      </c>
      <c r="K50" t="s">
        <v>114</v>
      </c>
      <c r="L50" t="s">
        <v>21</v>
      </c>
      <c r="M50" t="s">
        <v>23</v>
      </c>
      <c r="N50" t="s">
        <v>24</v>
      </c>
      <c r="O50" t="s">
        <v>21</v>
      </c>
    </row>
    <row r="51" spans="1:15" x14ac:dyDescent="0.3">
      <c r="A51" t="s">
        <v>68</v>
      </c>
      <c r="C51" t="s">
        <v>49</v>
      </c>
      <c r="D51" t="s">
        <v>43</v>
      </c>
      <c r="E51" t="s">
        <v>50</v>
      </c>
      <c r="F51" t="s">
        <v>49</v>
      </c>
      <c r="G51" t="s">
        <v>51</v>
      </c>
      <c r="H51">
        <v>5</v>
      </c>
      <c r="I51" t="s">
        <v>45</v>
      </c>
      <c r="J51" t="s">
        <v>63</v>
      </c>
      <c r="K51" t="s">
        <v>115</v>
      </c>
      <c r="L51" t="s">
        <v>21</v>
      </c>
      <c r="M51" t="s">
        <v>23</v>
      </c>
      <c r="N51" t="s">
        <v>24</v>
      </c>
      <c r="O51" t="s">
        <v>25</v>
      </c>
    </row>
    <row r="52" spans="1:15" x14ac:dyDescent="0.3">
      <c r="A52" t="s">
        <v>41</v>
      </c>
      <c r="C52" t="s">
        <v>27</v>
      </c>
      <c r="D52" t="s">
        <v>43</v>
      </c>
      <c r="E52" t="s">
        <v>50</v>
      </c>
      <c r="F52" t="s">
        <v>30</v>
      </c>
      <c r="G52" t="s">
        <v>58</v>
      </c>
      <c r="H52">
        <v>5</v>
      </c>
      <c r="I52" t="s">
        <v>45</v>
      </c>
      <c r="J52" t="s">
        <v>46</v>
      </c>
      <c r="K52" t="s">
        <v>116</v>
      </c>
      <c r="L52" t="s">
        <v>21</v>
      </c>
      <c r="M52" t="s">
        <v>40</v>
      </c>
      <c r="N52" t="s">
        <v>24</v>
      </c>
      <c r="O52" t="s">
        <v>48</v>
      </c>
    </row>
    <row r="53" spans="1:15" x14ac:dyDescent="0.3">
      <c r="A53" t="s">
        <v>14</v>
      </c>
      <c r="C53" t="s">
        <v>49</v>
      </c>
      <c r="D53" t="s">
        <v>117</v>
      </c>
      <c r="E53" t="s">
        <v>50</v>
      </c>
      <c r="F53" t="s">
        <v>49</v>
      </c>
      <c r="G53" t="s">
        <v>44</v>
      </c>
      <c r="H53">
        <v>3</v>
      </c>
      <c r="I53" t="s">
        <v>45</v>
      </c>
      <c r="J53" t="s">
        <v>63</v>
      </c>
      <c r="K53" t="s">
        <v>56</v>
      </c>
      <c r="L53" t="s">
        <v>21</v>
      </c>
      <c r="M53" t="s">
        <v>23</v>
      </c>
      <c r="N53" t="s">
        <v>24</v>
      </c>
      <c r="O53" t="s">
        <v>48</v>
      </c>
    </row>
    <row r="54" spans="1:15" x14ac:dyDescent="0.3">
      <c r="A54" t="s">
        <v>61</v>
      </c>
      <c r="C54" t="s">
        <v>15</v>
      </c>
      <c r="D54" t="s">
        <v>43</v>
      </c>
      <c r="E54" t="s">
        <v>37</v>
      </c>
      <c r="F54" t="s">
        <v>15</v>
      </c>
      <c r="G54" t="s">
        <v>51</v>
      </c>
      <c r="H54">
        <v>3</v>
      </c>
      <c r="I54" t="s">
        <v>45</v>
      </c>
      <c r="J54" t="s">
        <v>52</v>
      </c>
      <c r="K54" t="s">
        <v>67</v>
      </c>
      <c r="L54" t="s">
        <v>21</v>
      </c>
      <c r="M54" t="s">
        <v>34</v>
      </c>
      <c r="N54" t="s">
        <v>24</v>
      </c>
      <c r="O54" t="s">
        <v>48</v>
      </c>
    </row>
    <row r="55" spans="1:15" x14ac:dyDescent="0.3">
      <c r="A55" t="s">
        <v>68</v>
      </c>
      <c r="C55" t="s">
        <v>15</v>
      </c>
      <c r="D55" t="s">
        <v>43</v>
      </c>
      <c r="E55" t="s">
        <v>50</v>
      </c>
      <c r="F55" t="s">
        <v>30</v>
      </c>
      <c r="G55" t="s">
        <v>51</v>
      </c>
      <c r="H55">
        <v>5</v>
      </c>
      <c r="I55" t="s">
        <v>45</v>
      </c>
      <c r="J55" t="s">
        <v>46</v>
      </c>
      <c r="K55" t="s">
        <v>118</v>
      </c>
      <c r="L55" t="s">
        <v>21</v>
      </c>
      <c r="M55" t="s">
        <v>23</v>
      </c>
      <c r="N55" t="s">
        <v>113</v>
      </c>
      <c r="O55" t="s">
        <v>48</v>
      </c>
    </row>
    <row r="56" spans="1:15" x14ac:dyDescent="0.3">
      <c r="A56" t="s">
        <v>100</v>
      </c>
      <c r="C56" t="s">
        <v>15</v>
      </c>
      <c r="D56" t="s">
        <v>43</v>
      </c>
      <c r="E56" t="s">
        <v>69</v>
      </c>
      <c r="F56" t="s">
        <v>15</v>
      </c>
      <c r="G56" t="s">
        <v>51</v>
      </c>
      <c r="H56">
        <v>5</v>
      </c>
      <c r="I56" t="s">
        <v>45</v>
      </c>
      <c r="J56" t="s">
        <v>63</v>
      </c>
      <c r="K56" t="s">
        <v>56</v>
      </c>
      <c r="L56" t="s">
        <v>21</v>
      </c>
      <c r="M56" t="s">
        <v>34</v>
      </c>
      <c r="N56" t="s">
        <v>24</v>
      </c>
      <c r="O56" t="s">
        <v>25</v>
      </c>
    </row>
    <row r="57" spans="1:15" x14ac:dyDescent="0.3">
      <c r="A57" t="s">
        <v>55</v>
      </c>
      <c r="C57" t="s">
        <v>15</v>
      </c>
      <c r="D57" t="s">
        <v>43</v>
      </c>
      <c r="E57" t="s">
        <v>37</v>
      </c>
      <c r="F57" t="s">
        <v>30</v>
      </c>
      <c r="G57" t="s">
        <v>58</v>
      </c>
      <c r="H57">
        <v>5</v>
      </c>
      <c r="I57" t="s">
        <v>45</v>
      </c>
      <c r="J57" t="s">
        <v>63</v>
      </c>
      <c r="K57" t="s">
        <v>119</v>
      </c>
      <c r="L57" t="s">
        <v>21</v>
      </c>
      <c r="M57" t="s">
        <v>23</v>
      </c>
      <c r="N57" t="s">
        <v>24</v>
      </c>
      <c r="O57" t="s">
        <v>48</v>
      </c>
    </row>
    <row r="58" spans="1:15" x14ac:dyDescent="0.3">
      <c r="A58" t="s">
        <v>91</v>
      </c>
      <c r="C58" t="s">
        <v>27</v>
      </c>
      <c r="D58" t="s">
        <v>43</v>
      </c>
      <c r="E58" t="s">
        <v>29</v>
      </c>
      <c r="F58" t="s">
        <v>30</v>
      </c>
      <c r="G58" t="s">
        <v>44</v>
      </c>
      <c r="H58">
        <v>4</v>
      </c>
      <c r="I58" t="s">
        <v>45</v>
      </c>
      <c r="J58" t="s">
        <v>46</v>
      </c>
      <c r="K58" t="s">
        <v>120</v>
      </c>
      <c r="L58" t="s">
        <v>21</v>
      </c>
      <c r="M58" t="s">
        <v>23</v>
      </c>
      <c r="N58" t="s">
        <v>24</v>
      </c>
      <c r="O58" t="s">
        <v>25</v>
      </c>
    </row>
    <row r="59" spans="1:15" x14ac:dyDescent="0.3">
      <c r="A59" t="s">
        <v>121</v>
      </c>
      <c r="C59" t="s">
        <v>27</v>
      </c>
      <c r="D59" t="s">
        <v>43</v>
      </c>
      <c r="E59" t="s">
        <v>29</v>
      </c>
      <c r="F59" t="s">
        <v>49</v>
      </c>
      <c r="G59" t="s">
        <v>51</v>
      </c>
      <c r="H59">
        <v>5</v>
      </c>
      <c r="I59" t="s">
        <v>45</v>
      </c>
      <c r="J59" t="s">
        <v>46</v>
      </c>
      <c r="K59" t="s">
        <v>122</v>
      </c>
      <c r="L59" t="s">
        <v>21</v>
      </c>
      <c r="M59" t="s">
        <v>23</v>
      </c>
      <c r="N59" t="s">
        <v>24</v>
      </c>
      <c r="O59" t="s">
        <v>25</v>
      </c>
    </row>
    <row r="60" spans="1:15" x14ac:dyDescent="0.3">
      <c r="A60" t="s">
        <v>68</v>
      </c>
      <c r="C60" t="s">
        <v>15</v>
      </c>
      <c r="D60" t="s">
        <v>43</v>
      </c>
      <c r="E60" t="s">
        <v>29</v>
      </c>
      <c r="F60" t="s">
        <v>49</v>
      </c>
      <c r="G60" t="s">
        <v>44</v>
      </c>
      <c r="H60">
        <v>5</v>
      </c>
      <c r="I60" t="s">
        <v>72</v>
      </c>
      <c r="J60" t="s">
        <v>46</v>
      </c>
      <c r="K60" t="s">
        <v>47</v>
      </c>
      <c r="L60" t="s">
        <v>21</v>
      </c>
      <c r="M60" t="s">
        <v>40</v>
      </c>
      <c r="N60" t="s">
        <v>113</v>
      </c>
      <c r="O60" t="s">
        <v>25</v>
      </c>
    </row>
    <row r="61" spans="1:15" x14ac:dyDescent="0.3">
      <c r="A61" t="s">
        <v>66</v>
      </c>
      <c r="C61" t="s">
        <v>15</v>
      </c>
      <c r="D61" t="s">
        <v>43</v>
      </c>
      <c r="E61" t="s">
        <v>17</v>
      </c>
      <c r="F61" t="s">
        <v>30</v>
      </c>
      <c r="G61" t="s">
        <v>58</v>
      </c>
      <c r="H61">
        <v>5</v>
      </c>
      <c r="I61" t="s">
        <v>45</v>
      </c>
      <c r="J61" t="s">
        <v>46</v>
      </c>
      <c r="K61" t="s">
        <v>123</v>
      </c>
      <c r="L61" t="s">
        <v>21</v>
      </c>
      <c r="M61" t="s">
        <v>23</v>
      </c>
      <c r="N61" t="s">
        <v>24</v>
      </c>
      <c r="O61" t="s">
        <v>25</v>
      </c>
    </row>
    <row r="62" spans="1:15" x14ac:dyDescent="0.3">
      <c r="A62" t="s">
        <v>68</v>
      </c>
      <c r="C62" t="s">
        <v>42</v>
      </c>
      <c r="D62" t="s">
        <v>124</v>
      </c>
      <c r="E62" t="s">
        <v>37</v>
      </c>
      <c r="F62" t="s">
        <v>18</v>
      </c>
      <c r="G62" t="s">
        <v>44</v>
      </c>
      <c r="H62">
        <v>3</v>
      </c>
      <c r="I62" t="s">
        <v>45</v>
      </c>
      <c r="J62" t="s">
        <v>46</v>
      </c>
      <c r="K62" t="s">
        <v>125</v>
      </c>
      <c r="L62" t="s">
        <v>21</v>
      </c>
      <c r="M62" t="s">
        <v>23</v>
      </c>
      <c r="N62" t="s">
        <v>24</v>
      </c>
      <c r="O62" t="s">
        <v>48</v>
      </c>
    </row>
    <row r="63" spans="1:15" x14ac:dyDescent="0.3">
      <c r="A63" t="s">
        <v>68</v>
      </c>
      <c r="C63" t="s">
        <v>27</v>
      </c>
      <c r="D63" t="s">
        <v>124</v>
      </c>
      <c r="E63" t="s">
        <v>50</v>
      </c>
      <c r="F63" t="s">
        <v>30</v>
      </c>
      <c r="G63" t="s">
        <v>44</v>
      </c>
      <c r="H63">
        <v>4</v>
      </c>
      <c r="I63" t="s">
        <v>45</v>
      </c>
      <c r="J63" t="s">
        <v>63</v>
      </c>
      <c r="K63" t="s">
        <v>126</v>
      </c>
      <c r="L63" t="s">
        <v>25</v>
      </c>
      <c r="M63" t="s">
        <v>34</v>
      </c>
      <c r="N63" t="s">
        <v>24</v>
      </c>
      <c r="O63" t="s">
        <v>82</v>
      </c>
    </row>
    <row r="64" spans="1:15" x14ac:dyDescent="0.3">
      <c r="A64" t="s">
        <v>14</v>
      </c>
      <c r="C64" t="s">
        <v>15</v>
      </c>
      <c r="D64" t="s">
        <v>62</v>
      </c>
      <c r="E64" t="s">
        <v>17</v>
      </c>
      <c r="F64" t="s">
        <v>15</v>
      </c>
      <c r="G64" t="s">
        <v>58</v>
      </c>
      <c r="H64">
        <v>5</v>
      </c>
      <c r="I64" t="s">
        <v>45</v>
      </c>
      <c r="J64" t="s">
        <v>46</v>
      </c>
      <c r="K64" t="s">
        <v>67</v>
      </c>
      <c r="L64" t="s">
        <v>21</v>
      </c>
      <c r="M64" t="s">
        <v>23</v>
      </c>
      <c r="N64" t="s">
        <v>24</v>
      </c>
      <c r="O64" t="s">
        <v>48</v>
      </c>
    </row>
    <row r="65" spans="1:15" x14ac:dyDescent="0.3">
      <c r="A65" t="s">
        <v>68</v>
      </c>
      <c r="C65" t="s">
        <v>27</v>
      </c>
      <c r="D65" t="s">
        <v>43</v>
      </c>
      <c r="E65" t="s">
        <v>29</v>
      </c>
      <c r="F65" t="s">
        <v>15</v>
      </c>
      <c r="G65" t="s">
        <v>51</v>
      </c>
      <c r="H65">
        <v>5</v>
      </c>
      <c r="I65" t="s">
        <v>45</v>
      </c>
      <c r="J65" t="s">
        <v>63</v>
      </c>
      <c r="K65" t="s">
        <v>60</v>
      </c>
      <c r="L65" t="s">
        <v>21</v>
      </c>
      <c r="M65" t="s">
        <v>23</v>
      </c>
      <c r="N65" t="s">
        <v>24</v>
      </c>
      <c r="O65" t="s">
        <v>25</v>
      </c>
    </row>
    <row r="66" spans="1:15" x14ac:dyDescent="0.3">
      <c r="A66" t="s">
        <v>100</v>
      </c>
      <c r="C66" t="s">
        <v>15</v>
      </c>
      <c r="D66" t="s">
        <v>43</v>
      </c>
      <c r="E66" t="s">
        <v>37</v>
      </c>
      <c r="F66" t="s">
        <v>15</v>
      </c>
      <c r="G66" t="s">
        <v>70</v>
      </c>
      <c r="H66">
        <v>3</v>
      </c>
      <c r="I66" t="s">
        <v>45</v>
      </c>
      <c r="J66" t="s">
        <v>46</v>
      </c>
      <c r="K66" t="s">
        <v>127</v>
      </c>
      <c r="L66" t="s">
        <v>21</v>
      </c>
      <c r="M66" t="s">
        <v>23</v>
      </c>
      <c r="N66" t="s">
        <v>24</v>
      </c>
      <c r="O66" t="s">
        <v>25</v>
      </c>
    </row>
    <row r="67" spans="1:15" x14ac:dyDescent="0.3">
      <c r="A67" t="s">
        <v>26</v>
      </c>
      <c r="C67" t="s">
        <v>49</v>
      </c>
      <c r="D67" t="s">
        <v>128</v>
      </c>
      <c r="E67" t="s">
        <v>50</v>
      </c>
      <c r="F67" t="s">
        <v>30</v>
      </c>
      <c r="G67" t="s">
        <v>44</v>
      </c>
      <c r="H67">
        <v>4</v>
      </c>
      <c r="I67" t="s">
        <v>45</v>
      </c>
      <c r="J67" t="s">
        <v>63</v>
      </c>
      <c r="K67" t="s">
        <v>78</v>
      </c>
      <c r="L67" t="s">
        <v>21</v>
      </c>
      <c r="M67" t="s">
        <v>23</v>
      </c>
      <c r="N67" t="s">
        <v>24</v>
      </c>
      <c r="O67" t="s">
        <v>48</v>
      </c>
    </row>
    <row r="68" spans="1:15" x14ac:dyDescent="0.3">
      <c r="A68" t="s">
        <v>61</v>
      </c>
      <c r="C68" t="s">
        <v>15</v>
      </c>
      <c r="D68" t="s">
        <v>124</v>
      </c>
      <c r="E68" t="s">
        <v>29</v>
      </c>
      <c r="F68" t="s">
        <v>15</v>
      </c>
      <c r="G68" t="s">
        <v>44</v>
      </c>
      <c r="H68">
        <v>4</v>
      </c>
      <c r="I68" t="s">
        <v>84</v>
      </c>
      <c r="J68" t="s">
        <v>63</v>
      </c>
      <c r="K68" t="s">
        <v>129</v>
      </c>
      <c r="L68" t="s">
        <v>21</v>
      </c>
      <c r="M68" t="s">
        <v>23</v>
      </c>
      <c r="N68" t="s">
        <v>24</v>
      </c>
      <c r="O68" t="s">
        <v>48</v>
      </c>
    </row>
    <row r="69" spans="1:15" x14ac:dyDescent="0.3">
      <c r="A69" t="s">
        <v>61</v>
      </c>
      <c r="C69" t="s">
        <v>49</v>
      </c>
      <c r="D69" t="s">
        <v>43</v>
      </c>
      <c r="E69" t="s">
        <v>29</v>
      </c>
      <c r="F69" t="s">
        <v>30</v>
      </c>
      <c r="G69" t="s">
        <v>51</v>
      </c>
      <c r="H69">
        <v>5</v>
      </c>
      <c r="I69" t="s">
        <v>45</v>
      </c>
      <c r="J69" t="s">
        <v>46</v>
      </c>
      <c r="K69" t="s">
        <v>130</v>
      </c>
      <c r="L69" t="s">
        <v>21</v>
      </c>
      <c r="M69" t="s">
        <v>40</v>
      </c>
      <c r="N69" t="s">
        <v>54</v>
      </c>
      <c r="O69" t="s">
        <v>48</v>
      </c>
    </row>
    <row r="70" spans="1:15" x14ac:dyDescent="0.3">
      <c r="A70" t="s">
        <v>100</v>
      </c>
      <c r="C70" t="s">
        <v>27</v>
      </c>
      <c r="D70" t="s">
        <v>43</v>
      </c>
      <c r="E70" t="s">
        <v>50</v>
      </c>
      <c r="F70" t="s">
        <v>30</v>
      </c>
      <c r="G70" t="s">
        <v>58</v>
      </c>
      <c r="H70">
        <v>4</v>
      </c>
      <c r="I70" t="s">
        <v>84</v>
      </c>
      <c r="J70" t="s">
        <v>63</v>
      </c>
      <c r="K70" t="s">
        <v>131</v>
      </c>
      <c r="L70" t="s">
        <v>21</v>
      </c>
      <c r="M70" t="s">
        <v>23</v>
      </c>
      <c r="N70" t="s">
        <v>24</v>
      </c>
      <c r="O70" t="s">
        <v>48</v>
      </c>
    </row>
    <row r="71" spans="1:15" x14ac:dyDescent="0.3">
      <c r="A71" t="s">
        <v>55</v>
      </c>
      <c r="C71" t="s">
        <v>15</v>
      </c>
      <c r="D71" t="s">
        <v>124</v>
      </c>
      <c r="E71" t="s">
        <v>69</v>
      </c>
      <c r="F71" t="s">
        <v>15</v>
      </c>
      <c r="G71" t="s">
        <v>44</v>
      </c>
      <c r="H71">
        <v>5</v>
      </c>
      <c r="I71" t="s">
        <v>45</v>
      </c>
      <c r="J71" t="s">
        <v>46</v>
      </c>
      <c r="K71" t="s">
        <v>106</v>
      </c>
      <c r="L71" t="s">
        <v>21</v>
      </c>
      <c r="M71" t="s">
        <v>23</v>
      </c>
      <c r="N71" t="s">
        <v>24</v>
      </c>
      <c r="O71" t="s">
        <v>48</v>
      </c>
    </row>
    <row r="72" spans="1:15" x14ac:dyDescent="0.3">
      <c r="A72" t="s">
        <v>97</v>
      </c>
      <c r="C72" t="s">
        <v>42</v>
      </c>
      <c r="D72" t="s">
        <v>43</v>
      </c>
      <c r="E72" t="s">
        <v>50</v>
      </c>
      <c r="F72" t="s">
        <v>49</v>
      </c>
      <c r="G72" t="s">
        <v>51</v>
      </c>
      <c r="H72">
        <v>5</v>
      </c>
      <c r="I72" t="s">
        <v>59</v>
      </c>
      <c r="J72" t="s">
        <v>46</v>
      </c>
      <c r="K72" t="s">
        <v>132</v>
      </c>
      <c r="L72" t="s">
        <v>21</v>
      </c>
      <c r="M72" t="s">
        <v>34</v>
      </c>
      <c r="N72" t="s">
        <v>24</v>
      </c>
      <c r="O72" t="s">
        <v>48</v>
      </c>
    </row>
    <row r="73" spans="1:15" x14ac:dyDescent="0.3">
      <c r="A73" t="s">
        <v>97</v>
      </c>
      <c r="C73" t="s">
        <v>15</v>
      </c>
      <c r="D73" t="s">
        <v>43</v>
      </c>
      <c r="E73" t="s">
        <v>69</v>
      </c>
      <c r="F73" t="s">
        <v>30</v>
      </c>
      <c r="G73" t="s">
        <v>70</v>
      </c>
      <c r="H73">
        <v>4</v>
      </c>
      <c r="I73" t="s">
        <v>45</v>
      </c>
      <c r="J73" t="s">
        <v>46</v>
      </c>
      <c r="K73" t="s">
        <v>133</v>
      </c>
      <c r="L73" t="s">
        <v>21</v>
      </c>
      <c r="M73" t="s">
        <v>23</v>
      </c>
      <c r="N73" t="s">
        <v>24</v>
      </c>
      <c r="O73" t="s">
        <v>21</v>
      </c>
    </row>
    <row r="74" spans="1:15" x14ac:dyDescent="0.3">
      <c r="A74" t="s">
        <v>66</v>
      </c>
      <c r="C74" t="s">
        <v>49</v>
      </c>
      <c r="D74" t="s">
        <v>43</v>
      </c>
      <c r="E74" t="s">
        <v>50</v>
      </c>
      <c r="F74" t="s">
        <v>30</v>
      </c>
      <c r="G74" t="s">
        <v>70</v>
      </c>
      <c r="H74">
        <v>5</v>
      </c>
      <c r="I74" t="s">
        <v>45</v>
      </c>
      <c r="J74" t="s">
        <v>52</v>
      </c>
      <c r="K74" t="s">
        <v>134</v>
      </c>
      <c r="L74" t="s">
        <v>21</v>
      </c>
      <c r="M74" t="s">
        <v>34</v>
      </c>
      <c r="N74" t="s">
        <v>24</v>
      </c>
      <c r="O74" t="s">
        <v>82</v>
      </c>
    </row>
    <row r="75" spans="1:15" x14ac:dyDescent="0.3">
      <c r="A75" t="s">
        <v>135</v>
      </c>
      <c r="C75" t="s">
        <v>49</v>
      </c>
      <c r="D75" t="s">
        <v>83</v>
      </c>
      <c r="E75" t="s">
        <v>37</v>
      </c>
      <c r="F75" t="s">
        <v>15</v>
      </c>
      <c r="G75" t="s">
        <v>51</v>
      </c>
      <c r="H75">
        <v>1</v>
      </c>
      <c r="I75" t="s">
        <v>45</v>
      </c>
      <c r="J75" t="s">
        <v>52</v>
      </c>
      <c r="K75" t="s">
        <v>56</v>
      </c>
      <c r="L75" t="s">
        <v>25</v>
      </c>
      <c r="M75" t="s">
        <v>34</v>
      </c>
      <c r="N75" t="s">
        <v>136</v>
      </c>
      <c r="O75" t="s">
        <v>48</v>
      </c>
    </row>
    <row r="76" spans="1:15" x14ac:dyDescent="0.3">
      <c r="A76" t="s">
        <v>100</v>
      </c>
      <c r="C76" t="s">
        <v>15</v>
      </c>
      <c r="D76" t="s">
        <v>16</v>
      </c>
      <c r="E76" t="s">
        <v>17</v>
      </c>
      <c r="F76" t="s">
        <v>18</v>
      </c>
      <c r="G76" t="s">
        <v>51</v>
      </c>
      <c r="H76">
        <v>2</v>
      </c>
      <c r="I76" t="s">
        <v>72</v>
      </c>
      <c r="J76" t="s">
        <v>46</v>
      </c>
      <c r="K76" t="s">
        <v>56</v>
      </c>
      <c r="L76" t="s">
        <v>21</v>
      </c>
      <c r="M76" t="s">
        <v>40</v>
      </c>
      <c r="N76" t="s">
        <v>24</v>
      </c>
      <c r="O76" t="s">
        <v>25</v>
      </c>
    </row>
    <row r="77" spans="1:15" x14ac:dyDescent="0.3">
      <c r="A77" t="s">
        <v>137</v>
      </c>
      <c r="C77" t="s">
        <v>49</v>
      </c>
      <c r="D77" t="s">
        <v>43</v>
      </c>
      <c r="E77" t="s">
        <v>50</v>
      </c>
      <c r="F77" t="s">
        <v>49</v>
      </c>
      <c r="G77" t="s">
        <v>44</v>
      </c>
      <c r="H77">
        <v>5</v>
      </c>
      <c r="I77" t="s">
        <v>45</v>
      </c>
      <c r="J77" t="s">
        <v>52</v>
      </c>
      <c r="K77" t="s">
        <v>138</v>
      </c>
      <c r="L77" t="s">
        <v>21</v>
      </c>
      <c r="M77" t="s">
        <v>34</v>
      </c>
      <c r="N77" t="s">
        <v>54</v>
      </c>
      <c r="O77" t="s">
        <v>25</v>
      </c>
    </row>
    <row r="78" spans="1:15" x14ac:dyDescent="0.3">
      <c r="A78" t="s">
        <v>68</v>
      </c>
      <c r="C78" t="s">
        <v>15</v>
      </c>
      <c r="D78" t="s">
        <v>83</v>
      </c>
      <c r="E78" t="s">
        <v>37</v>
      </c>
      <c r="F78" t="s">
        <v>15</v>
      </c>
      <c r="G78" t="s">
        <v>44</v>
      </c>
      <c r="H78">
        <v>3</v>
      </c>
      <c r="I78" t="s">
        <v>84</v>
      </c>
      <c r="J78" t="s">
        <v>63</v>
      </c>
      <c r="K78" t="s">
        <v>139</v>
      </c>
      <c r="L78" t="s">
        <v>21</v>
      </c>
      <c r="M78" t="s">
        <v>23</v>
      </c>
      <c r="N78" t="s">
        <v>24</v>
      </c>
      <c r="O78" t="s">
        <v>25</v>
      </c>
    </row>
    <row r="79" spans="1:15" x14ac:dyDescent="0.3">
      <c r="A79" t="s">
        <v>68</v>
      </c>
      <c r="C79" t="s">
        <v>27</v>
      </c>
      <c r="D79" t="s">
        <v>43</v>
      </c>
      <c r="E79" t="s">
        <v>50</v>
      </c>
      <c r="F79" t="s">
        <v>49</v>
      </c>
      <c r="G79" t="s">
        <v>44</v>
      </c>
      <c r="H79">
        <v>1</v>
      </c>
      <c r="I79" t="s">
        <v>45</v>
      </c>
      <c r="J79" t="s">
        <v>52</v>
      </c>
      <c r="K79" t="s">
        <v>140</v>
      </c>
      <c r="L79" t="s">
        <v>25</v>
      </c>
      <c r="M79" t="s">
        <v>34</v>
      </c>
      <c r="N79" t="s">
        <v>24</v>
      </c>
      <c r="O79" t="s">
        <v>25</v>
      </c>
    </row>
    <row r="80" spans="1:15" x14ac:dyDescent="0.3">
      <c r="A80" t="s">
        <v>66</v>
      </c>
      <c r="C80" t="s">
        <v>15</v>
      </c>
      <c r="D80" t="s">
        <v>43</v>
      </c>
      <c r="E80" t="s">
        <v>37</v>
      </c>
      <c r="F80" t="s">
        <v>30</v>
      </c>
      <c r="G80" t="s">
        <v>44</v>
      </c>
      <c r="H80">
        <v>4</v>
      </c>
      <c r="I80" t="s">
        <v>45</v>
      </c>
      <c r="J80" t="s">
        <v>46</v>
      </c>
      <c r="K80" t="s">
        <v>56</v>
      </c>
      <c r="L80" t="s">
        <v>21</v>
      </c>
      <c r="M80" t="s">
        <v>40</v>
      </c>
      <c r="N80" t="s">
        <v>24</v>
      </c>
      <c r="O80" t="s">
        <v>48</v>
      </c>
    </row>
    <row r="81" spans="1:15" x14ac:dyDescent="0.3">
      <c r="A81" t="s">
        <v>14</v>
      </c>
      <c r="C81" t="s">
        <v>15</v>
      </c>
      <c r="D81" t="s">
        <v>62</v>
      </c>
      <c r="E81" t="s">
        <v>50</v>
      </c>
      <c r="F81" t="s">
        <v>49</v>
      </c>
      <c r="G81" t="s">
        <v>44</v>
      </c>
      <c r="H81">
        <v>4</v>
      </c>
      <c r="I81" t="s">
        <v>45</v>
      </c>
      <c r="J81" t="s">
        <v>63</v>
      </c>
      <c r="K81" t="s">
        <v>141</v>
      </c>
      <c r="L81" t="s">
        <v>21</v>
      </c>
      <c r="M81" t="s">
        <v>34</v>
      </c>
      <c r="N81" t="s">
        <v>24</v>
      </c>
      <c r="O81" t="s">
        <v>21</v>
      </c>
    </row>
    <row r="82" spans="1:15" x14ac:dyDescent="0.3">
      <c r="A82" t="s">
        <v>55</v>
      </c>
      <c r="C82" t="s">
        <v>15</v>
      </c>
      <c r="D82" t="s">
        <v>43</v>
      </c>
      <c r="E82" t="s">
        <v>69</v>
      </c>
      <c r="F82" t="s">
        <v>30</v>
      </c>
      <c r="G82" t="s">
        <v>58</v>
      </c>
      <c r="H82">
        <v>5</v>
      </c>
      <c r="I82" t="s">
        <v>45</v>
      </c>
      <c r="J82" t="s">
        <v>46</v>
      </c>
      <c r="K82" t="s">
        <v>142</v>
      </c>
      <c r="L82" t="s">
        <v>21</v>
      </c>
      <c r="M82" t="s">
        <v>23</v>
      </c>
      <c r="N82" t="s">
        <v>24</v>
      </c>
      <c r="O82" t="s">
        <v>48</v>
      </c>
    </row>
    <row r="83" spans="1:15" x14ac:dyDescent="0.3">
      <c r="A83" t="s">
        <v>97</v>
      </c>
      <c r="C83" t="s">
        <v>15</v>
      </c>
      <c r="D83" t="s">
        <v>43</v>
      </c>
      <c r="E83" t="s">
        <v>69</v>
      </c>
      <c r="F83" t="s">
        <v>30</v>
      </c>
      <c r="G83" t="s">
        <v>51</v>
      </c>
      <c r="H83">
        <v>3</v>
      </c>
      <c r="I83" t="s">
        <v>45</v>
      </c>
      <c r="J83" t="s">
        <v>52</v>
      </c>
      <c r="K83" t="s">
        <v>143</v>
      </c>
      <c r="L83" t="s">
        <v>21</v>
      </c>
      <c r="M83" t="s">
        <v>34</v>
      </c>
      <c r="N83" t="s">
        <v>24</v>
      </c>
      <c r="O83" t="s">
        <v>82</v>
      </c>
    </row>
    <row r="84" spans="1:15" x14ac:dyDescent="0.3">
      <c r="A84" t="s">
        <v>68</v>
      </c>
      <c r="C84" t="s">
        <v>15</v>
      </c>
      <c r="D84" t="s">
        <v>144</v>
      </c>
      <c r="E84" t="s">
        <v>69</v>
      </c>
      <c r="F84" t="s">
        <v>15</v>
      </c>
      <c r="G84" t="s">
        <v>44</v>
      </c>
      <c r="H84">
        <v>3</v>
      </c>
      <c r="I84" t="s">
        <v>84</v>
      </c>
      <c r="J84" t="s">
        <v>63</v>
      </c>
      <c r="K84" t="s">
        <v>145</v>
      </c>
      <c r="L84" t="s">
        <v>25</v>
      </c>
      <c r="M84" t="s">
        <v>34</v>
      </c>
      <c r="N84" t="s">
        <v>24</v>
      </c>
      <c r="O84" t="s">
        <v>82</v>
      </c>
    </row>
    <row r="85" spans="1:15" x14ac:dyDescent="0.3">
      <c r="A85" t="s">
        <v>121</v>
      </c>
      <c r="C85" t="s">
        <v>27</v>
      </c>
      <c r="D85" t="s">
        <v>43</v>
      </c>
      <c r="E85" t="s">
        <v>69</v>
      </c>
      <c r="F85" t="s">
        <v>49</v>
      </c>
      <c r="G85" t="s">
        <v>51</v>
      </c>
      <c r="H85">
        <v>5</v>
      </c>
      <c r="I85" t="s">
        <v>59</v>
      </c>
      <c r="J85" t="s">
        <v>46</v>
      </c>
      <c r="K85" t="s">
        <v>146</v>
      </c>
      <c r="L85" t="s">
        <v>25</v>
      </c>
      <c r="M85" t="s">
        <v>34</v>
      </c>
      <c r="N85" t="s">
        <v>24</v>
      </c>
      <c r="O85" t="s">
        <v>25</v>
      </c>
    </row>
    <row r="86" spans="1:15" x14ac:dyDescent="0.3">
      <c r="A86" t="s">
        <v>14</v>
      </c>
      <c r="C86" t="s">
        <v>15</v>
      </c>
      <c r="D86" t="s">
        <v>43</v>
      </c>
      <c r="E86" t="s">
        <v>50</v>
      </c>
      <c r="F86" t="s">
        <v>15</v>
      </c>
      <c r="G86" t="s">
        <v>44</v>
      </c>
      <c r="H86">
        <v>5</v>
      </c>
      <c r="I86" t="s">
        <v>72</v>
      </c>
      <c r="J86" t="s">
        <v>63</v>
      </c>
      <c r="K86" t="s">
        <v>47</v>
      </c>
      <c r="L86" t="s">
        <v>25</v>
      </c>
      <c r="M86" t="s">
        <v>23</v>
      </c>
      <c r="N86" t="s">
        <v>24</v>
      </c>
      <c r="O86" t="s">
        <v>48</v>
      </c>
    </row>
    <row r="87" spans="1:15" x14ac:dyDescent="0.3">
      <c r="A87" t="s">
        <v>68</v>
      </c>
      <c r="C87" t="s">
        <v>27</v>
      </c>
      <c r="D87" t="s">
        <v>43</v>
      </c>
      <c r="E87" t="s">
        <v>37</v>
      </c>
      <c r="F87" t="s">
        <v>30</v>
      </c>
      <c r="G87" t="s">
        <v>51</v>
      </c>
      <c r="H87">
        <v>1</v>
      </c>
      <c r="I87" t="s">
        <v>59</v>
      </c>
      <c r="J87" t="s">
        <v>52</v>
      </c>
      <c r="K87" t="s">
        <v>139</v>
      </c>
      <c r="L87" t="s">
        <v>21</v>
      </c>
      <c r="M87" t="s">
        <v>34</v>
      </c>
      <c r="N87" t="s">
        <v>24</v>
      </c>
      <c r="O87" t="s">
        <v>25</v>
      </c>
    </row>
    <row r="88" spans="1:15" x14ac:dyDescent="0.3">
      <c r="A88" t="s">
        <v>55</v>
      </c>
      <c r="C88" t="s">
        <v>15</v>
      </c>
      <c r="D88" t="s">
        <v>36</v>
      </c>
      <c r="E88" t="s">
        <v>37</v>
      </c>
      <c r="F88" t="s">
        <v>15</v>
      </c>
      <c r="G88" t="s">
        <v>44</v>
      </c>
      <c r="H88">
        <v>1</v>
      </c>
      <c r="I88" t="s">
        <v>84</v>
      </c>
      <c r="J88" t="s">
        <v>63</v>
      </c>
      <c r="K88" t="s">
        <v>131</v>
      </c>
      <c r="L88" t="s">
        <v>21</v>
      </c>
      <c r="M88" t="s">
        <v>23</v>
      </c>
      <c r="N88" t="s">
        <v>54</v>
      </c>
      <c r="O88" t="s">
        <v>21</v>
      </c>
    </row>
    <row r="89" spans="1:15" x14ac:dyDescent="0.3">
      <c r="A89" t="s">
        <v>68</v>
      </c>
      <c r="C89" t="s">
        <v>27</v>
      </c>
      <c r="D89" t="s">
        <v>43</v>
      </c>
      <c r="E89" t="s">
        <v>50</v>
      </c>
      <c r="F89" t="s">
        <v>102</v>
      </c>
      <c r="G89" t="s">
        <v>51</v>
      </c>
      <c r="H89">
        <v>3</v>
      </c>
      <c r="I89" t="s">
        <v>45</v>
      </c>
      <c r="J89" t="s">
        <v>63</v>
      </c>
      <c r="K89" t="s">
        <v>147</v>
      </c>
      <c r="L89" t="s">
        <v>21</v>
      </c>
      <c r="M89" t="s">
        <v>34</v>
      </c>
      <c r="N89" t="s">
        <v>24</v>
      </c>
      <c r="O89" t="s">
        <v>21</v>
      </c>
    </row>
    <row r="90" spans="1:15" x14ac:dyDescent="0.3">
      <c r="A90" t="s">
        <v>66</v>
      </c>
      <c r="C90" t="s">
        <v>15</v>
      </c>
      <c r="D90" t="s">
        <v>43</v>
      </c>
      <c r="E90" t="s">
        <v>50</v>
      </c>
      <c r="F90" t="s">
        <v>30</v>
      </c>
      <c r="G90" t="s">
        <v>51</v>
      </c>
      <c r="H90">
        <v>4</v>
      </c>
      <c r="I90" t="s">
        <v>45</v>
      </c>
      <c r="J90" t="s">
        <v>63</v>
      </c>
      <c r="K90" t="s">
        <v>148</v>
      </c>
      <c r="L90" t="s">
        <v>25</v>
      </c>
      <c r="M90" t="s">
        <v>23</v>
      </c>
      <c r="N90" t="s">
        <v>54</v>
      </c>
      <c r="O90" t="s">
        <v>25</v>
      </c>
    </row>
    <row r="91" spans="1:15" x14ac:dyDescent="0.3">
      <c r="A91" t="s">
        <v>61</v>
      </c>
      <c r="C91" t="s">
        <v>15</v>
      </c>
      <c r="D91" t="s">
        <v>43</v>
      </c>
      <c r="E91" t="s">
        <v>29</v>
      </c>
      <c r="F91" t="s">
        <v>30</v>
      </c>
      <c r="G91" t="s">
        <v>51</v>
      </c>
      <c r="H91">
        <v>5</v>
      </c>
      <c r="I91" t="s">
        <v>45</v>
      </c>
      <c r="J91" t="s">
        <v>63</v>
      </c>
      <c r="K91" t="s">
        <v>149</v>
      </c>
      <c r="L91" t="s">
        <v>25</v>
      </c>
      <c r="M91" t="s">
        <v>34</v>
      </c>
      <c r="N91" t="s">
        <v>24</v>
      </c>
      <c r="O91" t="s">
        <v>25</v>
      </c>
    </row>
    <row r="92" spans="1:15" x14ac:dyDescent="0.3">
      <c r="A92" t="s">
        <v>97</v>
      </c>
      <c r="C92" t="s">
        <v>15</v>
      </c>
      <c r="D92" t="s">
        <v>16</v>
      </c>
      <c r="E92" t="s">
        <v>69</v>
      </c>
      <c r="F92" t="s">
        <v>15</v>
      </c>
      <c r="G92" t="s">
        <v>44</v>
      </c>
      <c r="H92">
        <v>4</v>
      </c>
      <c r="I92" t="s">
        <v>84</v>
      </c>
      <c r="J92" t="s">
        <v>63</v>
      </c>
      <c r="K92" t="s">
        <v>39</v>
      </c>
      <c r="L92" t="s">
        <v>21</v>
      </c>
      <c r="M92" t="s">
        <v>23</v>
      </c>
      <c r="N92" t="s">
        <v>24</v>
      </c>
      <c r="O92" t="s">
        <v>48</v>
      </c>
    </row>
    <row r="93" spans="1:15" x14ac:dyDescent="0.3">
      <c r="A93" t="s">
        <v>97</v>
      </c>
      <c r="C93" t="s">
        <v>49</v>
      </c>
      <c r="D93" t="s">
        <v>150</v>
      </c>
      <c r="E93" t="s">
        <v>50</v>
      </c>
      <c r="F93" t="s">
        <v>49</v>
      </c>
      <c r="G93" t="s">
        <v>51</v>
      </c>
      <c r="H93">
        <v>4</v>
      </c>
      <c r="I93" t="s">
        <v>45</v>
      </c>
      <c r="J93" t="s">
        <v>63</v>
      </c>
      <c r="K93" t="s">
        <v>151</v>
      </c>
      <c r="L93" t="s">
        <v>21</v>
      </c>
      <c r="M93" t="s">
        <v>23</v>
      </c>
      <c r="N93" t="s">
        <v>24</v>
      </c>
      <c r="O93" t="s">
        <v>25</v>
      </c>
    </row>
    <row r="94" spans="1:15" x14ac:dyDescent="0.3">
      <c r="A94" t="s">
        <v>55</v>
      </c>
      <c r="C94" t="s">
        <v>42</v>
      </c>
      <c r="D94" t="s">
        <v>83</v>
      </c>
      <c r="E94" t="s">
        <v>17</v>
      </c>
      <c r="F94" t="s">
        <v>15</v>
      </c>
      <c r="G94" t="s">
        <v>70</v>
      </c>
      <c r="H94">
        <v>5</v>
      </c>
      <c r="I94" t="s">
        <v>45</v>
      </c>
      <c r="J94" t="s">
        <v>52</v>
      </c>
      <c r="K94" t="s">
        <v>152</v>
      </c>
      <c r="L94" t="s">
        <v>21</v>
      </c>
      <c r="M94" t="s">
        <v>34</v>
      </c>
      <c r="N94" t="s">
        <v>24</v>
      </c>
      <c r="O94" t="s">
        <v>25</v>
      </c>
    </row>
    <row r="95" spans="1:15" x14ac:dyDescent="0.3">
      <c r="A95" t="s">
        <v>41</v>
      </c>
      <c r="C95" t="s">
        <v>49</v>
      </c>
      <c r="D95" t="s">
        <v>153</v>
      </c>
      <c r="E95" t="s">
        <v>50</v>
      </c>
      <c r="F95" t="s">
        <v>49</v>
      </c>
      <c r="G95" t="s">
        <v>58</v>
      </c>
      <c r="H95">
        <v>5</v>
      </c>
      <c r="I95" t="s">
        <v>45</v>
      </c>
      <c r="J95" t="s">
        <v>52</v>
      </c>
      <c r="K95" t="s">
        <v>154</v>
      </c>
      <c r="L95" t="s">
        <v>25</v>
      </c>
      <c r="M95" t="s">
        <v>34</v>
      </c>
      <c r="N95" t="s">
        <v>24</v>
      </c>
      <c r="O95" t="s">
        <v>48</v>
      </c>
    </row>
    <row r="96" spans="1:15" x14ac:dyDescent="0.3">
      <c r="A96" t="s">
        <v>41</v>
      </c>
      <c r="C96" t="s">
        <v>49</v>
      </c>
      <c r="D96" t="s">
        <v>43</v>
      </c>
      <c r="E96" t="s">
        <v>69</v>
      </c>
      <c r="F96" t="s">
        <v>30</v>
      </c>
      <c r="G96" t="s">
        <v>44</v>
      </c>
      <c r="H96">
        <v>4</v>
      </c>
      <c r="I96" t="s">
        <v>45</v>
      </c>
      <c r="J96" t="s">
        <v>63</v>
      </c>
      <c r="K96" t="s">
        <v>155</v>
      </c>
      <c r="L96" t="s">
        <v>25</v>
      </c>
      <c r="M96" t="s">
        <v>34</v>
      </c>
      <c r="N96" t="s">
        <v>24</v>
      </c>
      <c r="O96" t="s">
        <v>82</v>
      </c>
    </row>
    <row r="97" spans="1:15" x14ac:dyDescent="0.3">
      <c r="A97" t="s">
        <v>68</v>
      </c>
      <c r="C97" t="s">
        <v>15</v>
      </c>
      <c r="D97" t="s">
        <v>43</v>
      </c>
      <c r="E97" t="s">
        <v>29</v>
      </c>
      <c r="F97" t="s">
        <v>15</v>
      </c>
      <c r="G97" t="s">
        <v>44</v>
      </c>
      <c r="H97">
        <v>5</v>
      </c>
      <c r="I97" t="s">
        <v>45</v>
      </c>
      <c r="J97" t="s">
        <v>63</v>
      </c>
      <c r="K97" t="s">
        <v>156</v>
      </c>
      <c r="L97" t="s">
        <v>25</v>
      </c>
      <c r="M97" t="s">
        <v>23</v>
      </c>
      <c r="N97" t="s">
        <v>24</v>
      </c>
      <c r="O97" t="s">
        <v>48</v>
      </c>
    </row>
    <row r="98" spans="1:15" x14ac:dyDescent="0.3">
      <c r="A98" t="s">
        <v>57</v>
      </c>
      <c r="C98" t="s">
        <v>49</v>
      </c>
      <c r="D98" t="s">
        <v>16</v>
      </c>
      <c r="E98" t="s">
        <v>37</v>
      </c>
      <c r="F98" t="s">
        <v>18</v>
      </c>
      <c r="G98" t="s">
        <v>58</v>
      </c>
      <c r="H98">
        <v>2</v>
      </c>
      <c r="I98" t="s">
        <v>45</v>
      </c>
      <c r="J98" t="s">
        <v>46</v>
      </c>
      <c r="K98" t="s">
        <v>56</v>
      </c>
      <c r="L98" t="s">
        <v>21</v>
      </c>
      <c r="M98" t="s">
        <v>23</v>
      </c>
      <c r="N98" t="s">
        <v>24</v>
      </c>
      <c r="O98" t="s">
        <v>48</v>
      </c>
    </row>
    <row r="99" spans="1:15" x14ac:dyDescent="0.3">
      <c r="A99" t="s">
        <v>100</v>
      </c>
      <c r="C99" t="s">
        <v>42</v>
      </c>
      <c r="D99" t="s">
        <v>36</v>
      </c>
      <c r="E99" t="s">
        <v>29</v>
      </c>
      <c r="F99" t="s">
        <v>18</v>
      </c>
      <c r="G99" t="s">
        <v>51</v>
      </c>
      <c r="H99">
        <v>2</v>
      </c>
      <c r="I99" t="s">
        <v>84</v>
      </c>
      <c r="J99" t="s">
        <v>63</v>
      </c>
      <c r="K99" t="s">
        <v>157</v>
      </c>
      <c r="L99" t="s">
        <v>21</v>
      </c>
      <c r="M99" t="s">
        <v>34</v>
      </c>
      <c r="N99" t="s">
        <v>24</v>
      </c>
      <c r="O99" t="s">
        <v>25</v>
      </c>
    </row>
    <row r="100" spans="1:15" x14ac:dyDescent="0.3">
      <c r="A100" t="s">
        <v>68</v>
      </c>
      <c r="C100" t="s">
        <v>27</v>
      </c>
      <c r="D100" t="s">
        <v>43</v>
      </c>
      <c r="E100" t="s">
        <v>69</v>
      </c>
      <c r="F100" t="s">
        <v>30</v>
      </c>
      <c r="G100" t="s">
        <v>58</v>
      </c>
      <c r="H100">
        <v>4</v>
      </c>
      <c r="I100" t="s">
        <v>45</v>
      </c>
      <c r="J100" t="s">
        <v>63</v>
      </c>
      <c r="K100" t="s">
        <v>158</v>
      </c>
      <c r="L100" t="s">
        <v>25</v>
      </c>
      <c r="M100" t="s">
        <v>23</v>
      </c>
      <c r="N100" t="s">
        <v>24</v>
      </c>
      <c r="O100" t="s">
        <v>82</v>
      </c>
    </row>
    <row r="101" spans="1:15" x14ac:dyDescent="0.3">
      <c r="A101" t="s">
        <v>55</v>
      </c>
      <c r="C101" t="s">
        <v>27</v>
      </c>
      <c r="D101" t="s">
        <v>159</v>
      </c>
      <c r="E101" t="s">
        <v>17</v>
      </c>
      <c r="F101" t="s">
        <v>49</v>
      </c>
      <c r="G101" t="s">
        <v>51</v>
      </c>
      <c r="H101">
        <v>5</v>
      </c>
      <c r="I101" t="s">
        <v>45</v>
      </c>
      <c r="J101" t="s">
        <v>63</v>
      </c>
      <c r="K101" t="s">
        <v>139</v>
      </c>
      <c r="L101" t="s">
        <v>21</v>
      </c>
      <c r="M101" t="s">
        <v>34</v>
      </c>
      <c r="N101" t="s">
        <v>24</v>
      </c>
      <c r="O101" t="s">
        <v>82</v>
      </c>
    </row>
    <row r="102" spans="1:15" x14ac:dyDescent="0.3">
      <c r="A102" t="s">
        <v>61</v>
      </c>
      <c r="C102" t="s">
        <v>15</v>
      </c>
      <c r="D102" t="s">
        <v>43</v>
      </c>
      <c r="E102" t="s">
        <v>17</v>
      </c>
      <c r="F102" t="s">
        <v>15</v>
      </c>
      <c r="G102" t="s">
        <v>44</v>
      </c>
      <c r="H102">
        <v>3</v>
      </c>
      <c r="I102" t="s">
        <v>45</v>
      </c>
      <c r="J102" t="s">
        <v>46</v>
      </c>
      <c r="K102" t="s">
        <v>160</v>
      </c>
      <c r="L102" t="s">
        <v>25</v>
      </c>
      <c r="M102" t="s">
        <v>23</v>
      </c>
      <c r="N102" t="s">
        <v>24</v>
      </c>
      <c r="O102" t="s">
        <v>82</v>
      </c>
    </row>
    <row r="103" spans="1:15" x14ac:dyDescent="0.3">
      <c r="A103" t="s">
        <v>97</v>
      </c>
      <c r="C103" t="s">
        <v>49</v>
      </c>
      <c r="D103" t="s">
        <v>43</v>
      </c>
      <c r="E103" t="s">
        <v>50</v>
      </c>
      <c r="F103" t="s">
        <v>49</v>
      </c>
      <c r="G103" t="s">
        <v>51</v>
      </c>
      <c r="H103">
        <v>4</v>
      </c>
      <c r="I103" t="s">
        <v>45</v>
      </c>
      <c r="J103" t="s">
        <v>46</v>
      </c>
      <c r="K103" t="s">
        <v>158</v>
      </c>
      <c r="L103" t="s">
        <v>25</v>
      </c>
      <c r="M103" t="s">
        <v>23</v>
      </c>
      <c r="N103" t="s">
        <v>24</v>
      </c>
      <c r="O103" t="s">
        <v>25</v>
      </c>
    </row>
    <row r="104" spans="1:15" x14ac:dyDescent="0.3">
      <c r="A104" t="s">
        <v>55</v>
      </c>
      <c r="C104" t="s">
        <v>27</v>
      </c>
      <c r="D104" t="s">
        <v>43</v>
      </c>
      <c r="E104" t="s">
        <v>29</v>
      </c>
      <c r="F104" t="s">
        <v>30</v>
      </c>
      <c r="G104" t="s">
        <v>51</v>
      </c>
      <c r="H104">
        <v>3</v>
      </c>
      <c r="I104" t="s">
        <v>45</v>
      </c>
      <c r="J104" t="s">
        <v>52</v>
      </c>
      <c r="K104" t="s">
        <v>161</v>
      </c>
      <c r="L104" t="s">
        <v>25</v>
      </c>
      <c r="M104" t="s">
        <v>34</v>
      </c>
      <c r="N104" t="s">
        <v>88</v>
      </c>
      <c r="O104" t="s">
        <v>25</v>
      </c>
    </row>
    <row r="105" spans="1:15" x14ac:dyDescent="0.3">
      <c r="A105" t="s">
        <v>162</v>
      </c>
      <c r="C105" t="s">
        <v>15</v>
      </c>
      <c r="D105" t="s">
        <v>43</v>
      </c>
      <c r="E105" t="s">
        <v>29</v>
      </c>
      <c r="F105" t="s">
        <v>30</v>
      </c>
      <c r="G105" t="s">
        <v>44</v>
      </c>
      <c r="H105">
        <v>5</v>
      </c>
      <c r="I105" t="s">
        <v>45</v>
      </c>
      <c r="J105" t="s">
        <v>63</v>
      </c>
      <c r="K105" t="s">
        <v>163</v>
      </c>
      <c r="L105" t="s">
        <v>21</v>
      </c>
      <c r="M105" t="s">
        <v>34</v>
      </c>
      <c r="N105" t="s">
        <v>24</v>
      </c>
      <c r="O105" t="s">
        <v>48</v>
      </c>
    </row>
    <row r="106" spans="1:15" x14ac:dyDescent="0.3">
      <c r="A106" t="s">
        <v>75</v>
      </c>
      <c r="C106" t="s">
        <v>15</v>
      </c>
      <c r="D106" t="s">
        <v>62</v>
      </c>
      <c r="E106" t="s">
        <v>69</v>
      </c>
      <c r="F106" t="s">
        <v>30</v>
      </c>
      <c r="G106" t="s">
        <v>44</v>
      </c>
      <c r="H106">
        <v>5</v>
      </c>
      <c r="I106" t="s">
        <v>45</v>
      </c>
      <c r="J106" t="s">
        <v>63</v>
      </c>
      <c r="K106" t="s">
        <v>164</v>
      </c>
      <c r="L106" t="s">
        <v>21</v>
      </c>
      <c r="M106" t="s">
        <v>23</v>
      </c>
      <c r="N106" t="s">
        <v>24</v>
      </c>
      <c r="O106" t="s">
        <v>82</v>
      </c>
    </row>
    <row r="107" spans="1:15" x14ac:dyDescent="0.3">
      <c r="A107" t="s">
        <v>75</v>
      </c>
      <c r="C107" t="s">
        <v>49</v>
      </c>
      <c r="D107" t="s">
        <v>43</v>
      </c>
      <c r="E107" t="s">
        <v>17</v>
      </c>
      <c r="F107" t="s">
        <v>49</v>
      </c>
      <c r="G107" t="s">
        <v>44</v>
      </c>
      <c r="H107">
        <v>3</v>
      </c>
      <c r="I107" t="s">
        <v>45</v>
      </c>
      <c r="J107" t="s">
        <v>52</v>
      </c>
      <c r="K107" t="s">
        <v>165</v>
      </c>
      <c r="L107" t="s">
        <v>21</v>
      </c>
      <c r="M107" t="s">
        <v>34</v>
      </c>
      <c r="N107" t="s">
        <v>24</v>
      </c>
      <c r="O107" t="s">
        <v>25</v>
      </c>
    </row>
    <row r="108" spans="1:15" x14ac:dyDescent="0.3">
      <c r="A108" t="s">
        <v>97</v>
      </c>
      <c r="C108" t="s">
        <v>49</v>
      </c>
      <c r="D108" t="s">
        <v>43</v>
      </c>
      <c r="E108" t="s">
        <v>17</v>
      </c>
      <c r="F108" t="s">
        <v>49</v>
      </c>
      <c r="G108" t="s">
        <v>44</v>
      </c>
      <c r="H108">
        <v>5</v>
      </c>
      <c r="I108" t="s">
        <v>45</v>
      </c>
      <c r="J108" t="s">
        <v>63</v>
      </c>
      <c r="K108" t="s">
        <v>166</v>
      </c>
      <c r="L108" t="s">
        <v>25</v>
      </c>
      <c r="M108" t="s">
        <v>23</v>
      </c>
      <c r="N108" t="s">
        <v>54</v>
      </c>
      <c r="O108" t="s">
        <v>48</v>
      </c>
    </row>
    <row r="109" spans="1:15" x14ac:dyDescent="0.3">
      <c r="A109" t="s">
        <v>55</v>
      </c>
      <c r="C109" t="s">
        <v>42</v>
      </c>
      <c r="D109" t="s">
        <v>83</v>
      </c>
      <c r="E109" t="s">
        <v>37</v>
      </c>
      <c r="F109" t="s">
        <v>15</v>
      </c>
      <c r="G109" t="s">
        <v>51</v>
      </c>
      <c r="H109">
        <v>5</v>
      </c>
      <c r="I109" t="s">
        <v>45</v>
      </c>
      <c r="J109" t="s">
        <v>46</v>
      </c>
      <c r="K109" t="s">
        <v>56</v>
      </c>
      <c r="L109" t="s">
        <v>21</v>
      </c>
      <c r="M109" t="s">
        <v>34</v>
      </c>
      <c r="N109" t="s">
        <v>24</v>
      </c>
      <c r="O109" t="s">
        <v>25</v>
      </c>
    </row>
    <row r="110" spans="1:15" x14ac:dyDescent="0.3">
      <c r="A110" t="s">
        <v>68</v>
      </c>
      <c r="C110" t="s">
        <v>27</v>
      </c>
      <c r="D110" t="s">
        <v>43</v>
      </c>
      <c r="E110" t="s">
        <v>69</v>
      </c>
      <c r="F110" t="s">
        <v>15</v>
      </c>
      <c r="G110" t="s">
        <v>58</v>
      </c>
      <c r="H110">
        <v>4</v>
      </c>
      <c r="I110" t="s">
        <v>45</v>
      </c>
      <c r="J110" t="s">
        <v>63</v>
      </c>
      <c r="K110" t="s">
        <v>92</v>
      </c>
      <c r="L110" t="s">
        <v>21</v>
      </c>
      <c r="M110" t="s">
        <v>23</v>
      </c>
      <c r="N110" t="s">
        <v>24</v>
      </c>
      <c r="O110" t="s">
        <v>48</v>
      </c>
    </row>
    <row r="111" spans="1:15" x14ac:dyDescent="0.3">
      <c r="A111" t="s">
        <v>55</v>
      </c>
      <c r="C111" t="s">
        <v>27</v>
      </c>
      <c r="D111" t="s">
        <v>36</v>
      </c>
      <c r="E111" t="s">
        <v>37</v>
      </c>
      <c r="F111" t="s">
        <v>30</v>
      </c>
      <c r="G111" t="s">
        <v>44</v>
      </c>
      <c r="H111">
        <v>5</v>
      </c>
      <c r="I111" t="s">
        <v>45</v>
      </c>
      <c r="J111" t="s">
        <v>63</v>
      </c>
      <c r="K111" t="s">
        <v>167</v>
      </c>
      <c r="L111" t="s">
        <v>21</v>
      </c>
      <c r="M111" t="s">
        <v>23</v>
      </c>
      <c r="N111" t="s">
        <v>24</v>
      </c>
      <c r="O111" t="s">
        <v>25</v>
      </c>
    </row>
    <row r="112" spans="1:15" x14ac:dyDescent="0.3">
      <c r="A112" t="s">
        <v>68</v>
      </c>
      <c r="C112" t="s">
        <v>15</v>
      </c>
      <c r="D112" t="s">
        <v>43</v>
      </c>
      <c r="E112" t="s">
        <v>69</v>
      </c>
      <c r="F112" t="s">
        <v>30</v>
      </c>
      <c r="G112" t="s">
        <v>58</v>
      </c>
      <c r="H112">
        <v>5</v>
      </c>
      <c r="I112" t="s">
        <v>45</v>
      </c>
      <c r="J112" t="s">
        <v>46</v>
      </c>
      <c r="K112" t="s">
        <v>168</v>
      </c>
      <c r="L112" t="s">
        <v>21</v>
      </c>
      <c r="M112" t="s">
        <v>23</v>
      </c>
      <c r="N112" t="s">
        <v>24</v>
      </c>
      <c r="O112" t="s">
        <v>48</v>
      </c>
    </row>
    <row r="113" spans="1:15" x14ac:dyDescent="0.3">
      <c r="A113" t="s">
        <v>41</v>
      </c>
      <c r="C113" t="s">
        <v>15</v>
      </c>
      <c r="D113" t="s">
        <v>36</v>
      </c>
      <c r="E113" t="s">
        <v>29</v>
      </c>
      <c r="F113" t="s">
        <v>15</v>
      </c>
      <c r="G113" t="s">
        <v>44</v>
      </c>
      <c r="H113">
        <v>5</v>
      </c>
      <c r="I113" t="s">
        <v>72</v>
      </c>
      <c r="J113" t="s">
        <v>63</v>
      </c>
      <c r="K113" t="s">
        <v>139</v>
      </c>
      <c r="L113" t="s">
        <v>25</v>
      </c>
      <c r="M113" t="s">
        <v>23</v>
      </c>
      <c r="N113" t="s">
        <v>24</v>
      </c>
      <c r="O113" t="s">
        <v>48</v>
      </c>
    </row>
    <row r="114" spans="1:15" x14ac:dyDescent="0.3">
      <c r="A114" t="s">
        <v>41</v>
      </c>
      <c r="C114" t="s">
        <v>42</v>
      </c>
      <c r="D114" t="s">
        <v>43</v>
      </c>
      <c r="E114" t="s">
        <v>37</v>
      </c>
      <c r="F114" t="s">
        <v>15</v>
      </c>
      <c r="G114" t="s">
        <v>51</v>
      </c>
      <c r="H114">
        <v>5</v>
      </c>
      <c r="I114" t="s">
        <v>45</v>
      </c>
      <c r="J114" t="s">
        <v>46</v>
      </c>
      <c r="K114" t="s">
        <v>169</v>
      </c>
      <c r="L114" t="s">
        <v>21</v>
      </c>
      <c r="M114" t="s">
        <v>23</v>
      </c>
      <c r="N114" t="s">
        <v>24</v>
      </c>
      <c r="O114" t="s">
        <v>25</v>
      </c>
    </row>
    <row r="115" spans="1:15" x14ac:dyDescent="0.3">
      <c r="A115" t="s">
        <v>97</v>
      </c>
      <c r="C115" t="s">
        <v>15</v>
      </c>
      <c r="D115" t="s">
        <v>43</v>
      </c>
      <c r="E115" t="s">
        <v>69</v>
      </c>
      <c r="F115" t="s">
        <v>102</v>
      </c>
      <c r="G115" t="s">
        <v>44</v>
      </c>
      <c r="H115">
        <v>3</v>
      </c>
      <c r="I115" t="s">
        <v>45</v>
      </c>
      <c r="J115" t="s">
        <v>63</v>
      </c>
      <c r="K115" t="s">
        <v>170</v>
      </c>
      <c r="L115" t="s">
        <v>21</v>
      </c>
      <c r="M115" t="s">
        <v>23</v>
      </c>
      <c r="N115" t="s">
        <v>24</v>
      </c>
      <c r="O115" t="s">
        <v>25</v>
      </c>
    </row>
    <row r="116" spans="1:15" x14ac:dyDescent="0.3">
      <c r="A116" t="s">
        <v>61</v>
      </c>
      <c r="C116" t="s">
        <v>27</v>
      </c>
      <c r="D116" t="s">
        <v>36</v>
      </c>
      <c r="E116" t="s">
        <v>37</v>
      </c>
      <c r="F116" t="s">
        <v>30</v>
      </c>
      <c r="G116" t="s">
        <v>44</v>
      </c>
      <c r="H116">
        <v>4</v>
      </c>
      <c r="I116" t="s">
        <v>45</v>
      </c>
      <c r="J116" t="s">
        <v>63</v>
      </c>
      <c r="K116" t="s">
        <v>171</v>
      </c>
      <c r="L116" t="s">
        <v>21</v>
      </c>
      <c r="M116" t="s">
        <v>23</v>
      </c>
      <c r="N116" t="s">
        <v>24</v>
      </c>
      <c r="O116" t="s">
        <v>25</v>
      </c>
    </row>
    <row r="117" spans="1:15" x14ac:dyDescent="0.3">
      <c r="A117" t="s">
        <v>97</v>
      </c>
      <c r="C117" t="s">
        <v>49</v>
      </c>
      <c r="D117" t="s">
        <v>43</v>
      </c>
      <c r="E117" t="s">
        <v>50</v>
      </c>
      <c r="F117" t="s">
        <v>102</v>
      </c>
      <c r="G117" t="s">
        <v>70</v>
      </c>
      <c r="H117">
        <v>3</v>
      </c>
      <c r="I117" t="s">
        <v>45</v>
      </c>
      <c r="J117" t="s">
        <v>63</v>
      </c>
      <c r="K117" t="s">
        <v>53</v>
      </c>
      <c r="L117" t="s">
        <v>21</v>
      </c>
      <c r="M117" t="s">
        <v>34</v>
      </c>
      <c r="N117" t="s">
        <v>24</v>
      </c>
      <c r="O117" t="s">
        <v>48</v>
      </c>
    </row>
    <row r="118" spans="1:15" x14ac:dyDescent="0.3">
      <c r="A118" t="s">
        <v>68</v>
      </c>
      <c r="C118" t="s">
        <v>49</v>
      </c>
      <c r="D118" t="s">
        <v>43</v>
      </c>
      <c r="E118" t="s">
        <v>50</v>
      </c>
      <c r="F118" t="s">
        <v>30</v>
      </c>
      <c r="G118" t="s">
        <v>70</v>
      </c>
      <c r="H118">
        <v>5</v>
      </c>
      <c r="I118" t="s">
        <v>45</v>
      </c>
      <c r="J118" t="s">
        <v>46</v>
      </c>
      <c r="K118" t="s">
        <v>172</v>
      </c>
      <c r="L118" t="s">
        <v>21</v>
      </c>
      <c r="M118" t="s">
        <v>40</v>
      </c>
      <c r="N118" t="s">
        <v>24</v>
      </c>
      <c r="O118" t="s">
        <v>21</v>
      </c>
    </row>
    <row r="119" spans="1:15" x14ac:dyDescent="0.3">
      <c r="A119" t="s">
        <v>61</v>
      </c>
      <c r="C119" t="s">
        <v>27</v>
      </c>
      <c r="D119" t="s">
        <v>173</v>
      </c>
      <c r="E119" t="s">
        <v>174</v>
      </c>
      <c r="F119" t="s">
        <v>30</v>
      </c>
      <c r="G119" t="s">
        <v>70</v>
      </c>
      <c r="H119">
        <v>5</v>
      </c>
      <c r="I119" t="s">
        <v>45</v>
      </c>
      <c r="J119" t="s">
        <v>46</v>
      </c>
      <c r="K119" t="s">
        <v>67</v>
      </c>
      <c r="L119" t="s">
        <v>21</v>
      </c>
      <c r="M119" t="s">
        <v>23</v>
      </c>
      <c r="N119" t="s">
        <v>24</v>
      </c>
      <c r="O119" t="s">
        <v>48</v>
      </c>
    </row>
    <row r="120" spans="1:15" x14ac:dyDescent="0.3">
      <c r="A120" t="s">
        <v>66</v>
      </c>
      <c r="C120" t="s">
        <v>27</v>
      </c>
      <c r="D120" t="s">
        <v>43</v>
      </c>
      <c r="E120" t="s">
        <v>50</v>
      </c>
      <c r="F120" t="s">
        <v>30</v>
      </c>
      <c r="G120" t="s">
        <v>44</v>
      </c>
      <c r="H120">
        <v>5</v>
      </c>
      <c r="I120" t="s">
        <v>45</v>
      </c>
      <c r="J120" t="s">
        <v>46</v>
      </c>
      <c r="K120" t="s">
        <v>67</v>
      </c>
      <c r="L120" t="s">
        <v>21</v>
      </c>
      <c r="M120" t="s">
        <v>34</v>
      </c>
      <c r="N120" t="s">
        <v>136</v>
      </c>
      <c r="O120" t="s">
        <v>21</v>
      </c>
    </row>
    <row r="121" spans="1:15" x14ac:dyDescent="0.3">
      <c r="A121" t="s">
        <v>162</v>
      </c>
      <c r="C121" t="s">
        <v>15</v>
      </c>
      <c r="D121" t="s">
        <v>43</v>
      </c>
      <c r="E121" t="s">
        <v>50</v>
      </c>
      <c r="F121" t="s">
        <v>15</v>
      </c>
      <c r="G121" t="s">
        <v>70</v>
      </c>
      <c r="H121">
        <v>4</v>
      </c>
      <c r="I121" t="s">
        <v>45</v>
      </c>
      <c r="J121" t="s">
        <v>63</v>
      </c>
      <c r="K121" t="s">
        <v>175</v>
      </c>
      <c r="L121" t="s">
        <v>21</v>
      </c>
      <c r="M121" t="s">
        <v>23</v>
      </c>
      <c r="N121" t="s">
        <v>24</v>
      </c>
      <c r="O121" t="s">
        <v>48</v>
      </c>
    </row>
    <row r="122" spans="1:15" x14ac:dyDescent="0.3">
      <c r="A122" t="s">
        <v>97</v>
      </c>
      <c r="C122" t="s">
        <v>42</v>
      </c>
      <c r="D122" t="s">
        <v>43</v>
      </c>
      <c r="E122" t="s">
        <v>69</v>
      </c>
      <c r="F122" t="s">
        <v>15</v>
      </c>
      <c r="G122" t="s">
        <v>58</v>
      </c>
      <c r="H122">
        <v>3</v>
      </c>
      <c r="I122" t="s">
        <v>45</v>
      </c>
      <c r="J122" t="s">
        <v>52</v>
      </c>
      <c r="K122" t="s">
        <v>145</v>
      </c>
      <c r="L122" t="s">
        <v>25</v>
      </c>
      <c r="M122" t="s">
        <v>23</v>
      </c>
      <c r="N122" t="s">
        <v>24</v>
      </c>
      <c r="O122" t="s">
        <v>25</v>
      </c>
    </row>
    <row r="123" spans="1:15" x14ac:dyDescent="0.3">
      <c r="A123" t="s">
        <v>97</v>
      </c>
      <c r="C123" t="s">
        <v>27</v>
      </c>
      <c r="D123" t="s">
        <v>43</v>
      </c>
      <c r="E123" t="s">
        <v>50</v>
      </c>
      <c r="F123" t="s">
        <v>30</v>
      </c>
      <c r="G123" t="s">
        <v>51</v>
      </c>
      <c r="H123">
        <v>5</v>
      </c>
      <c r="I123" t="s">
        <v>45</v>
      </c>
      <c r="J123" t="s">
        <v>63</v>
      </c>
      <c r="K123" t="s">
        <v>176</v>
      </c>
      <c r="L123" t="s">
        <v>21</v>
      </c>
      <c r="M123" t="s">
        <v>23</v>
      </c>
      <c r="N123" t="s">
        <v>24</v>
      </c>
      <c r="O123" t="s">
        <v>48</v>
      </c>
    </row>
    <row r="124" spans="1:15" x14ac:dyDescent="0.3">
      <c r="A124" t="s">
        <v>55</v>
      </c>
      <c r="C124" t="s">
        <v>27</v>
      </c>
      <c r="D124" t="s">
        <v>43</v>
      </c>
      <c r="E124" t="s">
        <v>17</v>
      </c>
      <c r="F124" t="s">
        <v>30</v>
      </c>
      <c r="G124" t="s">
        <v>58</v>
      </c>
      <c r="H124">
        <v>5</v>
      </c>
      <c r="I124" t="s">
        <v>45</v>
      </c>
      <c r="J124" t="s">
        <v>63</v>
      </c>
      <c r="K124" t="s">
        <v>177</v>
      </c>
      <c r="L124" t="s">
        <v>21</v>
      </c>
      <c r="M124" t="s">
        <v>23</v>
      </c>
      <c r="N124" t="s">
        <v>24</v>
      </c>
      <c r="O124" t="s">
        <v>48</v>
      </c>
    </row>
    <row r="125" spans="1:15" x14ac:dyDescent="0.3">
      <c r="A125" t="s">
        <v>26</v>
      </c>
      <c r="C125" t="s">
        <v>49</v>
      </c>
      <c r="D125" t="s">
        <v>43</v>
      </c>
      <c r="E125" t="s">
        <v>50</v>
      </c>
      <c r="F125" t="s">
        <v>49</v>
      </c>
      <c r="G125" t="s">
        <v>58</v>
      </c>
      <c r="H125">
        <v>5</v>
      </c>
      <c r="I125" t="s">
        <v>45</v>
      </c>
      <c r="J125" t="s">
        <v>63</v>
      </c>
      <c r="K125" t="s">
        <v>178</v>
      </c>
      <c r="L125" t="s">
        <v>21</v>
      </c>
      <c r="M125" t="s">
        <v>23</v>
      </c>
      <c r="N125" t="s">
        <v>24</v>
      </c>
      <c r="O125" t="s">
        <v>48</v>
      </c>
    </row>
    <row r="126" spans="1:15" x14ac:dyDescent="0.3">
      <c r="A126" t="s">
        <v>26</v>
      </c>
      <c r="C126" t="s">
        <v>42</v>
      </c>
      <c r="D126" t="s">
        <v>62</v>
      </c>
      <c r="E126" t="s">
        <v>69</v>
      </c>
      <c r="F126" t="s">
        <v>15</v>
      </c>
      <c r="G126" t="s">
        <v>58</v>
      </c>
      <c r="H126">
        <v>4</v>
      </c>
      <c r="I126" t="s">
        <v>45</v>
      </c>
      <c r="J126" t="s">
        <v>46</v>
      </c>
      <c r="K126" t="s">
        <v>67</v>
      </c>
      <c r="L126" t="s">
        <v>21</v>
      </c>
      <c r="M126" t="s">
        <v>23</v>
      </c>
      <c r="N126" t="s">
        <v>24</v>
      </c>
      <c r="O126" t="s">
        <v>25</v>
      </c>
    </row>
    <row r="127" spans="1:15" x14ac:dyDescent="0.3">
      <c r="A127" t="s">
        <v>100</v>
      </c>
      <c r="C127" t="s">
        <v>15</v>
      </c>
      <c r="D127" t="s">
        <v>43</v>
      </c>
      <c r="E127" t="s">
        <v>69</v>
      </c>
      <c r="F127" t="s">
        <v>49</v>
      </c>
      <c r="G127" t="s">
        <v>51</v>
      </c>
      <c r="H127">
        <v>5</v>
      </c>
      <c r="I127" t="s">
        <v>45</v>
      </c>
      <c r="J127" t="s">
        <v>46</v>
      </c>
      <c r="K127" t="s">
        <v>179</v>
      </c>
      <c r="L127" t="s">
        <v>21</v>
      </c>
      <c r="M127" t="s">
        <v>23</v>
      </c>
      <c r="N127" t="s">
        <v>24</v>
      </c>
      <c r="O127" t="s">
        <v>48</v>
      </c>
    </row>
    <row r="128" spans="1:15" x14ac:dyDescent="0.3">
      <c r="A128" t="s">
        <v>68</v>
      </c>
      <c r="C128" t="s">
        <v>27</v>
      </c>
      <c r="D128" t="s">
        <v>180</v>
      </c>
      <c r="E128" t="s">
        <v>50</v>
      </c>
      <c r="F128" t="s">
        <v>49</v>
      </c>
      <c r="G128" t="s">
        <v>51</v>
      </c>
      <c r="H128">
        <v>5</v>
      </c>
      <c r="I128" t="s">
        <v>45</v>
      </c>
      <c r="J128" t="s">
        <v>63</v>
      </c>
      <c r="K128" t="s">
        <v>181</v>
      </c>
      <c r="L128" t="s">
        <v>25</v>
      </c>
      <c r="M128" t="s">
        <v>34</v>
      </c>
      <c r="N128" t="s">
        <v>88</v>
      </c>
      <c r="O128" t="s">
        <v>48</v>
      </c>
    </row>
    <row r="129" spans="1:15" x14ac:dyDescent="0.3">
      <c r="A129" t="s">
        <v>97</v>
      </c>
      <c r="C129" t="s">
        <v>27</v>
      </c>
      <c r="D129" t="s">
        <v>43</v>
      </c>
      <c r="E129" t="s">
        <v>50</v>
      </c>
      <c r="F129" t="s">
        <v>49</v>
      </c>
      <c r="G129" t="s">
        <v>58</v>
      </c>
      <c r="H129">
        <v>1</v>
      </c>
      <c r="I129" t="s">
        <v>45</v>
      </c>
      <c r="J129" t="s">
        <v>52</v>
      </c>
      <c r="K129" t="s">
        <v>182</v>
      </c>
      <c r="L129" t="s">
        <v>25</v>
      </c>
      <c r="M129" t="s">
        <v>34</v>
      </c>
      <c r="N129" t="s">
        <v>24</v>
      </c>
      <c r="O129" t="s">
        <v>25</v>
      </c>
    </row>
    <row r="130" spans="1:15" x14ac:dyDescent="0.3">
      <c r="A130" t="s">
        <v>55</v>
      </c>
      <c r="C130" t="s">
        <v>42</v>
      </c>
      <c r="D130" t="s">
        <v>43</v>
      </c>
      <c r="E130" t="s">
        <v>50</v>
      </c>
      <c r="F130" t="s">
        <v>30</v>
      </c>
      <c r="G130" t="s">
        <v>58</v>
      </c>
      <c r="H130">
        <v>5</v>
      </c>
      <c r="I130" t="s">
        <v>45</v>
      </c>
      <c r="J130" t="s">
        <v>63</v>
      </c>
      <c r="K130" t="s">
        <v>111</v>
      </c>
      <c r="L130" t="s">
        <v>21</v>
      </c>
      <c r="M130" t="s">
        <v>34</v>
      </c>
      <c r="N130" t="s">
        <v>24</v>
      </c>
      <c r="O130" t="s">
        <v>25</v>
      </c>
    </row>
    <row r="131" spans="1:15" x14ac:dyDescent="0.3">
      <c r="A131" t="s">
        <v>68</v>
      </c>
      <c r="C131" t="s">
        <v>15</v>
      </c>
      <c r="D131" t="s">
        <v>144</v>
      </c>
      <c r="E131" t="s">
        <v>37</v>
      </c>
      <c r="F131" t="s">
        <v>15</v>
      </c>
      <c r="G131" t="s">
        <v>58</v>
      </c>
      <c r="H131">
        <v>4</v>
      </c>
      <c r="I131" t="s">
        <v>45</v>
      </c>
      <c r="J131" t="s">
        <v>63</v>
      </c>
      <c r="K131" t="s">
        <v>39</v>
      </c>
      <c r="L131" t="s">
        <v>21</v>
      </c>
      <c r="M131" t="s">
        <v>34</v>
      </c>
      <c r="N131" t="s">
        <v>24</v>
      </c>
      <c r="O131" t="s">
        <v>25</v>
      </c>
    </row>
    <row r="132" spans="1:15" x14ac:dyDescent="0.3">
      <c r="A132" t="s">
        <v>100</v>
      </c>
      <c r="C132" t="s">
        <v>49</v>
      </c>
      <c r="D132" t="s">
        <v>183</v>
      </c>
      <c r="E132" t="s">
        <v>29</v>
      </c>
      <c r="F132" t="s">
        <v>49</v>
      </c>
      <c r="G132" t="s">
        <v>51</v>
      </c>
      <c r="H132">
        <v>5</v>
      </c>
      <c r="I132" t="s">
        <v>59</v>
      </c>
      <c r="J132" t="s">
        <v>63</v>
      </c>
      <c r="K132" t="s">
        <v>184</v>
      </c>
      <c r="L132" t="s">
        <v>25</v>
      </c>
      <c r="M132" t="s">
        <v>34</v>
      </c>
      <c r="N132" t="s">
        <v>24</v>
      </c>
      <c r="O132" t="s">
        <v>25</v>
      </c>
    </row>
    <row r="133" spans="1:15" x14ac:dyDescent="0.3">
      <c r="A133" t="s">
        <v>68</v>
      </c>
      <c r="C133" t="s">
        <v>27</v>
      </c>
      <c r="D133" t="s">
        <v>43</v>
      </c>
      <c r="E133" t="s">
        <v>69</v>
      </c>
      <c r="F133" t="s">
        <v>30</v>
      </c>
      <c r="G133" t="s">
        <v>58</v>
      </c>
      <c r="H133">
        <v>3</v>
      </c>
      <c r="I133" t="s">
        <v>45</v>
      </c>
      <c r="J133" t="s">
        <v>63</v>
      </c>
      <c r="K133" t="s">
        <v>185</v>
      </c>
      <c r="L133" t="s">
        <v>21</v>
      </c>
      <c r="M133" t="s">
        <v>23</v>
      </c>
      <c r="N133" t="s">
        <v>24</v>
      </c>
      <c r="O133" t="s">
        <v>21</v>
      </c>
    </row>
    <row r="134" spans="1:15" x14ac:dyDescent="0.3">
      <c r="A134" t="s">
        <v>55</v>
      </c>
      <c r="C134" t="s">
        <v>49</v>
      </c>
      <c r="D134" t="s">
        <v>186</v>
      </c>
      <c r="E134" t="s">
        <v>50</v>
      </c>
      <c r="F134" t="s">
        <v>49</v>
      </c>
      <c r="G134" t="s">
        <v>51</v>
      </c>
      <c r="H134">
        <v>5</v>
      </c>
      <c r="I134" t="s">
        <v>45</v>
      </c>
      <c r="J134" t="s">
        <v>46</v>
      </c>
      <c r="K134" t="s">
        <v>56</v>
      </c>
      <c r="L134" t="s">
        <v>21</v>
      </c>
      <c r="M134" t="s">
        <v>40</v>
      </c>
      <c r="N134" t="s">
        <v>187</v>
      </c>
      <c r="O134" t="s">
        <v>25</v>
      </c>
    </row>
    <row r="135" spans="1:15" x14ac:dyDescent="0.3">
      <c r="A135" t="s">
        <v>66</v>
      </c>
      <c r="C135" t="s">
        <v>15</v>
      </c>
      <c r="D135" t="s">
        <v>43</v>
      </c>
      <c r="E135" t="s">
        <v>50</v>
      </c>
      <c r="F135" t="s">
        <v>49</v>
      </c>
      <c r="G135" t="s">
        <v>51</v>
      </c>
      <c r="H135">
        <v>5</v>
      </c>
      <c r="I135" t="s">
        <v>45</v>
      </c>
      <c r="J135" t="s">
        <v>63</v>
      </c>
      <c r="K135" t="s">
        <v>188</v>
      </c>
      <c r="L135" t="s">
        <v>21</v>
      </c>
      <c r="M135" t="s">
        <v>34</v>
      </c>
      <c r="N135" t="s">
        <v>24</v>
      </c>
      <c r="O135" t="s">
        <v>48</v>
      </c>
    </row>
    <row r="136" spans="1:15" x14ac:dyDescent="0.3">
      <c r="A136" t="s">
        <v>75</v>
      </c>
      <c r="C136" t="s">
        <v>49</v>
      </c>
      <c r="D136" t="s">
        <v>62</v>
      </c>
      <c r="E136" t="s">
        <v>69</v>
      </c>
      <c r="F136" t="s">
        <v>30</v>
      </c>
      <c r="G136" t="s">
        <v>70</v>
      </c>
      <c r="H136">
        <v>4</v>
      </c>
      <c r="I136" t="s">
        <v>45</v>
      </c>
      <c r="J136" t="s">
        <v>46</v>
      </c>
      <c r="K136" t="s">
        <v>189</v>
      </c>
      <c r="L136" t="s">
        <v>25</v>
      </c>
      <c r="M136" t="s">
        <v>23</v>
      </c>
      <c r="N136" t="s">
        <v>24</v>
      </c>
      <c r="O136" t="s">
        <v>25</v>
      </c>
    </row>
    <row r="137" spans="1:15" x14ac:dyDescent="0.3">
      <c r="A137" t="s">
        <v>55</v>
      </c>
      <c r="C137" t="s">
        <v>27</v>
      </c>
      <c r="D137" t="s">
        <v>43</v>
      </c>
      <c r="E137" t="s">
        <v>37</v>
      </c>
      <c r="F137" t="s">
        <v>49</v>
      </c>
      <c r="G137" t="s">
        <v>44</v>
      </c>
      <c r="H137">
        <v>5</v>
      </c>
      <c r="I137" t="s">
        <v>45</v>
      </c>
      <c r="J137" t="s">
        <v>63</v>
      </c>
      <c r="K137" t="s">
        <v>74</v>
      </c>
      <c r="L137" t="s">
        <v>21</v>
      </c>
      <c r="M137" t="s">
        <v>23</v>
      </c>
      <c r="N137" t="s">
        <v>24</v>
      </c>
      <c r="O137" t="s">
        <v>25</v>
      </c>
    </row>
    <row r="138" spans="1:15" x14ac:dyDescent="0.3">
      <c r="A138" t="s">
        <v>41</v>
      </c>
      <c r="C138" t="s">
        <v>27</v>
      </c>
      <c r="D138" t="s">
        <v>43</v>
      </c>
      <c r="E138" t="s">
        <v>69</v>
      </c>
      <c r="F138" t="s">
        <v>30</v>
      </c>
      <c r="G138" t="s">
        <v>58</v>
      </c>
      <c r="H138">
        <v>3</v>
      </c>
      <c r="I138" t="s">
        <v>45</v>
      </c>
      <c r="J138" t="s">
        <v>63</v>
      </c>
      <c r="K138" t="s">
        <v>190</v>
      </c>
      <c r="L138" t="s">
        <v>21</v>
      </c>
      <c r="M138" t="s">
        <v>34</v>
      </c>
      <c r="N138" t="s">
        <v>24</v>
      </c>
      <c r="O138" t="s">
        <v>21</v>
      </c>
    </row>
    <row r="139" spans="1:15" x14ac:dyDescent="0.3">
      <c r="A139" t="s">
        <v>55</v>
      </c>
      <c r="C139" t="s">
        <v>15</v>
      </c>
      <c r="D139" t="s">
        <v>83</v>
      </c>
      <c r="E139" t="s">
        <v>37</v>
      </c>
      <c r="F139" t="s">
        <v>30</v>
      </c>
      <c r="G139" t="s">
        <v>70</v>
      </c>
      <c r="H139">
        <v>5</v>
      </c>
      <c r="I139" t="s">
        <v>45</v>
      </c>
      <c r="J139" t="s">
        <v>46</v>
      </c>
      <c r="K139" t="s">
        <v>67</v>
      </c>
      <c r="L139" t="s">
        <v>21</v>
      </c>
      <c r="M139" t="s">
        <v>23</v>
      </c>
      <c r="N139" t="s">
        <v>24</v>
      </c>
      <c r="O139" t="s">
        <v>48</v>
      </c>
    </row>
    <row r="140" spans="1:15" x14ac:dyDescent="0.3">
      <c r="A140" t="s">
        <v>75</v>
      </c>
      <c r="C140" t="s">
        <v>49</v>
      </c>
      <c r="D140" t="s">
        <v>191</v>
      </c>
      <c r="E140" t="s">
        <v>50</v>
      </c>
      <c r="F140" t="s">
        <v>49</v>
      </c>
      <c r="G140" t="s">
        <v>70</v>
      </c>
      <c r="H140">
        <v>5</v>
      </c>
      <c r="I140" t="s">
        <v>45</v>
      </c>
      <c r="J140" t="s">
        <v>63</v>
      </c>
      <c r="K140" t="s">
        <v>192</v>
      </c>
      <c r="L140" t="s">
        <v>25</v>
      </c>
      <c r="M140" t="s">
        <v>23</v>
      </c>
      <c r="N140" t="s">
        <v>24</v>
      </c>
      <c r="O140" t="s">
        <v>48</v>
      </c>
    </row>
    <row r="141" spans="1:15" x14ac:dyDescent="0.3">
      <c r="A141" t="s">
        <v>14</v>
      </c>
      <c r="C141" t="s">
        <v>49</v>
      </c>
      <c r="D141" t="s">
        <v>43</v>
      </c>
      <c r="E141" t="s">
        <v>50</v>
      </c>
      <c r="F141" t="s">
        <v>102</v>
      </c>
      <c r="G141" t="s">
        <v>44</v>
      </c>
      <c r="H141">
        <v>4</v>
      </c>
      <c r="I141" t="s">
        <v>45</v>
      </c>
      <c r="J141" t="s">
        <v>52</v>
      </c>
      <c r="K141" t="s">
        <v>193</v>
      </c>
      <c r="L141" t="s">
        <v>21</v>
      </c>
      <c r="M141" t="s">
        <v>23</v>
      </c>
      <c r="N141" t="s">
        <v>24</v>
      </c>
      <c r="O141" t="s">
        <v>82</v>
      </c>
    </row>
    <row r="142" spans="1:15" x14ac:dyDescent="0.3">
      <c r="A142" t="s">
        <v>68</v>
      </c>
      <c r="C142" t="s">
        <v>15</v>
      </c>
      <c r="D142" t="s">
        <v>36</v>
      </c>
      <c r="E142" t="s">
        <v>37</v>
      </c>
      <c r="F142" t="s">
        <v>15</v>
      </c>
      <c r="G142" t="s">
        <v>51</v>
      </c>
      <c r="H142">
        <v>5</v>
      </c>
      <c r="I142" t="s">
        <v>45</v>
      </c>
      <c r="J142" t="s">
        <v>63</v>
      </c>
      <c r="K142" t="s">
        <v>56</v>
      </c>
      <c r="L142" t="s">
        <v>21</v>
      </c>
      <c r="M142" t="s">
        <v>40</v>
      </c>
      <c r="N142" t="s">
        <v>24</v>
      </c>
      <c r="O142" t="s">
        <v>48</v>
      </c>
    </row>
    <row r="143" spans="1:15" x14ac:dyDescent="0.3">
      <c r="A143" t="s">
        <v>55</v>
      </c>
      <c r="C143" t="s">
        <v>49</v>
      </c>
      <c r="D143" t="s">
        <v>43</v>
      </c>
      <c r="E143" t="s">
        <v>50</v>
      </c>
      <c r="F143" t="s">
        <v>49</v>
      </c>
      <c r="G143" t="s">
        <v>51</v>
      </c>
      <c r="H143">
        <v>1</v>
      </c>
      <c r="I143" t="s">
        <v>45</v>
      </c>
      <c r="J143" t="s">
        <v>52</v>
      </c>
      <c r="K143" t="s">
        <v>131</v>
      </c>
      <c r="L143" t="s">
        <v>21</v>
      </c>
      <c r="M143" t="s">
        <v>23</v>
      </c>
      <c r="N143" t="s">
        <v>187</v>
      </c>
      <c r="O143" t="s">
        <v>25</v>
      </c>
    </row>
    <row r="144" spans="1:15" x14ac:dyDescent="0.3">
      <c r="A144" t="s">
        <v>55</v>
      </c>
      <c r="C144" t="s">
        <v>15</v>
      </c>
      <c r="D144" t="s">
        <v>124</v>
      </c>
      <c r="E144" t="s">
        <v>17</v>
      </c>
      <c r="F144" t="s">
        <v>15</v>
      </c>
      <c r="G144" t="s">
        <v>51</v>
      </c>
      <c r="H144">
        <v>5</v>
      </c>
      <c r="I144" t="s">
        <v>45</v>
      </c>
      <c r="J144" t="s">
        <v>46</v>
      </c>
      <c r="K144" t="s">
        <v>60</v>
      </c>
      <c r="L144" t="s">
        <v>21</v>
      </c>
      <c r="M144" t="s">
        <v>23</v>
      </c>
      <c r="N144" t="s">
        <v>113</v>
      </c>
      <c r="O144" t="s">
        <v>25</v>
      </c>
    </row>
    <row r="145" spans="1:15" x14ac:dyDescent="0.3">
      <c r="A145" t="s">
        <v>68</v>
      </c>
      <c r="C145" t="s">
        <v>49</v>
      </c>
      <c r="D145" t="s">
        <v>194</v>
      </c>
      <c r="E145" t="s">
        <v>50</v>
      </c>
      <c r="F145" t="s">
        <v>49</v>
      </c>
      <c r="G145" t="s">
        <v>51</v>
      </c>
      <c r="H145">
        <v>3</v>
      </c>
      <c r="I145" t="s">
        <v>45</v>
      </c>
      <c r="J145" t="s">
        <v>52</v>
      </c>
      <c r="K145" t="s">
        <v>39</v>
      </c>
      <c r="L145" t="s">
        <v>21</v>
      </c>
      <c r="M145" t="s">
        <v>34</v>
      </c>
      <c r="N145" t="s">
        <v>54</v>
      </c>
      <c r="O145" t="s">
        <v>25</v>
      </c>
    </row>
    <row r="146" spans="1:15" x14ac:dyDescent="0.3">
      <c r="A146" t="s">
        <v>68</v>
      </c>
      <c r="C146" t="s">
        <v>42</v>
      </c>
      <c r="D146" t="s">
        <v>83</v>
      </c>
      <c r="E146" t="s">
        <v>69</v>
      </c>
      <c r="F146" t="s">
        <v>15</v>
      </c>
      <c r="G146" t="s">
        <v>44</v>
      </c>
      <c r="H146">
        <v>1</v>
      </c>
      <c r="I146" t="s">
        <v>59</v>
      </c>
      <c r="J146" t="s">
        <v>63</v>
      </c>
      <c r="K146" t="s">
        <v>47</v>
      </c>
      <c r="L146" t="s">
        <v>21</v>
      </c>
      <c r="M146" t="s">
        <v>23</v>
      </c>
      <c r="N146" t="s">
        <v>136</v>
      </c>
      <c r="O146" t="s">
        <v>48</v>
      </c>
    </row>
    <row r="147" spans="1:15" x14ac:dyDescent="0.3">
      <c r="A147" t="s">
        <v>97</v>
      </c>
      <c r="C147" t="s">
        <v>49</v>
      </c>
      <c r="D147" t="s">
        <v>43</v>
      </c>
      <c r="E147" t="s">
        <v>69</v>
      </c>
      <c r="F147" t="s">
        <v>102</v>
      </c>
      <c r="G147" t="s">
        <v>51</v>
      </c>
      <c r="H147">
        <v>4</v>
      </c>
      <c r="I147" t="s">
        <v>45</v>
      </c>
      <c r="J147" t="s">
        <v>63</v>
      </c>
      <c r="K147" t="s">
        <v>67</v>
      </c>
      <c r="L147" t="s">
        <v>21</v>
      </c>
      <c r="M147" t="s">
        <v>34</v>
      </c>
      <c r="N147" t="s">
        <v>88</v>
      </c>
      <c r="O147" t="s">
        <v>21</v>
      </c>
    </row>
    <row r="148" spans="1:15" x14ac:dyDescent="0.3">
      <c r="A148" t="s">
        <v>100</v>
      </c>
      <c r="C148" t="s">
        <v>27</v>
      </c>
      <c r="D148" t="s">
        <v>43</v>
      </c>
      <c r="E148" t="s">
        <v>17</v>
      </c>
      <c r="F148" t="s">
        <v>49</v>
      </c>
      <c r="G148" t="s">
        <v>58</v>
      </c>
      <c r="H148">
        <v>5</v>
      </c>
      <c r="I148" t="s">
        <v>59</v>
      </c>
      <c r="J148" t="s">
        <v>63</v>
      </c>
      <c r="K148" t="s">
        <v>145</v>
      </c>
      <c r="L148" t="s">
        <v>21</v>
      </c>
      <c r="M148" t="s">
        <v>23</v>
      </c>
      <c r="N148" t="s">
        <v>136</v>
      </c>
      <c r="O148" t="s">
        <v>25</v>
      </c>
    </row>
    <row r="149" spans="1:15" x14ac:dyDescent="0.3">
      <c r="A149" t="s">
        <v>57</v>
      </c>
      <c r="C149" t="s">
        <v>42</v>
      </c>
      <c r="D149" t="s">
        <v>43</v>
      </c>
      <c r="E149" t="s">
        <v>50</v>
      </c>
      <c r="F149" t="s">
        <v>30</v>
      </c>
      <c r="G149" t="s">
        <v>51</v>
      </c>
      <c r="H149">
        <v>5</v>
      </c>
      <c r="I149" t="s">
        <v>45</v>
      </c>
      <c r="J149" t="s">
        <v>63</v>
      </c>
      <c r="K149" t="s">
        <v>195</v>
      </c>
      <c r="L149" t="s">
        <v>21</v>
      </c>
      <c r="M149" t="s">
        <v>23</v>
      </c>
      <c r="N149" t="s">
        <v>24</v>
      </c>
      <c r="O149" t="s">
        <v>48</v>
      </c>
    </row>
    <row r="150" spans="1:15" x14ac:dyDescent="0.3">
      <c r="A150" t="s">
        <v>55</v>
      </c>
      <c r="C150" t="s">
        <v>49</v>
      </c>
      <c r="D150" t="s">
        <v>196</v>
      </c>
      <c r="E150" t="s">
        <v>50</v>
      </c>
      <c r="F150" t="s">
        <v>49</v>
      </c>
      <c r="G150" t="s">
        <v>44</v>
      </c>
      <c r="H150">
        <v>4</v>
      </c>
      <c r="I150" t="s">
        <v>45</v>
      </c>
      <c r="J150" t="s">
        <v>52</v>
      </c>
      <c r="K150" t="s">
        <v>39</v>
      </c>
      <c r="L150" t="s">
        <v>25</v>
      </c>
      <c r="M150" t="s">
        <v>34</v>
      </c>
      <c r="N150" t="s">
        <v>24</v>
      </c>
      <c r="O150" t="s">
        <v>25</v>
      </c>
    </row>
    <row r="151" spans="1:15" x14ac:dyDescent="0.3">
      <c r="A151" t="s">
        <v>100</v>
      </c>
      <c r="C151" t="s">
        <v>42</v>
      </c>
      <c r="D151" t="s">
        <v>43</v>
      </c>
      <c r="E151" t="s">
        <v>37</v>
      </c>
      <c r="F151" t="s">
        <v>30</v>
      </c>
      <c r="G151" t="s">
        <v>51</v>
      </c>
      <c r="H151">
        <v>5</v>
      </c>
      <c r="I151" t="s">
        <v>59</v>
      </c>
      <c r="J151" t="s">
        <v>63</v>
      </c>
      <c r="K151" t="s">
        <v>56</v>
      </c>
      <c r="L151" t="s">
        <v>25</v>
      </c>
      <c r="M151" t="s">
        <v>23</v>
      </c>
      <c r="N151" t="s">
        <v>24</v>
      </c>
      <c r="O151" t="s">
        <v>25</v>
      </c>
    </row>
    <row r="152" spans="1:15" x14ac:dyDescent="0.3">
      <c r="A152" t="s">
        <v>55</v>
      </c>
      <c r="C152" t="s">
        <v>15</v>
      </c>
      <c r="D152" t="s">
        <v>83</v>
      </c>
      <c r="E152" t="s">
        <v>17</v>
      </c>
      <c r="F152" t="s">
        <v>15</v>
      </c>
      <c r="G152" t="s">
        <v>44</v>
      </c>
      <c r="H152">
        <v>5</v>
      </c>
      <c r="I152" t="s">
        <v>45</v>
      </c>
      <c r="J152" t="s">
        <v>46</v>
      </c>
      <c r="K152" t="s">
        <v>197</v>
      </c>
      <c r="L152" t="s">
        <v>21</v>
      </c>
      <c r="M152" t="s">
        <v>34</v>
      </c>
      <c r="N152" t="s">
        <v>24</v>
      </c>
      <c r="O152" t="s">
        <v>25</v>
      </c>
    </row>
    <row r="153" spans="1:15" x14ac:dyDescent="0.3">
      <c r="A153" t="s">
        <v>61</v>
      </c>
      <c r="C153" t="s">
        <v>15</v>
      </c>
      <c r="D153" t="s">
        <v>43</v>
      </c>
      <c r="E153" t="s">
        <v>50</v>
      </c>
      <c r="F153" t="s">
        <v>49</v>
      </c>
      <c r="G153" t="s">
        <v>51</v>
      </c>
      <c r="H153">
        <v>4</v>
      </c>
      <c r="I153" t="s">
        <v>45</v>
      </c>
      <c r="J153" t="s">
        <v>63</v>
      </c>
      <c r="K153" t="s">
        <v>67</v>
      </c>
      <c r="L153" t="s">
        <v>21</v>
      </c>
      <c r="M153" t="s">
        <v>23</v>
      </c>
      <c r="N153" t="s">
        <v>24</v>
      </c>
      <c r="O153" t="s">
        <v>48</v>
      </c>
    </row>
    <row r="154" spans="1:15" x14ac:dyDescent="0.3">
      <c r="A154" t="s">
        <v>162</v>
      </c>
      <c r="C154" t="s">
        <v>15</v>
      </c>
      <c r="D154" t="s">
        <v>43</v>
      </c>
      <c r="E154" t="s">
        <v>37</v>
      </c>
      <c r="F154" t="s">
        <v>15</v>
      </c>
      <c r="G154" t="s">
        <v>51</v>
      </c>
      <c r="H154">
        <v>2</v>
      </c>
      <c r="I154" t="s">
        <v>45</v>
      </c>
      <c r="J154" t="s">
        <v>46</v>
      </c>
      <c r="K154" t="s">
        <v>67</v>
      </c>
      <c r="L154" t="s">
        <v>25</v>
      </c>
      <c r="M154" t="s">
        <v>34</v>
      </c>
      <c r="N154" t="s">
        <v>24</v>
      </c>
      <c r="O154" t="s">
        <v>25</v>
      </c>
    </row>
    <row r="155" spans="1:15" x14ac:dyDescent="0.3">
      <c r="A155" t="s">
        <v>100</v>
      </c>
      <c r="C155" t="s">
        <v>49</v>
      </c>
      <c r="D155" t="s">
        <v>43</v>
      </c>
      <c r="E155" t="s">
        <v>50</v>
      </c>
      <c r="F155" t="s">
        <v>30</v>
      </c>
      <c r="G155" t="s">
        <v>51</v>
      </c>
      <c r="H155">
        <v>1</v>
      </c>
      <c r="I155" t="s">
        <v>45</v>
      </c>
      <c r="J155" t="s">
        <v>52</v>
      </c>
      <c r="K155" t="s">
        <v>47</v>
      </c>
      <c r="L155" t="s">
        <v>25</v>
      </c>
      <c r="M155" t="s">
        <v>23</v>
      </c>
      <c r="N155" t="s">
        <v>54</v>
      </c>
      <c r="O155" t="s">
        <v>25</v>
      </c>
    </row>
    <row r="156" spans="1:15" x14ac:dyDescent="0.3">
      <c r="A156" t="s">
        <v>55</v>
      </c>
      <c r="C156" t="s">
        <v>27</v>
      </c>
      <c r="D156" t="s">
        <v>43</v>
      </c>
      <c r="E156" t="s">
        <v>29</v>
      </c>
      <c r="F156" t="s">
        <v>102</v>
      </c>
      <c r="G156" t="s">
        <v>58</v>
      </c>
      <c r="H156">
        <v>4</v>
      </c>
      <c r="I156" t="s">
        <v>45</v>
      </c>
      <c r="J156" t="s">
        <v>63</v>
      </c>
      <c r="K156" t="s">
        <v>198</v>
      </c>
      <c r="L156" t="s">
        <v>21</v>
      </c>
      <c r="M156" t="s">
        <v>34</v>
      </c>
      <c r="N156" t="s">
        <v>24</v>
      </c>
      <c r="O156" t="s">
        <v>82</v>
      </c>
    </row>
    <row r="157" spans="1:15" x14ac:dyDescent="0.3">
      <c r="A157" t="s">
        <v>41</v>
      </c>
      <c r="C157" t="s">
        <v>49</v>
      </c>
      <c r="D157" t="s">
        <v>83</v>
      </c>
      <c r="E157" t="s">
        <v>50</v>
      </c>
      <c r="F157" t="s">
        <v>102</v>
      </c>
      <c r="G157" t="s">
        <v>51</v>
      </c>
      <c r="H157">
        <v>4</v>
      </c>
      <c r="I157" t="s">
        <v>45</v>
      </c>
      <c r="J157" t="s">
        <v>52</v>
      </c>
      <c r="K157" t="s">
        <v>39</v>
      </c>
      <c r="L157" t="s">
        <v>21</v>
      </c>
      <c r="M157" t="s">
        <v>34</v>
      </c>
      <c r="N157" t="s">
        <v>113</v>
      </c>
      <c r="O157" t="s">
        <v>25</v>
      </c>
    </row>
    <row r="158" spans="1:15" x14ac:dyDescent="0.3">
      <c r="A158" t="s">
        <v>75</v>
      </c>
      <c r="C158" t="s">
        <v>27</v>
      </c>
      <c r="D158" t="s">
        <v>43</v>
      </c>
      <c r="E158" t="s">
        <v>69</v>
      </c>
      <c r="F158" t="s">
        <v>15</v>
      </c>
      <c r="G158" t="s">
        <v>70</v>
      </c>
      <c r="H158">
        <v>5</v>
      </c>
      <c r="I158" t="s">
        <v>45</v>
      </c>
      <c r="J158" t="s">
        <v>63</v>
      </c>
      <c r="K158" t="s">
        <v>109</v>
      </c>
      <c r="L158" t="s">
        <v>21</v>
      </c>
      <c r="M158" t="s">
        <v>34</v>
      </c>
      <c r="N158" t="s">
        <v>24</v>
      </c>
      <c r="O158" t="s">
        <v>25</v>
      </c>
    </row>
    <row r="159" spans="1:15" x14ac:dyDescent="0.3">
      <c r="A159" t="s">
        <v>41</v>
      </c>
      <c r="C159" t="s">
        <v>15</v>
      </c>
      <c r="D159" t="s">
        <v>83</v>
      </c>
      <c r="E159" t="s">
        <v>50</v>
      </c>
      <c r="F159" t="s">
        <v>15</v>
      </c>
      <c r="G159" t="s">
        <v>44</v>
      </c>
      <c r="H159">
        <v>3</v>
      </c>
      <c r="I159" t="s">
        <v>45</v>
      </c>
      <c r="J159" t="s">
        <v>46</v>
      </c>
      <c r="K159" t="s">
        <v>56</v>
      </c>
      <c r="L159" t="s">
        <v>25</v>
      </c>
      <c r="M159" t="s">
        <v>34</v>
      </c>
      <c r="N159" t="s">
        <v>24</v>
      </c>
      <c r="O159" t="s">
        <v>48</v>
      </c>
    </row>
    <row r="160" spans="1:15" x14ac:dyDescent="0.3">
      <c r="A160" t="s">
        <v>68</v>
      </c>
      <c r="C160" t="s">
        <v>27</v>
      </c>
      <c r="D160" t="s">
        <v>43</v>
      </c>
      <c r="E160" t="s">
        <v>69</v>
      </c>
      <c r="F160" t="s">
        <v>30</v>
      </c>
      <c r="G160" t="s">
        <v>51</v>
      </c>
      <c r="H160">
        <v>5</v>
      </c>
      <c r="I160" t="s">
        <v>45</v>
      </c>
      <c r="J160" t="s">
        <v>63</v>
      </c>
      <c r="K160" t="s">
        <v>199</v>
      </c>
      <c r="L160" t="s">
        <v>21</v>
      </c>
      <c r="M160" t="s">
        <v>23</v>
      </c>
      <c r="N160" t="s">
        <v>113</v>
      </c>
      <c r="O160" t="s">
        <v>48</v>
      </c>
    </row>
    <row r="161" spans="1:15" x14ac:dyDescent="0.3">
      <c r="A161" t="s">
        <v>68</v>
      </c>
      <c r="C161" t="s">
        <v>49</v>
      </c>
      <c r="D161" t="s">
        <v>43</v>
      </c>
      <c r="E161" t="s">
        <v>69</v>
      </c>
      <c r="F161" t="s">
        <v>30</v>
      </c>
      <c r="G161" t="s">
        <v>51</v>
      </c>
      <c r="H161">
        <v>3</v>
      </c>
      <c r="I161" t="s">
        <v>45</v>
      </c>
      <c r="J161" t="s">
        <v>52</v>
      </c>
      <c r="K161" t="s">
        <v>185</v>
      </c>
      <c r="L161" t="s">
        <v>25</v>
      </c>
      <c r="M161" t="s">
        <v>34</v>
      </c>
      <c r="N161" t="s">
        <v>24</v>
      </c>
      <c r="O161" t="s">
        <v>25</v>
      </c>
    </row>
    <row r="162" spans="1:15" x14ac:dyDescent="0.3">
      <c r="A162" t="s">
        <v>61</v>
      </c>
      <c r="C162" t="s">
        <v>49</v>
      </c>
      <c r="D162" t="s">
        <v>200</v>
      </c>
      <c r="E162" t="s">
        <v>50</v>
      </c>
      <c r="F162" t="s">
        <v>49</v>
      </c>
      <c r="G162" t="s">
        <v>51</v>
      </c>
      <c r="H162">
        <v>5</v>
      </c>
      <c r="I162" t="s">
        <v>45</v>
      </c>
      <c r="J162" t="s">
        <v>63</v>
      </c>
      <c r="K162" t="s">
        <v>201</v>
      </c>
      <c r="L162" t="s">
        <v>21</v>
      </c>
      <c r="M162" t="s">
        <v>34</v>
      </c>
      <c r="N162" t="s">
        <v>24</v>
      </c>
      <c r="O162" t="s">
        <v>25</v>
      </c>
    </row>
    <row r="163" spans="1:15" x14ac:dyDescent="0.3">
      <c r="A163" t="s">
        <v>100</v>
      </c>
      <c r="C163" t="s">
        <v>15</v>
      </c>
      <c r="D163" t="s">
        <v>83</v>
      </c>
      <c r="E163" t="s">
        <v>37</v>
      </c>
      <c r="F163" t="s">
        <v>30</v>
      </c>
      <c r="G163" t="s">
        <v>51</v>
      </c>
      <c r="H163">
        <v>4</v>
      </c>
      <c r="I163" t="s">
        <v>45</v>
      </c>
      <c r="J163" t="s">
        <v>52</v>
      </c>
      <c r="K163" t="s">
        <v>202</v>
      </c>
      <c r="L163" t="s">
        <v>21</v>
      </c>
      <c r="M163" t="s">
        <v>34</v>
      </c>
      <c r="N163" t="s">
        <v>24</v>
      </c>
      <c r="O163" t="s">
        <v>21</v>
      </c>
    </row>
    <row r="164" spans="1:15" x14ac:dyDescent="0.3">
      <c r="A164" t="s">
        <v>97</v>
      </c>
      <c r="C164" t="s">
        <v>49</v>
      </c>
      <c r="D164" t="s">
        <v>43</v>
      </c>
      <c r="E164" t="s">
        <v>37</v>
      </c>
      <c r="F164" t="s">
        <v>30</v>
      </c>
      <c r="G164" t="s">
        <v>58</v>
      </c>
      <c r="H164">
        <v>4</v>
      </c>
      <c r="I164" t="s">
        <v>45</v>
      </c>
      <c r="J164" t="s">
        <v>63</v>
      </c>
      <c r="K164" t="s">
        <v>179</v>
      </c>
      <c r="L164" t="s">
        <v>21</v>
      </c>
      <c r="M164" t="s">
        <v>40</v>
      </c>
      <c r="N164" t="s">
        <v>24</v>
      </c>
      <c r="O164" t="s">
        <v>48</v>
      </c>
    </row>
    <row r="165" spans="1:15" x14ac:dyDescent="0.3">
      <c r="A165" t="s">
        <v>14</v>
      </c>
      <c r="C165" t="s">
        <v>15</v>
      </c>
      <c r="D165" t="s">
        <v>43</v>
      </c>
      <c r="E165" t="s">
        <v>69</v>
      </c>
      <c r="F165" t="s">
        <v>49</v>
      </c>
      <c r="G165" t="s">
        <v>44</v>
      </c>
      <c r="H165">
        <v>3</v>
      </c>
      <c r="I165" t="s">
        <v>45</v>
      </c>
      <c r="J165" t="s">
        <v>52</v>
      </c>
      <c r="K165" t="s">
        <v>203</v>
      </c>
      <c r="L165" t="s">
        <v>25</v>
      </c>
      <c r="M165" t="s">
        <v>23</v>
      </c>
      <c r="N165" t="s">
        <v>24</v>
      </c>
      <c r="O165" t="s">
        <v>25</v>
      </c>
    </row>
    <row r="166" spans="1:15" x14ac:dyDescent="0.3">
      <c r="A166" t="s">
        <v>68</v>
      </c>
      <c r="C166" t="s">
        <v>15</v>
      </c>
      <c r="D166" t="s">
        <v>43</v>
      </c>
      <c r="E166" t="s">
        <v>50</v>
      </c>
      <c r="F166" t="s">
        <v>49</v>
      </c>
      <c r="G166" t="s">
        <v>58</v>
      </c>
      <c r="H166">
        <v>5</v>
      </c>
      <c r="I166" t="s">
        <v>45</v>
      </c>
      <c r="J166" t="s">
        <v>63</v>
      </c>
      <c r="K166" t="s">
        <v>60</v>
      </c>
      <c r="L166" t="s">
        <v>21</v>
      </c>
      <c r="M166" t="s">
        <v>34</v>
      </c>
      <c r="N166" t="s">
        <v>24</v>
      </c>
      <c r="O166" t="s">
        <v>82</v>
      </c>
    </row>
    <row r="167" spans="1:15" x14ac:dyDescent="0.3">
      <c r="A167" t="s">
        <v>100</v>
      </c>
      <c r="C167" t="s">
        <v>15</v>
      </c>
      <c r="D167" t="s">
        <v>43</v>
      </c>
      <c r="E167" t="s">
        <v>29</v>
      </c>
      <c r="F167" t="s">
        <v>15</v>
      </c>
      <c r="G167" t="s">
        <v>70</v>
      </c>
      <c r="H167">
        <v>5</v>
      </c>
      <c r="I167" t="s">
        <v>45</v>
      </c>
      <c r="J167" t="s">
        <v>46</v>
      </c>
      <c r="K167" t="s">
        <v>204</v>
      </c>
      <c r="L167" t="s">
        <v>21</v>
      </c>
      <c r="M167" t="s">
        <v>23</v>
      </c>
      <c r="N167" t="s">
        <v>24</v>
      </c>
      <c r="O167" t="s">
        <v>21</v>
      </c>
    </row>
    <row r="168" spans="1:15" x14ac:dyDescent="0.3">
      <c r="A168" t="s">
        <v>66</v>
      </c>
      <c r="C168" t="s">
        <v>49</v>
      </c>
      <c r="D168" t="s">
        <v>43</v>
      </c>
      <c r="E168" t="s">
        <v>37</v>
      </c>
      <c r="F168" t="s">
        <v>15</v>
      </c>
      <c r="G168" t="s">
        <v>51</v>
      </c>
      <c r="H168">
        <v>5</v>
      </c>
      <c r="I168" t="s">
        <v>45</v>
      </c>
      <c r="J168" t="s">
        <v>63</v>
      </c>
      <c r="K168" t="s">
        <v>205</v>
      </c>
      <c r="L168" t="s">
        <v>25</v>
      </c>
      <c r="M168" t="s">
        <v>34</v>
      </c>
      <c r="N168" t="s">
        <v>24</v>
      </c>
      <c r="O168" t="s">
        <v>21</v>
      </c>
    </row>
    <row r="169" spans="1:15" x14ac:dyDescent="0.3">
      <c r="A169" t="s">
        <v>26</v>
      </c>
      <c r="C169" t="s">
        <v>27</v>
      </c>
      <c r="D169" t="s">
        <v>43</v>
      </c>
      <c r="E169" t="s">
        <v>50</v>
      </c>
      <c r="F169" t="s">
        <v>49</v>
      </c>
      <c r="G169" t="s">
        <v>58</v>
      </c>
      <c r="H169">
        <v>4</v>
      </c>
      <c r="I169" t="s">
        <v>45</v>
      </c>
      <c r="J169" t="s">
        <v>46</v>
      </c>
      <c r="K169" t="s">
        <v>47</v>
      </c>
      <c r="L169" t="s">
        <v>21</v>
      </c>
      <c r="M169" t="s">
        <v>23</v>
      </c>
      <c r="N169" t="s">
        <v>24</v>
      </c>
      <c r="O169" t="s">
        <v>25</v>
      </c>
    </row>
    <row r="170" spans="1:15" x14ac:dyDescent="0.3">
      <c r="A170" t="s">
        <v>68</v>
      </c>
      <c r="C170" t="s">
        <v>15</v>
      </c>
      <c r="D170" t="s">
        <v>43</v>
      </c>
      <c r="E170" t="s">
        <v>29</v>
      </c>
      <c r="F170" t="s">
        <v>18</v>
      </c>
      <c r="G170" t="s">
        <v>58</v>
      </c>
      <c r="H170">
        <v>5</v>
      </c>
      <c r="I170" t="s">
        <v>45</v>
      </c>
      <c r="J170" t="s">
        <v>46</v>
      </c>
      <c r="K170" t="s">
        <v>206</v>
      </c>
      <c r="L170" t="s">
        <v>21</v>
      </c>
      <c r="M170" t="s">
        <v>40</v>
      </c>
      <c r="N170" t="s">
        <v>24</v>
      </c>
      <c r="O170" t="s">
        <v>48</v>
      </c>
    </row>
    <row r="171" spans="1:15" x14ac:dyDescent="0.3">
      <c r="A171" t="s">
        <v>100</v>
      </c>
      <c r="C171" t="s">
        <v>49</v>
      </c>
      <c r="D171" t="s">
        <v>43</v>
      </c>
      <c r="E171" t="s">
        <v>29</v>
      </c>
      <c r="F171" t="s">
        <v>30</v>
      </c>
      <c r="G171" t="s">
        <v>58</v>
      </c>
      <c r="H171">
        <v>5</v>
      </c>
      <c r="I171" t="s">
        <v>45</v>
      </c>
      <c r="J171" t="s">
        <v>46</v>
      </c>
      <c r="K171" t="s">
        <v>64</v>
      </c>
      <c r="L171" t="s">
        <v>21</v>
      </c>
      <c r="M171" t="s">
        <v>23</v>
      </c>
      <c r="N171" t="s">
        <v>24</v>
      </c>
      <c r="O171" t="s">
        <v>48</v>
      </c>
    </row>
    <row r="172" spans="1:15" x14ac:dyDescent="0.3">
      <c r="A172" t="s">
        <v>97</v>
      </c>
      <c r="C172" t="s">
        <v>49</v>
      </c>
      <c r="D172" t="s">
        <v>207</v>
      </c>
      <c r="E172" t="s">
        <v>50</v>
      </c>
      <c r="F172" t="s">
        <v>49</v>
      </c>
      <c r="G172" t="s">
        <v>70</v>
      </c>
      <c r="H172">
        <v>3</v>
      </c>
      <c r="I172" t="s">
        <v>45</v>
      </c>
      <c r="J172" t="s">
        <v>63</v>
      </c>
      <c r="K172" t="s">
        <v>56</v>
      </c>
      <c r="L172" t="s">
        <v>21</v>
      </c>
      <c r="M172" t="s">
        <v>40</v>
      </c>
      <c r="N172" t="s">
        <v>24</v>
      </c>
      <c r="O172" t="s">
        <v>25</v>
      </c>
    </row>
    <row r="173" spans="1:15" x14ac:dyDescent="0.3">
      <c r="A173" t="s">
        <v>97</v>
      </c>
      <c r="C173" t="s">
        <v>27</v>
      </c>
      <c r="D173" t="s">
        <v>144</v>
      </c>
      <c r="E173" t="s">
        <v>17</v>
      </c>
      <c r="F173" t="s">
        <v>15</v>
      </c>
      <c r="G173" t="s">
        <v>44</v>
      </c>
      <c r="H173">
        <v>4</v>
      </c>
      <c r="I173" t="s">
        <v>45</v>
      </c>
      <c r="J173" t="s">
        <v>52</v>
      </c>
      <c r="K173" t="s">
        <v>208</v>
      </c>
      <c r="L173" t="s">
        <v>25</v>
      </c>
      <c r="M173" t="s">
        <v>40</v>
      </c>
      <c r="N173" t="s">
        <v>24</v>
      </c>
      <c r="O173" t="s">
        <v>48</v>
      </c>
    </row>
    <row r="174" spans="1:15" x14ac:dyDescent="0.3">
      <c r="A174" t="s">
        <v>66</v>
      </c>
      <c r="C174" t="s">
        <v>27</v>
      </c>
      <c r="D174" t="s">
        <v>43</v>
      </c>
      <c r="E174" t="s">
        <v>50</v>
      </c>
      <c r="F174" t="s">
        <v>30</v>
      </c>
      <c r="G174" t="s">
        <v>58</v>
      </c>
      <c r="H174">
        <v>4</v>
      </c>
      <c r="I174" t="s">
        <v>45</v>
      </c>
      <c r="J174" t="s">
        <v>63</v>
      </c>
      <c r="K174" t="s">
        <v>209</v>
      </c>
      <c r="L174" t="s">
        <v>25</v>
      </c>
      <c r="M174" t="s">
        <v>34</v>
      </c>
      <c r="N174" t="s">
        <v>24</v>
      </c>
      <c r="O174" t="s">
        <v>82</v>
      </c>
    </row>
    <row r="175" spans="1:15" x14ac:dyDescent="0.3">
      <c r="A175" t="s">
        <v>97</v>
      </c>
      <c r="C175" t="s">
        <v>15</v>
      </c>
      <c r="D175" t="s">
        <v>16</v>
      </c>
      <c r="E175" t="s">
        <v>50</v>
      </c>
      <c r="F175" t="s">
        <v>30</v>
      </c>
      <c r="G175" t="s">
        <v>51</v>
      </c>
      <c r="H175">
        <v>5</v>
      </c>
      <c r="I175" t="s">
        <v>45</v>
      </c>
      <c r="J175" t="s">
        <v>52</v>
      </c>
      <c r="K175" t="s">
        <v>190</v>
      </c>
      <c r="L175" t="s">
        <v>25</v>
      </c>
      <c r="M175" t="s">
        <v>34</v>
      </c>
      <c r="N175" t="s">
        <v>24</v>
      </c>
      <c r="O175" t="s">
        <v>25</v>
      </c>
    </row>
    <row r="176" spans="1:15" x14ac:dyDescent="0.3">
      <c r="A176" t="s">
        <v>68</v>
      </c>
      <c r="C176" t="s">
        <v>15</v>
      </c>
      <c r="D176" t="s">
        <v>16</v>
      </c>
      <c r="E176" t="s">
        <v>37</v>
      </c>
      <c r="F176" t="s">
        <v>15</v>
      </c>
      <c r="G176" t="s">
        <v>51</v>
      </c>
      <c r="H176">
        <v>2</v>
      </c>
      <c r="I176" t="s">
        <v>45</v>
      </c>
      <c r="J176" t="s">
        <v>52</v>
      </c>
      <c r="K176" t="s">
        <v>99</v>
      </c>
      <c r="L176" t="s">
        <v>25</v>
      </c>
      <c r="M176" t="s">
        <v>34</v>
      </c>
      <c r="N176" t="s">
        <v>113</v>
      </c>
      <c r="O176" t="s">
        <v>25</v>
      </c>
    </row>
    <row r="177" spans="1:15" x14ac:dyDescent="0.3">
      <c r="A177" t="s">
        <v>55</v>
      </c>
      <c r="C177" t="s">
        <v>49</v>
      </c>
      <c r="D177" t="s">
        <v>43</v>
      </c>
      <c r="E177" t="s">
        <v>69</v>
      </c>
      <c r="F177" t="s">
        <v>49</v>
      </c>
      <c r="G177" t="s">
        <v>51</v>
      </c>
      <c r="H177">
        <v>5</v>
      </c>
      <c r="I177" t="s">
        <v>59</v>
      </c>
      <c r="J177" t="s">
        <v>52</v>
      </c>
      <c r="K177" t="s">
        <v>182</v>
      </c>
      <c r="L177" t="s">
        <v>21</v>
      </c>
      <c r="M177" t="s">
        <v>34</v>
      </c>
      <c r="N177" t="s">
        <v>24</v>
      </c>
      <c r="O177" t="s">
        <v>82</v>
      </c>
    </row>
    <row r="178" spans="1:15" x14ac:dyDescent="0.3">
      <c r="A178" t="s">
        <v>68</v>
      </c>
      <c r="C178" t="s">
        <v>49</v>
      </c>
      <c r="D178" t="s">
        <v>43</v>
      </c>
      <c r="E178" t="s">
        <v>50</v>
      </c>
      <c r="F178" t="s">
        <v>102</v>
      </c>
      <c r="G178" t="s">
        <v>58</v>
      </c>
      <c r="H178">
        <v>2</v>
      </c>
      <c r="I178" t="s">
        <v>45</v>
      </c>
      <c r="J178" t="s">
        <v>46</v>
      </c>
      <c r="K178" t="s">
        <v>60</v>
      </c>
      <c r="L178" t="s">
        <v>21</v>
      </c>
      <c r="M178" t="s">
        <v>23</v>
      </c>
      <c r="N178" t="s">
        <v>24</v>
      </c>
      <c r="O178" t="s">
        <v>25</v>
      </c>
    </row>
    <row r="179" spans="1:15" x14ac:dyDescent="0.3">
      <c r="A179" t="s">
        <v>68</v>
      </c>
      <c r="C179" t="s">
        <v>15</v>
      </c>
      <c r="D179" t="s">
        <v>83</v>
      </c>
      <c r="E179" t="s">
        <v>50</v>
      </c>
      <c r="F179" t="s">
        <v>49</v>
      </c>
      <c r="G179" t="s">
        <v>44</v>
      </c>
      <c r="H179">
        <v>5</v>
      </c>
      <c r="I179" t="s">
        <v>72</v>
      </c>
      <c r="J179" t="s">
        <v>63</v>
      </c>
      <c r="K179" t="s">
        <v>210</v>
      </c>
      <c r="L179" t="s">
        <v>21</v>
      </c>
      <c r="M179" t="s">
        <v>23</v>
      </c>
      <c r="N179" t="s">
        <v>54</v>
      </c>
      <c r="O179" t="s">
        <v>25</v>
      </c>
    </row>
    <row r="180" spans="1:15" x14ac:dyDescent="0.3">
      <c r="A180" t="s">
        <v>55</v>
      </c>
      <c r="C180" t="s">
        <v>49</v>
      </c>
      <c r="D180" t="s">
        <v>43</v>
      </c>
      <c r="E180" t="s">
        <v>50</v>
      </c>
      <c r="F180" t="s">
        <v>49</v>
      </c>
      <c r="G180" t="s">
        <v>51</v>
      </c>
      <c r="H180">
        <v>5</v>
      </c>
      <c r="I180" t="s">
        <v>45</v>
      </c>
      <c r="J180" t="s">
        <v>52</v>
      </c>
      <c r="K180" t="s">
        <v>211</v>
      </c>
      <c r="L180" t="s">
        <v>21</v>
      </c>
      <c r="M180" t="s">
        <v>34</v>
      </c>
      <c r="N180" t="s">
        <v>24</v>
      </c>
      <c r="O180" t="s">
        <v>25</v>
      </c>
    </row>
    <row r="181" spans="1:15" x14ac:dyDescent="0.3">
      <c r="A181" t="s">
        <v>66</v>
      </c>
      <c r="C181" t="s">
        <v>49</v>
      </c>
      <c r="D181" t="s">
        <v>49</v>
      </c>
      <c r="E181" t="s">
        <v>50</v>
      </c>
      <c r="F181" t="s">
        <v>49</v>
      </c>
      <c r="G181" t="s">
        <v>44</v>
      </c>
      <c r="H181">
        <v>5</v>
      </c>
      <c r="I181" t="s">
        <v>45</v>
      </c>
      <c r="J181" t="s">
        <v>52</v>
      </c>
      <c r="K181" t="s">
        <v>139</v>
      </c>
      <c r="L181" t="s">
        <v>21</v>
      </c>
      <c r="M181" t="s">
        <v>34</v>
      </c>
      <c r="N181" t="s">
        <v>24</v>
      </c>
      <c r="O181" t="s">
        <v>25</v>
      </c>
    </row>
    <row r="182" spans="1:15" x14ac:dyDescent="0.3">
      <c r="A182" t="s">
        <v>61</v>
      </c>
      <c r="C182" t="s">
        <v>49</v>
      </c>
      <c r="D182" t="s">
        <v>212</v>
      </c>
      <c r="E182" t="s">
        <v>50</v>
      </c>
      <c r="F182" t="s">
        <v>30</v>
      </c>
      <c r="G182" t="s">
        <v>51</v>
      </c>
      <c r="H182">
        <v>5</v>
      </c>
      <c r="I182" t="s">
        <v>45</v>
      </c>
      <c r="J182" t="s">
        <v>46</v>
      </c>
      <c r="K182" t="s">
        <v>213</v>
      </c>
      <c r="L182" t="s">
        <v>21</v>
      </c>
      <c r="M182" t="s">
        <v>34</v>
      </c>
      <c r="N182" t="s">
        <v>113</v>
      </c>
      <c r="O182" t="s">
        <v>25</v>
      </c>
    </row>
    <row r="183" spans="1:15" x14ac:dyDescent="0.3">
      <c r="A183" t="s">
        <v>68</v>
      </c>
      <c r="C183" t="s">
        <v>49</v>
      </c>
      <c r="D183" t="s">
        <v>43</v>
      </c>
      <c r="E183" t="s">
        <v>50</v>
      </c>
      <c r="F183" t="s">
        <v>49</v>
      </c>
      <c r="G183" t="s">
        <v>58</v>
      </c>
      <c r="H183">
        <v>3</v>
      </c>
      <c r="I183" t="s">
        <v>45</v>
      </c>
      <c r="J183" t="s">
        <v>52</v>
      </c>
      <c r="K183" t="s">
        <v>101</v>
      </c>
      <c r="L183" t="s">
        <v>21</v>
      </c>
      <c r="M183" t="s">
        <v>34</v>
      </c>
      <c r="N183" t="s">
        <v>24</v>
      </c>
      <c r="O183" t="s">
        <v>48</v>
      </c>
    </row>
    <row r="184" spans="1:15" x14ac:dyDescent="0.3">
      <c r="A184" t="s">
        <v>162</v>
      </c>
      <c r="C184" t="s">
        <v>27</v>
      </c>
      <c r="D184" t="s">
        <v>83</v>
      </c>
      <c r="E184" t="s">
        <v>29</v>
      </c>
      <c r="F184" t="s">
        <v>30</v>
      </c>
      <c r="G184" t="s">
        <v>51</v>
      </c>
      <c r="H184">
        <v>5</v>
      </c>
      <c r="I184" t="s">
        <v>45</v>
      </c>
      <c r="J184" t="s">
        <v>52</v>
      </c>
      <c r="K184" t="s">
        <v>139</v>
      </c>
      <c r="L184" t="s">
        <v>21</v>
      </c>
      <c r="M184" t="s">
        <v>40</v>
      </c>
      <c r="N184" t="s">
        <v>88</v>
      </c>
      <c r="O184" t="s">
        <v>48</v>
      </c>
    </row>
    <row r="185" spans="1:15" x14ac:dyDescent="0.3">
      <c r="A185" t="s">
        <v>61</v>
      </c>
      <c r="C185" t="s">
        <v>49</v>
      </c>
      <c r="D185" t="s">
        <v>43</v>
      </c>
      <c r="E185" t="s">
        <v>50</v>
      </c>
      <c r="F185" t="s">
        <v>49</v>
      </c>
      <c r="G185" t="s">
        <v>44</v>
      </c>
      <c r="H185">
        <v>4</v>
      </c>
      <c r="I185" t="s">
        <v>45</v>
      </c>
      <c r="J185" t="s">
        <v>63</v>
      </c>
      <c r="K185" t="s">
        <v>214</v>
      </c>
      <c r="L185" t="s">
        <v>21</v>
      </c>
      <c r="M185" t="s">
        <v>40</v>
      </c>
      <c r="N185" t="s">
        <v>24</v>
      </c>
      <c r="O185" t="s">
        <v>25</v>
      </c>
    </row>
    <row r="186" spans="1:15" x14ac:dyDescent="0.3">
      <c r="A186" t="s">
        <v>55</v>
      </c>
      <c r="C186" t="s">
        <v>49</v>
      </c>
      <c r="D186" t="s">
        <v>43</v>
      </c>
      <c r="E186" t="s">
        <v>17</v>
      </c>
      <c r="F186" t="s">
        <v>49</v>
      </c>
      <c r="G186" t="s">
        <v>51</v>
      </c>
      <c r="H186">
        <v>4</v>
      </c>
      <c r="I186" t="s">
        <v>45</v>
      </c>
      <c r="J186" t="s">
        <v>63</v>
      </c>
      <c r="K186" t="s">
        <v>109</v>
      </c>
      <c r="L186" t="s">
        <v>21</v>
      </c>
      <c r="M186" t="s">
        <v>40</v>
      </c>
      <c r="N186" t="s">
        <v>54</v>
      </c>
      <c r="O186" t="s">
        <v>25</v>
      </c>
    </row>
    <row r="187" spans="1:15" x14ac:dyDescent="0.3">
      <c r="A187" t="s">
        <v>68</v>
      </c>
      <c r="C187" t="s">
        <v>49</v>
      </c>
      <c r="D187" t="s">
        <v>215</v>
      </c>
      <c r="E187" t="s">
        <v>50</v>
      </c>
      <c r="F187" t="s">
        <v>49</v>
      </c>
      <c r="G187" t="s">
        <v>51</v>
      </c>
      <c r="H187">
        <v>5</v>
      </c>
      <c r="I187" t="s">
        <v>45</v>
      </c>
      <c r="J187" t="s">
        <v>52</v>
      </c>
      <c r="K187" t="s">
        <v>216</v>
      </c>
      <c r="L187" t="s">
        <v>21</v>
      </c>
      <c r="M187" t="s">
        <v>34</v>
      </c>
      <c r="N187" t="s">
        <v>113</v>
      </c>
      <c r="O187" t="s">
        <v>21</v>
      </c>
    </row>
    <row r="188" spans="1:15" x14ac:dyDescent="0.3">
      <c r="A188" t="s">
        <v>55</v>
      </c>
      <c r="C188" t="s">
        <v>15</v>
      </c>
      <c r="D188" t="s">
        <v>43</v>
      </c>
      <c r="E188" t="s">
        <v>17</v>
      </c>
      <c r="F188" t="s">
        <v>30</v>
      </c>
      <c r="G188" t="s">
        <v>44</v>
      </c>
      <c r="H188">
        <v>3</v>
      </c>
      <c r="I188" t="s">
        <v>45</v>
      </c>
      <c r="J188" t="s">
        <v>46</v>
      </c>
      <c r="K188" t="s">
        <v>217</v>
      </c>
      <c r="L188" t="s">
        <v>21</v>
      </c>
      <c r="M188" t="s">
        <v>34</v>
      </c>
      <c r="N188" t="s">
        <v>24</v>
      </c>
      <c r="O188" t="s">
        <v>21</v>
      </c>
    </row>
    <row r="189" spans="1:15" x14ac:dyDescent="0.3">
      <c r="A189" t="s">
        <v>100</v>
      </c>
      <c r="C189" t="s">
        <v>15</v>
      </c>
      <c r="D189" t="s">
        <v>83</v>
      </c>
      <c r="E189" t="s">
        <v>69</v>
      </c>
      <c r="F189" t="s">
        <v>15</v>
      </c>
      <c r="G189" t="s">
        <v>70</v>
      </c>
      <c r="H189">
        <v>3</v>
      </c>
      <c r="I189" t="s">
        <v>59</v>
      </c>
      <c r="J189" t="s">
        <v>63</v>
      </c>
      <c r="K189" t="s">
        <v>218</v>
      </c>
      <c r="L189" t="s">
        <v>25</v>
      </c>
      <c r="M189" t="s">
        <v>34</v>
      </c>
      <c r="N189" t="s">
        <v>24</v>
      </c>
      <c r="O189" t="s">
        <v>25</v>
      </c>
    </row>
    <row r="190" spans="1:15" x14ac:dyDescent="0.3">
      <c r="A190" t="s">
        <v>66</v>
      </c>
      <c r="C190" t="s">
        <v>15</v>
      </c>
      <c r="D190" t="s">
        <v>43</v>
      </c>
      <c r="E190" t="s">
        <v>69</v>
      </c>
      <c r="F190" t="s">
        <v>15</v>
      </c>
      <c r="G190" t="s">
        <v>51</v>
      </c>
      <c r="H190">
        <v>4</v>
      </c>
      <c r="I190" t="s">
        <v>45</v>
      </c>
      <c r="J190" t="s">
        <v>63</v>
      </c>
      <c r="K190" t="s">
        <v>219</v>
      </c>
      <c r="L190" t="s">
        <v>21</v>
      </c>
      <c r="M190" t="s">
        <v>23</v>
      </c>
      <c r="N190" t="s">
        <v>24</v>
      </c>
      <c r="O190" t="s">
        <v>48</v>
      </c>
    </row>
    <row r="191" spans="1:15" x14ac:dyDescent="0.3">
      <c r="A191" t="s">
        <v>55</v>
      </c>
      <c r="C191" t="s">
        <v>27</v>
      </c>
      <c r="D191" t="s">
        <v>220</v>
      </c>
      <c r="E191" t="s">
        <v>29</v>
      </c>
      <c r="F191" t="s">
        <v>49</v>
      </c>
      <c r="G191" t="s">
        <v>51</v>
      </c>
      <c r="H191">
        <v>3</v>
      </c>
      <c r="I191" t="s">
        <v>84</v>
      </c>
      <c r="J191" t="s">
        <v>63</v>
      </c>
      <c r="K191" t="s">
        <v>47</v>
      </c>
      <c r="L191" t="s">
        <v>25</v>
      </c>
      <c r="M191" t="s">
        <v>34</v>
      </c>
      <c r="N191" t="s">
        <v>136</v>
      </c>
      <c r="O191" t="s">
        <v>82</v>
      </c>
    </row>
    <row r="192" spans="1:15" x14ac:dyDescent="0.3">
      <c r="A192" t="s">
        <v>68</v>
      </c>
      <c r="C192" t="s">
        <v>27</v>
      </c>
      <c r="D192" t="s">
        <v>43</v>
      </c>
      <c r="E192" t="s">
        <v>69</v>
      </c>
      <c r="F192" t="s">
        <v>49</v>
      </c>
      <c r="G192" t="s">
        <v>51</v>
      </c>
      <c r="H192">
        <v>5</v>
      </c>
      <c r="I192" t="s">
        <v>45</v>
      </c>
      <c r="J192" t="s">
        <v>52</v>
      </c>
      <c r="K192" t="s">
        <v>96</v>
      </c>
      <c r="L192" t="s">
        <v>25</v>
      </c>
      <c r="M192" t="s">
        <v>34</v>
      </c>
      <c r="N192" t="s">
        <v>113</v>
      </c>
      <c r="O192" t="s">
        <v>48</v>
      </c>
    </row>
    <row r="193" spans="1:15" x14ac:dyDescent="0.3">
      <c r="A193" t="s">
        <v>66</v>
      </c>
      <c r="C193" t="s">
        <v>27</v>
      </c>
      <c r="D193" t="s">
        <v>43</v>
      </c>
      <c r="E193" t="s">
        <v>50</v>
      </c>
      <c r="F193" t="s">
        <v>49</v>
      </c>
      <c r="G193" t="s">
        <v>58</v>
      </c>
      <c r="H193">
        <v>4</v>
      </c>
      <c r="I193" t="s">
        <v>59</v>
      </c>
      <c r="J193" t="s">
        <v>46</v>
      </c>
      <c r="K193" t="s">
        <v>190</v>
      </c>
      <c r="L193" t="s">
        <v>21</v>
      </c>
      <c r="M193" t="s">
        <v>23</v>
      </c>
      <c r="N193" t="s">
        <v>24</v>
      </c>
      <c r="O193" t="s">
        <v>48</v>
      </c>
    </row>
    <row r="194" spans="1:15" x14ac:dyDescent="0.3">
      <c r="A194" t="s">
        <v>66</v>
      </c>
      <c r="C194" t="s">
        <v>15</v>
      </c>
      <c r="D194" t="s">
        <v>43</v>
      </c>
      <c r="E194" t="s">
        <v>29</v>
      </c>
      <c r="F194" t="s">
        <v>30</v>
      </c>
      <c r="G194" t="s">
        <v>44</v>
      </c>
      <c r="H194">
        <v>5</v>
      </c>
      <c r="I194" t="s">
        <v>45</v>
      </c>
      <c r="J194" t="s">
        <v>46</v>
      </c>
      <c r="K194" t="s">
        <v>74</v>
      </c>
      <c r="L194" t="s">
        <v>21</v>
      </c>
      <c r="M194" t="s">
        <v>40</v>
      </c>
      <c r="N194" t="s">
        <v>24</v>
      </c>
      <c r="O194" t="s">
        <v>48</v>
      </c>
    </row>
    <row r="195" spans="1:15" x14ac:dyDescent="0.3">
      <c r="A195" t="s">
        <v>68</v>
      </c>
      <c r="C195" t="s">
        <v>15</v>
      </c>
      <c r="D195" t="s">
        <v>43</v>
      </c>
      <c r="E195" t="s">
        <v>50</v>
      </c>
      <c r="F195" t="s">
        <v>49</v>
      </c>
      <c r="G195" t="s">
        <v>70</v>
      </c>
      <c r="H195">
        <v>5</v>
      </c>
      <c r="I195" t="s">
        <v>45</v>
      </c>
      <c r="J195" t="s">
        <v>52</v>
      </c>
      <c r="K195" t="s">
        <v>221</v>
      </c>
      <c r="L195" t="s">
        <v>21</v>
      </c>
      <c r="M195" t="s">
        <v>40</v>
      </c>
      <c r="N195" t="s">
        <v>24</v>
      </c>
      <c r="O195" t="s">
        <v>82</v>
      </c>
    </row>
    <row r="196" spans="1:15" x14ac:dyDescent="0.3">
      <c r="A196" t="s">
        <v>66</v>
      </c>
      <c r="C196" t="s">
        <v>15</v>
      </c>
      <c r="D196" t="s">
        <v>43</v>
      </c>
      <c r="E196" t="s">
        <v>37</v>
      </c>
      <c r="F196" t="s">
        <v>49</v>
      </c>
      <c r="G196" t="s">
        <v>44</v>
      </c>
      <c r="H196">
        <v>5</v>
      </c>
      <c r="I196" t="s">
        <v>45</v>
      </c>
      <c r="J196" t="s">
        <v>63</v>
      </c>
      <c r="K196" t="s">
        <v>222</v>
      </c>
      <c r="L196" t="s">
        <v>21</v>
      </c>
      <c r="M196" t="s">
        <v>34</v>
      </c>
      <c r="N196" t="s">
        <v>24</v>
      </c>
      <c r="O196" t="s">
        <v>82</v>
      </c>
    </row>
    <row r="197" spans="1:15" x14ac:dyDescent="0.3">
      <c r="A197" t="s">
        <v>41</v>
      </c>
      <c r="C197" t="s">
        <v>49</v>
      </c>
      <c r="D197" t="s">
        <v>223</v>
      </c>
      <c r="E197" t="s">
        <v>69</v>
      </c>
      <c r="F197" t="s">
        <v>49</v>
      </c>
      <c r="G197" t="s">
        <v>58</v>
      </c>
      <c r="H197">
        <v>2</v>
      </c>
      <c r="I197" t="s">
        <v>45</v>
      </c>
      <c r="J197" t="s">
        <v>46</v>
      </c>
      <c r="K197" t="s">
        <v>56</v>
      </c>
      <c r="L197" t="s">
        <v>21</v>
      </c>
      <c r="M197" t="s">
        <v>23</v>
      </c>
      <c r="N197" t="s">
        <v>24</v>
      </c>
      <c r="O197" t="s">
        <v>21</v>
      </c>
    </row>
    <row r="198" spans="1:15" x14ac:dyDescent="0.3">
      <c r="A198" t="s">
        <v>26</v>
      </c>
      <c r="C198" t="s">
        <v>42</v>
      </c>
      <c r="D198" t="s">
        <v>43</v>
      </c>
      <c r="E198" t="s">
        <v>17</v>
      </c>
      <c r="F198" t="s">
        <v>30</v>
      </c>
      <c r="G198" t="s">
        <v>44</v>
      </c>
      <c r="H198">
        <v>1</v>
      </c>
      <c r="I198" t="s">
        <v>45</v>
      </c>
      <c r="J198" t="s">
        <v>46</v>
      </c>
      <c r="K198" t="s">
        <v>224</v>
      </c>
      <c r="L198" t="s">
        <v>21</v>
      </c>
      <c r="M198" t="s">
        <v>23</v>
      </c>
      <c r="N198" t="s">
        <v>24</v>
      </c>
      <c r="O198" t="s">
        <v>21</v>
      </c>
    </row>
    <row r="199" spans="1:15" x14ac:dyDescent="0.3">
      <c r="A199" t="s">
        <v>121</v>
      </c>
      <c r="C199" t="s">
        <v>15</v>
      </c>
      <c r="D199" t="s">
        <v>43</v>
      </c>
      <c r="E199" t="s">
        <v>17</v>
      </c>
      <c r="F199" t="s">
        <v>15</v>
      </c>
      <c r="G199" t="s">
        <v>58</v>
      </c>
      <c r="H199">
        <v>5</v>
      </c>
      <c r="I199" t="s">
        <v>45</v>
      </c>
      <c r="J199" t="s">
        <v>46</v>
      </c>
      <c r="K199" t="s">
        <v>67</v>
      </c>
      <c r="L199" t="s">
        <v>21</v>
      </c>
      <c r="M199" t="s">
        <v>23</v>
      </c>
      <c r="N199" t="s">
        <v>24</v>
      </c>
      <c r="O199" t="s">
        <v>21</v>
      </c>
    </row>
    <row r="200" spans="1:15" x14ac:dyDescent="0.3">
      <c r="A200" t="s">
        <v>68</v>
      </c>
      <c r="C200" t="s">
        <v>15</v>
      </c>
      <c r="D200" t="s">
        <v>43</v>
      </c>
      <c r="E200" t="s">
        <v>29</v>
      </c>
      <c r="F200" t="s">
        <v>30</v>
      </c>
      <c r="G200" t="s">
        <v>51</v>
      </c>
      <c r="H200">
        <v>4</v>
      </c>
      <c r="I200" t="s">
        <v>45</v>
      </c>
      <c r="J200" t="s">
        <v>63</v>
      </c>
      <c r="K200" t="s">
        <v>225</v>
      </c>
      <c r="L200" t="s">
        <v>21</v>
      </c>
      <c r="M200" t="s">
        <v>23</v>
      </c>
      <c r="N200" t="s">
        <v>113</v>
      </c>
      <c r="O200" t="s">
        <v>21</v>
      </c>
    </row>
    <row r="201" spans="1:15" x14ac:dyDescent="0.3">
      <c r="A201" t="s">
        <v>103</v>
      </c>
      <c r="C201" t="s">
        <v>15</v>
      </c>
      <c r="D201" t="s">
        <v>83</v>
      </c>
      <c r="E201" t="s">
        <v>50</v>
      </c>
      <c r="F201" t="s">
        <v>49</v>
      </c>
      <c r="G201" t="s">
        <v>58</v>
      </c>
      <c r="H201">
        <v>4</v>
      </c>
      <c r="I201" t="s">
        <v>45</v>
      </c>
      <c r="J201" t="s">
        <v>52</v>
      </c>
      <c r="K201" t="s">
        <v>175</v>
      </c>
      <c r="L201" t="s">
        <v>21</v>
      </c>
      <c r="M201" t="s">
        <v>40</v>
      </c>
      <c r="N201" t="s">
        <v>88</v>
      </c>
      <c r="O201" t="s">
        <v>48</v>
      </c>
    </row>
    <row r="202" spans="1:15" x14ac:dyDescent="0.3">
      <c r="A202" t="s">
        <v>135</v>
      </c>
      <c r="C202" t="s">
        <v>42</v>
      </c>
      <c r="D202" t="s">
        <v>36</v>
      </c>
      <c r="E202" t="s">
        <v>37</v>
      </c>
      <c r="F202" t="s">
        <v>18</v>
      </c>
      <c r="G202" t="s">
        <v>51</v>
      </c>
      <c r="H202">
        <v>5</v>
      </c>
      <c r="I202" t="s">
        <v>45</v>
      </c>
      <c r="J202" t="s">
        <v>46</v>
      </c>
      <c r="K202" t="s">
        <v>60</v>
      </c>
      <c r="L202" t="s">
        <v>21</v>
      </c>
      <c r="M202" t="s">
        <v>34</v>
      </c>
      <c r="N202" t="s">
        <v>24</v>
      </c>
      <c r="O202" t="s">
        <v>25</v>
      </c>
    </row>
    <row r="203" spans="1:15" x14ac:dyDescent="0.3">
      <c r="A203" t="s">
        <v>100</v>
      </c>
      <c r="C203" t="s">
        <v>15</v>
      </c>
      <c r="D203" t="s">
        <v>226</v>
      </c>
      <c r="E203" t="s">
        <v>17</v>
      </c>
      <c r="F203" t="s">
        <v>15</v>
      </c>
      <c r="G203" t="s">
        <v>44</v>
      </c>
      <c r="H203">
        <v>5</v>
      </c>
      <c r="I203" t="s">
        <v>84</v>
      </c>
      <c r="J203" t="s">
        <v>46</v>
      </c>
      <c r="K203" t="s">
        <v>227</v>
      </c>
      <c r="L203" t="s">
        <v>21</v>
      </c>
      <c r="M203" t="s">
        <v>23</v>
      </c>
      <c r="N203" t="s">
        <v>88</v>
      </c>
      <c r="O203" t="s">
        <v>48</v>
      </c>
    </row>
    <row r="204" spans="1:15" x14ac:dyDescent="0.3">
      <c r="A204" t="s">
        <v>75</v>
      </c>
      <c r="C204" t="s">
        <v>27</v>
      </c>
      <c r="D204" t="s">
        <v>124</v>
      </c>
      <c r="E204" t="s">
        <v>17</v>
      </c>
      <c r="F204" t="s">
        <v>18</v>
      </c>
      <c r="G204" t="s">
        <v>58</v>
      </c>
      <c r="H204">
        <v>2</v>
      </c>
      <c r="I204" t="s">
        <v>45</v>
      </c>
      <c r="J204" t="s">
        <v>52</v>
      </c>
      <c r="K204" t="s">
        <v>228</v>
      </c>
      <c r="L204" t="s">
        <v>21</v>
      </c>
      <c r="M204" t="s">
        <v>34</v>
      </c>
      <c r="N204" t="s">
        <v>24</v>
      </c>
      <c r="O204" t="s">
        <v>25</v>
      </c>
    </row>
    <row r="205" spans="1:15" x14ac:dyDescent="0.3">
      <c r="A205" t="s">
        <v>14</v>
      </c>
      <c r="C205" t="s">
        <v>15</v>
      </c>
      <c r="D205" t="s">
        <v>43</v>
      </c>
      <c r="E205" t="s">
        <v>69</v>
      </c>
      <c r="F205" t="s">
        <v>15</v>
      </c>
      <c r="G205" t="s">
        <v>58</v>
      </c>
      <c r="H205">
        <v>5</v>
      </c>
      <c r="I205" t="s">
        <v>45</v>
      </c>
      <c r="J205" t="s">
        <v>46</v>
      </c>
      <c r="K205" t="s">
        <v>229</v>
      </c>
      <c r="L205" t="s">
        <v>21</v>
      </c>
      <c r="M205" t="s">
        <v>34</v>
      </c>
      <c r="N205" t="s">
        <v>24</v>
      </c>
      <c r="O205" t="s">
        <v>21</v>
      </c>
    </row>
    <row r="206" spans="1:15" x14ac:dyDescent="0.3">
      <c r="A206" t="s">
        <v>41</v>
      </c>
      <c r="C206" t="s">
        <v>15</v>
      </c>
      <c r="D206" t="s">
        <v>223</v>
      </c>
      <c r="E206" t="s">
        <v>29</v>
      </c>
      <c r="F206" t="s">
        <v>15</v>
      </c>
      <c r="G206" t="s">
        <v>44</v>
      </c>
      <c r="H206">
        <v>4</v>
      </c>
      <c r="I206" t="s">
        <v>59</v>
      </c>
      <c r="J206" t="s">
        <v>46</v>
      </c>
      <c r="K206" t="s">
        <v>56</v>
      </c>
      <c r="L206" t="s">
        <v>21</v>
      </c>
      <c r="M206" t="s">
        <v>23</v>
      </c>
      <c r="N206" t="s">
        <v>24</v>
      </c>
      <c r="O206" t="s">
        <v>21</v>
      </c>
    </row>
    <row r="207" spans="1:15" x14ac:dyDescent="0.3">
      <c r="A207" t="s">
        <v>97</v>
      </c>
      <c r="C207" t="s">
        <v>15</v>
      </c>
      <c r="D207" t="s">
        <v>43</v>
      </c>
      <c r="E207" t="s">
        <v>69</v>
      </c>
      <c r="F207" t="s">
        <v>15</v>
      </c>
      <c r="G207" t="s">
        <v>70</v>
      </c>
      <c r="H207">
        <v>2</v>
      </c>
      <c r="I207" t="s">
        <v>45</v>
      </c>
      <c r="J207" t="s">
        <v>63</v>
      </c>
      <c r="K207" t="s">
        <v>60</v>
      </c>
      <c r="L207" t="s">
        <v>21</v>
      </c>
      <c r="M207" t="s">
        <v>23</v>
      </c>
      <c r="N207" t="s">
        <v>136</v>
      </c>
      <c r="O207" t="s">
        <v>25</v>
      </c>
    </row>
    <row r="208" spans="1:15" x14ac:dyDescent="0.3">
      <c r="A208" t="s">
        <v>68</v>
      </c>
      <c r="C208" t="s">
        <v>27</v>
      </c>
      <c r="D208" t="s">
        <v>83</v>
      </c>
      <c r="E208" t="s">
        <v>50</v>
      </c>
      <c r="F208" t="s">
        <v>102</v>
      </c>
      <c r="G208" t="s">
        <v>51</v>
      </c>
      <c r="H208">
        <v>1</v>
      </c>
      <c r="I208" t="s">
        <v>45</v>
      </c>
      <c r="J208" t="s">
        <v>63</v>
      </c>
      <c r="K208" t="s">
        <v>139</v>
      </c>
      <c r="L208" t="s">
        <v>21</v>
      </c>
      <c r="M208" t="s">
        <v>34</v>
      </c>
      <c r="N208" t="s">
        <v>24</v>
      </c>
      <c r="O208" t="s">
        <v>48</v>
      </c>
    </row>
    <row r="209" spans="1:15" x14ac:dyDescent="0.3">
      <c r="A209" t="s">
        <v>100</v>
      </c>
      <c r="C209" t="s">
        <v>15</v>
      </c>
      <c r="D209" t="s">
        <v>43</v>
      </c>
      <c r="E209" t="s">
        <v>17</v>
      </c>
      <c r="F209" t="s">
        <v>30</v>
      </c>
      <c r="G209" t="s">
        <v>58</v>
      </c>
      <c r="H209">
        <v>3</v>
      </c>
      <c r="I209" t="s">
        <v>45</v>
      </c>
      <c r="J209" t="s">
        <v>63</v>
      </c>
      <c r="K209" t="s">
        <v>47</v>
      </c>
      <c r="L209" t="s">
        <v>25</v>
      </c>
      <c r="M209" t="s">
        <v>23</v>
      </c>
      <c r="N209" t="s">
        <v>24</v>
      </c>
      <c r="O209" t="s">
        <v>21</v>
      </c>
    </row>
    <row r="210" spans="1:15" x14ac:dyDescent="0.3">
      <c r="A210" t="s">
        <v>230</v>
      </c>
      <c r="C210" t="s">
        <v>27</v>
      </c>
      <c r="D210" t="s">
        <v>43</v>
      </c>
      <c r="E210" t="s">
        <v>50</v>
      </c>
      <c r="F210" t="s">
        <v>102</v>
      </c>
      <c r="G210" t="s">
        <v>44</v>
      </c>
      <c r="H210">
        <v>4</v>
      </c>
      <c r="I210" t="s">
        <v>45</v>
      </c>
      <c r="J210" t="s">
        <v>46</v>
      </c>
      <c r="K210" t="s">
        <v>231</v>
      </c>
      <c r="L210" t="s">
        <v>21</v>
      </c>
      <c r="M210" t="s">
        <v>23</v>
      </c>
      <c r="N210" t="s">
        <v>24</v>
      </c>
      <c r="O210" t="s">
        <v>48</v>
      </c>
    </row>
    <row r="211" spans="1:15" x14ac:dyDescent="0.3">
      <c r="A211" t="s">
        <v>89</v>
      </c>
      <c r="C211" t="s">
        <v>15</v>
      </c>
      <c r="D211" t="s">
        <v>43</v>
      </c>
      <c r="E211" t="s">
        <v>69</v>
      </c>
      <c r="F211" t="s">
        <v>49</v>
      </c>
      <c r="G211" t="s">
        <v>70</v>
      </c>
      <c r="H211">
        <v>1</v>
      </c>
      <c r="I211" t="s">
        <v>45</v>
      </c>
      <c r="J211" t="s">
        <v>52</v>
      </c>
      <c r="K211" t="s">
        <v>232</v>
      </c>
      <c r="L211" t="s">
        <v>25</v>
      </c>
      <c r="M211" t="s">
        <v>23</v>
      </c>
      <c r="N211" t="s">
        <v>24</v>
      </c>
      <c r="O211" t="s">
        <v>82</v>
      </c>
    </row>
    <row r="212" spans="1:15" x14ac:dyDescent="0.3">
      <c r="A212" t="s">
        <v>66</v>
      </c>
      <c r="C212" t="s">
        <v>49</v>
      </c>
      <c r="D212" t="s">
        <v>43</v>
      </c>
      <c r="E212" t="s">
        <v>50</v>
      </c>
      <c r="F212" t="s">
        <v>30</v>
      </c>
      <c r="G212" t="s">
        <v>51</v>
      </c>
      <c r="H212">
        <v>5</v>
      </c>
      <c r="I212" t="s">
        <v>45</v>
      </c>
      <c r="J212" t="s">
        <v>46</v>
      </c>
      <c r="K212" t="s">
        <v>233</v>
      </c>
      <c r="L212" t="s">
        <v>21</v>
      </c>
      <c r="M212" t="s">
        <v>23</v>
      </c>
      <c r="N212" t="s">
        <v>113</v>
      </c>
      <c r="O212" t="s">
        <v>48</v>
      </c>
    </row>
    <row r="213" spans="1:15" x14ac:dyDescent="0.3">
      <c r="A213" t="s">
        <v>68</v>
      </c>
      <c r="C213" t="s">
        <v>27</v>
      </c>
      <c r="D213" t="s">
        <v>43</v>
      </c>
      <c r="E213" t="s">
        <v>29</v>
      </c>
      <c r="F213" t="s">
        <v>30</v>
      </c>
      <c r="G213" t="s">
        <v>51</v>
      </c>
      <c r="H213">
        <v>5</v>
      </c>
      <c r="I213" t="s">
        <v>45</v>
      </c>
      <c r="J213" t="s">
        <v>63</v>
      </c>
      <c r="K213" t="s">
        <v>234</v>
      </c>
      <c r="L213" t="s">
        <v>21</v>
      </c>
      <c r="M213" t="s">
        <v>23</v>
      </c>
      <c r="N213" t="s">
        <v>113</v>
      </c>
      <c r="O213" t="s">
        <v>25</v>
      </c>
    </row>
    <row r="214" spans="1:15" x14ac:dyDescent="0.3">
      <c r="A214" t="s">
        <v>61</v>
      </c>
      <c r="C214" t="s">
        <v>15</v>
      </c>
      <c r="D214" t="s">
        <v>124</v>
      </c>
      <c r="E214" t="s">
        <v>50</v>
      </c>
      <c r="F214" t="s">
        <v>30</v>
      </c>
      <c r="G214" t="s">
        <v>44</v>
      </c>
      <c r="H214">
        <v>5</v>
      </c>
      <c r="I214" t="s">
        <v>45</v>
      </c>
      <c r="J214" t="s">
        <v>63</v>
      </c>
      <c r="K214" t="s">
        <v>195</v>
      </c>
      <c r="L214" t="s">
        <v>21</v>
      </c>
      <c r="M214" t="s">
        <v>23</v>
      </c>
      <c r="N214" t="s">
        <v>24</v>
      </c>
      <c r="O214" t="s">
        <v>25</v>
      </c>
    </row>
    <row r="215" spans="1:15" x14ac:dyDescent="0.3">
      <c r="A215" t="s">
        <v>55</v>
      </c>
      <c r="C215" t="s">
        <v>27</v>
      </c>
      <c r="D215" t="s">
        <v>43</v>
      </c>
      <c r="E215" t="s">
        <v>29</v>
      </c>
      <c r="F215" t="s">
        <v>49</v>
      </c>
      <c r="G215" t="s">
        <v>51</v>
      </c>
      <c r="H215">
        <v>5</v>
      </c>
      <c r="I215" t="s">
        <v>45</v>
      </c>
      <c r="J215" t="s">
        <v>63</v>
      </c>
      <c r="K215" t="s">
        <v>235</v>
      </c>
      <c r="L215" t="s">
        <v>25</v>
      </c>
      <c r="M215" t="s">
        <v>34</v>
      </c>
      <c r="N215" t="s">
        <v>24</v>
      </c>
      <c r="O215" t="s">
        <v>25</v>
      </c>
    </row>
    <row r="216" spans="1:15" x14ac:dyDescent="0.3">
      <c r="A216" t="s">
        <v>100</v>
      </c>
      <c r="C216" t="s">
        <v>15</v>
      </c>
      <c r="D216" t="s">
        <v>83</v>
      </c>
      <c r="E216" t="s">
        <v>69</v>
      </c>
      <c r="F216" t="s">
        <v>15</v>
      </c>
      <c r="G216" t="s">
        <v>70</v>
      </c>
      <c r="H216">
        <v>5</v>
      </c>
      <c r="I216" t="s">
        <v>59</v>
      </c>
      <c r="J216" t="s">
        <v>63</v>
      </c>
      <c r="K216" t="s">
        <v>236</v>
      </c>
      <c r="L216" t="s">
        <v>21</v>
      </c>
      <c r="M216" t="s">
        <v>34</v>
      </c>
      <c r="N216" t="s">
        <v>24</v>
      </c>
      <c r="O216" t="s">
        <v>21</v>
      </c>
    </row>
    <row r="217" spans="1:15" x14ac:dyDescent="0.3">
      <c r="A217" t="s">
        <v>162</v>
      </c>
      <c r="C217" t="s">
        <v>49</v>
      </c>
      <c r="D217" t="s">
        <v>43</v>
      </c>
      <c r="E217" t="s">
        <v>69</v>
      </c>
      <c r="F217" t="s">
        <v>49</v>
      </c>
      <c r="G217" t="s">
        <v>58</v>
      </c>
      <c r="H217">
        <v>5</v>
      </c>
      <c r="I217" t="s">
        <v>45</v>
      </c>
      <c r="J217" t="s">
        <v>46</v>
      </c>
      <c r="K217" t="s">
        <v>237</v>
      </c>
      <c r="L217" t="s">
        <v>21</v>
      </c>
      <c r="M217" t="s">
        <v>23</v>
      </c>
      <c r="N217" t="s">
        <v>24</v>
      </c>
      <c r="O217" t="s">
        <v>48</v>
      </c>
    </row>
    <row r="218" spans="1:15" x14ac:dyDescent="0.3">
      <c r="A218" t="s">
        <v>68</v>
      </c>
      <c r="C218" t="s">
        <v>42</v>
      </c>
      <c r="D218" t="s">
        <v>83</v>
      </c>
      <c r="E218" t="s">
        <v>29</v>
      </c>
      <c r="F218" t="s">
        <v>15</v>
      </c>
      <c r="G218" t="s">
        <v>44</v>
      </c>
      <c r="H218">
        <v>4</v>
      </c>
      <c r="I218" t="s">
        <v>59</v>
      </c>
      <c r="J218" t="s">
        <v>63</v>
      </c>
      <c r="K218" t="s">
        <v>238</v>
      </c>
      <c r="L218" t="s">
        <v>25</v>
      </c>
      <c r="M218" t="s">
        <v>23</v>
      </c>
      <c r="N218" t="s">
        <v>24</v>
      </c>
      <c r="O218" t="s">
        <v>25</v>
      </c>
    </row>
    <row r="219" spans="1:15" x14ac:dyDescent="0.3">
      <c r="A219" t="s">
        <v>41</v>
      </c>
      <c r="C219" t="s">
        <v>27</v>
      </c>
      <c r="D219" t="s">
        <v>43</v>
      </c>
      <c r="E219" t="s">
        <v>69</v>
      </c>
      <c r="F219" t="s">
        <v>30</v>
      </c>
      <c r="G219" t="s">
        <v>44</v>
      </c>
      <c r="H219">
        <v>5</v>
      </c>
      <c r="I219" t="s">
        <v>59</v>
      </c>
      <c r="J219" t="s">
        <v>46</v>
      </c>
      <c r="K219" t="s">
        <v>67</v>
      </c>
      <c r="L219" t="s">
        <v>21</v>
      </c>
      <c r="M219" t="s">
        <v>40</v>
      </c>
      <c r="N219" t="s">
        <v>24</v>
      </c>
      <c r="O219" t="s">
        <v>25</v>
      </c>
    </row>
    <row r="220" spans="1:15" x14ac:dyDescent="0.3">
      <c r="A220" t="s">
        <v>55</v>
      </c>
      <c r="C220" t="s">
        <v>27</v>
      </c>
      <c r="D220" t="s">
        <v>43</v>
      </c>
      <c r="E220" t="s">
        <v>50</v>
      </c>
      <c r="F220" t="s">
        <v>30</v>
      </c>
      <c r="G220" t="s">
        <v>58</v>
      </c>
      <c r="H220">
        <v>2</v>
      </c>
      <c r="I220" t="s">
        <v>45</v>
      </c>
      <c r="J220" t="s">
        <v>63</v>
      </c>
      <c r="K220" t="s">
        <v>239</v>
      </c>
      <c r="L220" t="s">
        <v>21</v>
      </c>
      <c r="M220" t="s">
        <v>23</v>
      </c>
      <c r="N220" t="s">
        <v>24</v>
      </c>
      <c r="O220" t="s">
        <v>48</v>
      </c>
    </row>
    <row r="221" spans="1:15" x14ac:dyDescent="0.3">
      <c r="A221" t="s">
        <v>55</v>
      </c>
      <c r="C221" t="s">
        <v>15</v>
      </c>
      <c r="D221" t="s">
        <v>16</v>
      </c>
      <c r="E221" t="s">
        <v>50</v>
      </c>
      <c r="F221" t="s">
        <v>18</v>
      </c>
      <c r="G221" t="s">
        <v>44</v>
      </c>
      <c r="H221">
        <v>5</v>
      </c>
      <c r="I221" t="s">
        <v>59</v>
      </c>
      <c r="J221" t="s">
        <v>63</v>
      </c>
      <c r="K221" t="s">
        <v>161</v>
      </c>
      <c r="L221" t="s">
        <v>25</v>
      </c>
      <c r="M221" t="s">
        <v>34</v>
      </c>
      <c r="N221" t="s">
        <v>24</v>
      </c>
      <c r="O221" t="s">
        <v>48</v>
      </c>
    </row>
    <row r="222" spans="1:15" x14ac:dyDescent="0.3">
      <c r="A222" t="s">
        <v>55</v>
      </c>
      <c r="C222" t="s">
        <v>15</v>
      </c>
      <c r="D222" t="s">
        <v>83</v>
      </c>
      <c r="E222" t="s">
        <v>37</v>
      </c>
      <c r="F222" t="s">
        <v>30</v>
      </c>
      <c r="G222" t="s">
        <v>51</v>
      </c>
      <c r="H222">
        <v>1</v>
      </c>
      <c r="I222" t="s">
        <v>59</v>
      </c>
      <c r="J222" t="s">
        <v>46</v>
      </c>
      <c r="K222" t="s">
        <v>111</v>
      </c>
      <c r="L222" t="s">
        <v>21</v>
      </c>
      <c r="M222" t="s">
        <v>23</v>
      </c>
      <c r="N222" t="s">
        <v>24</v>
      </c>
      <c r="O222" t="s">
        <v>21</v>
      </c>
    </row>
    <row r="223" spans="1:15" x14ac:dyDescent="0.3">
      <c r="A223" t="s">
        <v>75</v>
      </c>
      <c r="C223" t="s">
        <v>42</v>
      </c>
      <c r="D223" t="s">
        <v>83</v>
      </c>
      <c r="E223" t="s">
        <v>17</v>
      </c>
      <c r="F223" t="s">
        <v>18</v>
      </c>
      <c r="G223" t="s">
        <v>51</v>
      </c>
      <c r="H223">
        <v>1</v>
      </c>
      <c r="I223" t="s">
        <v>45</v>
      </c>
      <c r="J223" t="s">
        <v>46</v>
      </c>
      <c r="K223" t="s">
        <v>240</v>
      </c>
      <c r="L223" t="s">
        <v>21</v>
      </c>
      <c r="M223" t="s">
        <v>40</v>
      </c>
      <c r="N223" t="s">
        <v>113</v>
      </c>
      <c r="O223" t="s">
        <v>21</v>
      </c>
    </row>
    <row r="224" spans="1:15" x14ac:dyDescent="0.3">
      <c r="A224" t="s">
        <v>68</v>
      </c>
      <c r="C224" t="s">
        <v>49</v>
      </c>
      <c r="D224" t="s">
        <v>43</v>
      </c>
      <c r="E224" t="s">
        <v>17</v>
      </c>
      <c r="F224" t="s">
        <v>15</v>
      </c>
      <c r="G224" t="s">
        <v>51</v>
      </c>
      <c r="H224">
        <v>4</v>
      </c>
      <c r="I224" t="s">
        <v>45</v>
      </c>
      <c r="J224" t="s">
        <v>63</v>
      </c>
      <c r="K224" t="s">
        <v>39</v>
      </c>
      <c r="L224" t="s">
        <v>21</v>
      </c>
      <c r="M224" t="s">
        <v>40</v>
      </c>
      <c r="N224" t="s">
        <v>88</v>
      </c>
      <c r="O224" t="s">
        <v>21</v>
      </c>
    </row>
    <row r="225" spans="1:15" x14ac:dyDescent="0.3">
      <c r="A225" t="s">
        <v>68</v>
      </c>
      <c r="C225" t="s">
        <v>15</v>
      </c>
      <c r="D225" t="s">
        <v>43</v>
      </c>
      <c r="E225" t="s">
        <v>69</v>
      </c>
      <c r="F225" t="s">
        <v>15</v>
      </c>
      <c r="G225" t="s">
        <v>44</v>
      </c>
      <c r="H225">
        <v>3</v>
      </c>
      <c r="I225" t="s">
        <v>45</v>
      </c>
      <c r="J225" t="s">
        <v>63</v>
      </c>
      <c r="K225" t="s">
        <v>241</v>
      </c>
      <c r="L225" t="s">
        <v>25</v>
      </c>
      <c r="M225" t="s">
        <v>23</v>
      </c>
      <c r="N225" t="s">
        <v>24</v>
      </c>
      <c r="O225" t="s">
        <v>48</v>
      </c>
    </row>
    <row r="226" spans="1:15" x14ac:dyDescent="0.3">
      <c r="A226" t="s">
        <v>55</v>
      </c>
      <c r="C226" t="s">
        <v>42</v>
      </c>
      <c r="D226" t="s">
        <v>43</v>
      </c>
      <c r="E226" t="s">
        <v>50</v>
      </c>
      <c r="F226" t="s">
        <v>30</v>
      </c>
      <c r="G226" t="s">
        <v>70</v>
      </c>
      <c r="H226">
        <v>3</v>
      </c>
      <c r="I226" t="s">
        <v>45</v>
      </c>
      <c r="J226" t="s">
        <v>46</v>
      </c>
      <c r="K226" t="s">
        <v>227</v>
      </c>
      <c r="L226" t="s">
        <v>21</v>
      </c>
      <c r="M226" t="s">
        <v>23</v>
      </c>
      <c r="N226" t="s">
        <v>24</v>
      </c>
      <c r="O226" t="s">
        <v>25</v>
      </c>
    </row>
    <row r="227" spans="1:15" x14ac:dyDescent="0.3">
      <c r="A227" t="s">
        <v>68</v>
      </c>
      <c r="C227" t="s">
        <v>27</v>
      </c>
      <c r="D227" t="s">
        <v>43</v>
      </c>
      <c r="E227" t="s">
        <v>50</v>
      </c>
      <c r="F227" t="s">
        <v>15</v>
      </c>
      <c r="G227" t="s">
        <v>51</v>
      </c>
      <c r="H227">
        <v>3</v>
      </c>
      <c r="I227" t="s">
        <v>45</v>
      </c>
      <c r="J227" t="s">
        <v>46</v>
      </c>
      <c r="K227" t="s">
        <v>163</v>
      </c>
      <c r="L227" t="s">
        <v>21</v>
      </c>
      <c r="M227" t="s">
        <v>23</v>
      </c>
      <c r="N227" t="s">
        <v>113</v>
      </c>
      <c r="O227" t="s">
        <v>48</v>
      </c>
    </row>
    <row r="228" spans="1:15" x14ac:dyDescent="0.3">
      <c r="A228" t="s">
        <v>97</v>
      </c>
      <c r="C228" t="s">
        <v>15</v>
      </c>
      <c r="D228" t="s">
        <v>43</v>
      </c>
      <c r="E228" t="s">
        <v>37</v>
      </c>
      <c r="F228" t="s">
        <v>15</v>
      </c>
      <c r="G228" t="s">
        <v>70</v>
      </c>
      <c r="H228">
        <v>2</v>
      </c>
      <c r="I228" t="s">
        <v>72</v>
      </c>
      <c r="J228" t="s">
        <v>63</v>
      </c>
      <c r="K228" t="s">
        <v>47</v>
      </c>
      <c r="L228" t="s">
        <v>25</v>
      </c>
      <c r="M228" t="s">
        <v>34</v>
      </c>
      <c r="N228" t="s">
        <v>24</v>
      </c>
      <c r="O228" t="s">
        <v>25</v>
      </c>
    </row>
    <row r="229" spans="1:15" x14ac:dyDescent="0.3">
      <c r="A229" t="s">
        <v>14</v>
      </c>
      <c r="C229" t="s">
        <v>15</v>
      </c>
      <c r="D229" t="s">
        <v>242</v>
      </c>
      <c r="E229" t="s">
        <v>37</v>
      </c>
      <c r="F229" t="s">
        <v>30</v>
      </c>
      <c r="G229" t="s">
        <v>44</v>
      </c>
      <c r="H229">
        <v>5</v>
      </c>
      <c r="I229" t="s">
        <v>45</v>
      </c>
      <c r="J229" t="s">
        <v>46</v>
      </c>
      <c r="K229" t="s">
        <v>166</v>
      </c>
      <c r="L229" t="s">
        <v>21</v>
      </c>
      <c r="M229" t="s">
        <v>23</v>
      </c>
      <c r="N229" t="s">
        <v>54</v>
      </c>
      <c r="O229" t="s">
        <v>48</v>
      </c>
    </row>
    <row r="230" spans="1:15" x14ac:dyDescent="0.3">
      <c r="A230" t="s">
        <v>41</v>
      </c>
      <c r="C230" t="s">
        <v>15</v>
      </c>
      <c r="D230" t="s">
        <v>243</v>
      </c>
      <c r="E230" t="s">
        <v>29</v>
      </c>
      <c r="F230" t="s">
        <v>30</v>
      </c>
      <c r="G230" t="s">
        <v>51</v>
      </c>
      <c r="H230">
        <v>1</v>
      </c>
      <c r="I230" t="s">
        <v>45</v>
      </c>
      <c r="J230" t="s">
        <v>63</v>
      </c>
      <c r="K230" t="s">
        <v>67</v>
      </c>
      <c r="L230" t="s">
        <v>21</v>
      </c>
      <c r="M230" t="s">
        <v>34</v>
      </c>
      <c r="N230" t="s">
        <v>24</v>
      </c>
      <c r="O230" t="s">
        <v>21</v>
      </c>
    </row>
    <row r="231" spans="1:15" x14ac:dyDescent="0.3">
      <c r="A231" t="s">
        <v>55</v>
      </c>
      <c r="C231" t="s">
        <v>42</v>
      </c>
      <c r="D231" t="s">
        <v>16</v>
      </c>
      <c r="E231" t="s">
        <v>29</v>
      </c>
      <c r="F231" t="s">
        <v>18</v>
      </c>
      <c r="G231" t="s">
        <v>44</v>
      </c>
      <c r="H231">
        <v>1</v>
      </c>
      <c r="I231" t="s">
        <v>72</v>
      </c>
      <c r="J231" t="s">
        <v>46</v>
      </c>
      <c r="K231" t="s">
        <v>96</v>
      </c>
      <c r="L231" t="s">
        <v>21</v>
      </c>
      <c r="M231" t="s">
        <v>34</v>
      </c>
      <c r="N231" t="s">
        <v>24</v>
      </c>
      <c r="O231" t="s">
        <v>48</v>
      </c>
    </row>
    <row r="232" spans="1:15" x14ac:dyDescent="0.3">
      <c r="A232" t="s">
        <v>55</v>
      </c>
      <c r="C232" t="s">
        <v>27</v>
      </c>
      <c r="D232" t="s">
        <v>43</v>
      </c>
      <c r="E232" t="s">
        <v>29</v>
      </c>
      <c r="F232" t="s">
        <v>30</v>
      </c>
      <c r="G232" t="s">
        <v>51</v>
      </c>
      <c r="H232">
        <v>4</v>
      </c>
      <c r="I232" t="s">
        <v>45</v>
      </c>
      <c r="J232" t="s">
        <v>63</v>
      </c>
      <c r="K232" t="s">
        <v>244</v>
      </c>
      <c r="L232" t="s">
        <v>21</v>
      </c>
      <c r="M232" t="s">
        <v>34</v>
      </c>
      <c r="N232" t="s">
        <v>113</v>
      </c>
      <c r="O232" t="s">
        <v>48</v>
      </c>
    </row>
    <row r="233" spans="1:15" x14ac:dyDescent="0.3">
      <c r="A233" t="s">
        <v>162</v>
      </c>
      <c r="C233" t="s">
        <v>15</v>
      </c>
      <c r="D233" t="s">
        <v>43</v>
      </c>
      <c r="E233" t="s">
        <v>29</v>
      </c>
      <c r="F233" t="s">
        <v>18</v>
      </c>
      <c r="G233" t="s">
        <v>70</v>
      </c>
      <c r="H233">
        <v>5</v>
      </c>
      <c r="I233" t="s">
        <v>45</v>
      </c>
      <c r="J233" t="s">
        <v>46</v>
      </c>
      <c r="K233" t="s">
        <v>67</v>
      </c>
      <c r="L233" t="s">
        <v>21</v>
      </c>
      <c r="M233" t="s">
        <v>34</v>
      </c>
      <c r="N233" t="s">
        <v>24</v>
      </c>
      <c r="O233" t="s">
        <v>21</v>
      </c>
    </row>
    <row r="234" spans="1:15" x14ac:dyDescent="0.3">
      <c r="A234" t="s">
        <v>100</v>
      </c>
      <c r="C234" t="s">
        <v>15</v>
      </c>
      <c r="D234" t="s">
        <v>43</v>
      </c>
      <c r="E234" t="s">
        <v>17</v>
      </c>
      <c r="F234" t="s">
        <v>15</v>
      </c>
      <c r="G234" t="s">
        <v>44</v>
      </c>
      <c r="H234">
        <v>4</v>
      </c>
      <c r="I234" t="s">
        <v>45</v>
      </c>
      <c r="J234" t="s">
        <v>63</v>
      </c>
      <c r="K234" t="s">
        <v>170</v>
      </c>
      <c r="L234" t="s">
        <v>25</v>
      </c>
      <c r="M234" t="s">
        <v>34</v>
      </c>
      <c r="N234" t="s">
        <v>24</v>
      </c>
      <c r="O234" t="s">
        <v>25</v>
      </c>
    </row>
    <row r="235" spans="1:15" x14ac:dyDescent="0.3">
      <c r="A235" t="s">
        <v>121</v>
      </c>
      <c r="C235" t="s">
        <v>49</v>
      </c>
      <c r="D235" t="s">
        <v>245</v>
      </c>
      <c r="E235" t="s">
        <v>50</v>
      </c>
      <c r="F235" t="s">
        <v>30</v>
      </c>
      <c r="G235" t="s">
        <v>51</v>
      </c>
      <c r="H235">
        <v>4</v>
      </c>
      <c r="I235" t="s">
        <v>45</v>
      </c>
      <c r="J235" t="s">
        <v>52</v>
      </c>
      <c r="K235" t="s">
        <v>157</v>
      </c>
      <c r="L235" t="s">
        <v>21</v>
      </c>
      <c r="M235" t="s">
        <v>34</v>
      </c>
      <c r="N235" t="s">
        <v>24</v>
      </c>
      <c r="O235" t="s">
        <v>48</v>
      </c>
    </row>
    <row r="236" spans="1:15" x14ac:dyDescent="0.3">
      <c r="A236" t="s">
        <v>68</v>
      </c>
      <c r="C236" t="s">
        <v>15</v>
      </c>
      <c r="D236" t="s">
        <v>43</v>
      </c>
      <c r="E236" t="s">
        <v>69</v>
      </c>
      <c r="F236" t="s">
        <v>15</v>
      </c>
      <c r="G236" t="s">
        <v>51</v>
      </c>
      <c r="H236">
        <v>5</v>
      </c>
      <c r="I236" t="s">
        <v>45</v>
      </c>
      <c r="J236" t="s">
        <v>63</v>
      </c>
      <c r="K236" t="s">
        <v>99</v>
      </c>
      <c r="L236" t="s">
        <v>21</v>
      </c>
      <c r="M236" t="s">
        <v>23</v>
      </c>
      <c r="N236" t="s">
        <v>113</v>
      </c>
      <c r="O236" t="s">
        <v>25</v>
      </c>
    </row>
    <row r="237" spans="1:15" x14ac:dyDescent="0.3">
      <c r="A237" t="s">
        <v>100</v>
      </c>
      <c r="C237" t="s">
        <v>15</v>
      </c>
      <c r="D237" t="s">
        <v>36</v>
      </c>
      <c r="E237" t="s">
        <v>69</v>
      </c>
      <c r="F237" t="s">
        <v>18</v>
      </c>
      <c r="G237" t="s">
        <v>44</v>
      </c>
      <c r="H237">
        <v>1</v>
      </c>
      <c r="I237" t="s">
        <v>72</v>
      </c>
      <c r="J237" t="s">
        <v>63</v>
      </c>
      <c r="K237" t="s">
        <v>56</v>
      </c>
      <c r="L237" t="s">
        <v>21</v>
      </c>
      <c r="M237" t="s">
        <v>40</v>
      </c>
      <c r="N237" t="s">
        <v>24</v>
      </c>
      <c r="O237" t="s">
        <v>48</v>
      </c>
    </row>
    <row r="238" spans="1:15" x14ac:dyDescent="0.3">
      <c r="A238" t="s">
        <v>103</v>
      </c>
      <c r="C238" t="s">
        <v>42</v>
      </c>
      <c r="D238" t="s">
        <v>43</v>
      </c>
      <c r="E238" t="s">
        <v>17</v>
      </c>
      <c r="F238" t="s">
        <v>18</v>
      </c>
      <c r="G238" t="s">
        <v>44</v>
      </c>
      <c r="H238">
        <v>4</v>
      </c>
      <c r="I238" t="s">
        <v>45</v>
      </c>
      <c r="J238" t="s">
        <v>63</v>
      </c>
      <c r="K238" t="s">
        <v>246</v>
      </c>
      <c r="L238" t="s">
        <v>25</v>
      </c>
      <c r="M238" t="s">
        <v>34</v>
      </c>
      <c r="N238" t="s">
        <v>24</v>
      </c>
      <c r="O238" t="s">
        <v>25</v>
      </c>
    </row>
    <row r="239" spans="1:15" x14ac:dyDescent="0.3">
      <c r="A239" t="s">
        <v>66</v>
      </c>
      <c r="C239" t="s">
        <v>27</v>
      </c>
      <c r="D239" t="s">
        <v>83</v>
      </c>
      <c r="E239" t="s">
        <v>29</v>
      </c>
      <c r="F239" t="s">
        <v>30</v>
      </c>
      <c r="G239" t="s">
        <v>51</v>
      </c>
      <c r="H239">
        <v>5</v>
      </c>
      <c r="I239" t="s">
        <v>45</v>
      </c>
      <c r="J239" t="s">
        <v>63</v>
      </c>
      <c r="K239" t="s">
        <v>56</v>
      </c>
      <c r="L239" t="s">
        <v>25</v>
      </c>
      <c r="M239" t="s">
        <v>23</v>
      </c>
      <c r="N239" t="s">
        <v>24</v>
      </c>
      <c r="O239" t="s">
        <v>25</v>
      </c>
    </row>
    <row r="240" spans="1:15" x14ac:dyDescent="0.3">
      <c r="A240" t="s">
        <v>68</v>
      </c>
      <c r="C240" t="s">
        <v>27</v>
      </c>
      <c r="D240" t="s">
        <v>43</v>
      </c>
      <c r="E240" t="s">
        <v>50</v>
      </c>
      <c r="F240" t="s">
        <v>30</v>
      </c>
      <c r="G240" t="s">
        <v>44</v>
      </c>
      <c r="H240">
        <v>5</v>
      </c>
      <c r="I240" t="s">
        <v>72</v>
      </c>
      <c r="J240" t="s">
        <v>46</v>
      </c>
      <c r="K240" t="s">
        <v>139</v>
      </c>
      <c r="L240" t="s">
        <v>21</v>
      </c>
      <c r="M240" t="s">
        <v>34</v>
      </c>
      <c r="N240" t="s">
        <v>24</v>
      </c>
      <c r="O240" t="s">
        <v>48</v>
      </c>
    </row>
    <row r="241" spans="1:15" x14ac:dyDescent="0.3">
      <c r="A241" t="s">
        <v>55</v>
      </c>
      <c r="C241" t="s">
        <v>27</v>
      </c>
      <c r="D241" t="s">
        <v>16</v>
      </c>
      <c r="E241" t="s">
        <v>37</v>
      </c>
      <c r="F241" t="s">
        <v>30</v>
      </c>
      <c r="G241" t="s">
        <v>51</v>
      </c>
      <c r="H241">
        <v>5</v>
      </c>
      <c r="I241" t="s">
        <v>72</v>
      </c>
      <c r="J241" t="s">
        <v>46</v>
      </c>
      <c r="K241" t="s">
        <v>247</v>
      </c>
      <c r="L241" t="s">
        <v>21</v>
      </c>
      <c r="M241" t="s">
        <v>34</v>
      </c>
      <c r="N241" t="s">
        <v>187</v>
      </c>
      <c r="O241" t="s">
        <v>48</v>
      </c>
    </row>
    <row r="242" spans="1:15" x14ac:dyDescent="0.3">
      <c r="A242" t="s">
        <v>100</v>
      </c>
      <c r="C242" t="s">
        <v>27</v>
      </c>
      <c r="D242" t="s">
        <v>248</v>
      </c>
      <c r="E242" t="s">
        <v>50</v>
      </c>
      <c r="F242" t="s">
        <v>30</v>
      </c>
      <c r="G242" t="s">
        <v>51</v>
      </c>
      <c r="H242">
        <v>5</v>
      </c>
      <c r="I242" t="s">
        <v>45</v>
      </c>
      <c r="J242" t="s">
        <v>46</v>
      </c>
      <c r="K242" t="s">
        <v>47</v>
      </c>
      <c r="L242" t="s">
        <v>21</v>
      </c>
      <c r="M242" t="s">
        <v>34</v>
      </c>
      <c r="N242" t="s">
        <v>187</v>
      </c>
      <c r="O242" t="s">
        <v>25</v>
      </c>
    </row>
    <row r="243" spans="1:15" x14ac:dyDescent="0.3">
      <c r="A243" t="s">
        <v>55</v>
      </c>
      <c r="C243" t="s">
        <v>27</v>
      </c>
      <c r="D243" t="s">
        <v>16</v>
      </c>
      <c r="E243" t="s">
        <v>50</v>
      </c>
      <c r="F243" t="s">
        <v>49</v>
      </c>
      <c r="G243" t="s">
        <v>44</v>
      </c>
      <c r="H243">
        <v>5</v>
      </c>
      <c r="I243" t="s">
        <v>45</v>
      </c>
      <c r="J243" t="s">
        <v>63</v>
      </c>
      <c r="K243" t="s">
        <v>249</v>
      </c>
      <c r="L243" t="s">
        <v>21</v>
      </c>
      <c r="M243" t="s">
        <v>23</v>
      </c>
      <c r="N243" t="s">
        <v>24</v>
      </c>
      <c r="O243" t="s">
        <v>25</v>
      </c>
    </row>
    <row r="244" spans="1:15" x14ac:dyDescent="0.3">
      <c r="A244" t="s">
        <v>66</v>
      </c>
      <c r="C244" t="s">
        <v>49</v>
      </c>
      <c r="D244" t="s">
        <v>43</v>
      </c>
      <c r="E244" t="s">
        <v>50</v>
      </c>
      <c r="F244" t="s">
        <v>15</v>
      </c>
      <c r="G244" t="s">
        <v>44</v>
      </c>
      <c r="H244">
        <v>3</v>
      </c>
      <c r="I244" t="s">
        <v>45</v>
      </c>
      <c r="J244" t="s">
        <v>63</v>
      </c>
      <c r="K244" t="s">
        <v>95</v>
      </c>
      <c r="L244" t="s">
        <v>21</v>
      </c>
      <c r="M244" t="s">
        <v>23</v>
      </c>
      <c r="N244" t="s">
        <v>24</v>
      </c>
      <c r="O244" t="s">
        <v>48</v>
      </c>
    </row>
    <row r="245" spans="1:15" x14ac:dyDescent="0.3">
      <c r="A245" t="s">
        <v>250</v>
      </c>
      <c r="C245" t="s">
        <v>15</v>
      </c>
      <c r="D245" t="s">
        <v>43</v>
      </c>
      <c r="E245" t="s">
        <v>69</v>
      </c>
      <c r="F245" t="s">
        <v>18</v>
      </c>
      <c r="G245" t="s">
        <v>51</v>
      </c>
      <c r="H245">
        <v>2</v>
      </c>
      <c r="I245" t="s">
        <v>45</v>
      </c>
      <c r="J245" t="s">
        <v>46</v>
      </c>
      <c r="K245" t="s">
        <v>39</v>
      </c>
      <c r="L245" t="s">
        <v>21</v>
      </c>
      <c r="M245" t="s">
        <v>34</v>
      </c>
      <c r="N245" t="s">
        <v>24</v>
      </c>
      <c r="O245" t="s">
        <v>21</v>
      </c>
    </row>
    <row r="246" spans="1:15" x14ac:dyDescent="0.3">
      <c r="A246" t="s">
        <v>68</v>
      </c>
      <c r="C246" t="s">
        <v>27</v>
      </c>
      <c r="D246" t="s">
        <v>43</v>
      </c>
      <c r="E246" t="s">
        <v>17</v>
      </c>
      <c r="F246" t="s">
        <v>102</v>
      </c>
      <c r="G246" t="s">
        <v>44</v>
      </c>
      <c r="H246">
        <v>4</v>
      </c>
      <c r="I246" t="s">
        <v>45</v>
      </c>
      <c r="J246" t="s">
        <v>63</v>
      </c>
      <c r="K246" t="s">
        <v>251</v>
      </c>
      <c r="L246" t="s">
        <v>21</v>
      </c>
      <c r="M246" t="s">
        <v>23</v>
      </c>
      <c r="N246" t="s">
        <v>24</v>
      </c>
      <c r="O246" t="s">
        <v>82</v>
      </c>
    </row>
    <row r="247" spans="1:15" x14ac:dyDescent="0.3">
      <c r="A247" t="s">
        <v>55</v>
      </c>
      <c r="C247" t="s">
        <v>15</v>
      </c>
      <c r="D247" t="s">
        <v>43</v>
      </c>
      <c r="E247" t="s">
        <v>29</v>
      </c>
      <c r="F247" t="s">
        <v>30</v>
      </c>
      <c r="G247" t="s">
        <v>51</v>
      </c>
      <c r="H247">
        <v>5</v>
      </c>
      <c r="I247" t="s">
        <v>59</v>
      </c>
      <c r="J247" t="s">
        <v>63</v>
      </c>
      <c r="K247" t="s">
        <v>252</v>
      </c>
      <c r="L247" t="s">
        <v>21</v>
      </c>
      <c r="M247" t="s">
        <v>23</v>
      </c>
      <c r="N247" t="s">
        <v>24</v>
      </c>
      <c r="O247" t="s">
        <v>48</v>
      </c>
    </row>
    <row r="248" spans="1:15" x14ac:dyDescent="0.3">
      <c r="A248" t="s">
        <v>68</v>
      </c>
      <c r="C248" t="s">
        <v>49</v>
      </c>
      <c r="D248" t="s">
        <v>43</v>
      </c>
      <c r="E248" t="s">
        <v>69</v>
      </c>
      <c r="F248" t="s">
        <v>15</v>
      </c>
      <c r="G248" t="s">
        <v>58</v>
      </c>
      <c r="H248">
        <v>5</v>
      </c>
      <c r="I248" t="s">
        <v>45</v>
      </c>
      <c r="J248" t="s">
        <v>46</v>
      </c>
      <c r="K248" t="s">
        <v>47</v>
      </c>
      <c r="L248" t="s">
        <v>21</v>
      </c>
      <c r="M248" t="s">
        <v>34</v>
      </c>
      <c r="N248" t="s">
        <v>24</v>
      </c>
      <c r="O248" t="s">
        <v>21</v>
      </c>
    </row>
    <row r="249" spans="1:15" x14ac:dyDescent="0.3">
      <c r="A249" t="s">
        <v>55</v>
      </c>
      <c r="C249" t="s">
        <v>27</v>
      </c>
      <c r="D249" t="s">
        <v>43</v>
      </c>
      <c r="E249" t="s">
        <v>50</v>
      </c>
      <c r="F249" t="s">
        <v>49</v>
      </c>
      <c r="G249" t="s">
        <v>51</v>
      </c>
      <c r="H249">
        <v>5</v>
      </c>
      <c r="I249" t="s">
        <v>45</v>
      </c>
      <c r="J249" t="s">
        <v>63</v>
      </c>
      <c r="K249" t="s">
        <v>96</v>
      </c>
      <c r="L249" t="s">
        <v>21</v>
      </c>
      <c r="M249" t="s">
        <v>23</v>
      </c>
      <c r="N249" t="s">
        <v>24</v>
      </c>
      <c r="O249" t="s">
        <v>48</v>
      </c>
    </row>
    <row r="250" spans="1:15" x14ac:dyDescent="0.3">
      <c r="A250" t="s">
        <v>121</v>
      </c>
      <c r="C250" t="s">
        <v>49</v>
      </c>
      <c r="D250" t="s">
        <v>253</v>
      </c>
      <c r="E250" t="s">
        <v>50</v>
      </c>
      <c r="F250" t="s">
        <v>49</v>
      </c>
      <c r="G250" t="s">
        <v>70</v>
      </c>
      <c r="H250">
        <v>5</v>
      </c>
      <c r="I250" t="s">
        <v>45</v>
      </c>
      <c r="J250" t="s">
        <v>46</v>
      </c>
      <c r="K250" t="s">
        <v>254</v>
      </c>
      <c r="L250" t="s">
        <v>21</v>
      </c>
      <c r="M250" t="s">
        <v>23</v>
      </c>
      <c r="N250" t="s">
        <v>24</v>
      </c>
      <c r="O250" t="s">
        <v>48</v>
      </c>
    </row>
    <row r="251" spans="1:15" x14ac:dyDescent="0.3">
      <c r="A251" t="s">
        <v>100</v>
      </c>
      <c r="C251" t="s">
        <v>27</v>
      </c>
      <c r="D251" t="s">
        <v>43</v>
      </c>
      <c r="E251" t="s">
        <v>50</v>
      </c>
      <c r="F251" t="s">
        <v>18</v>
      </c>
      <c r="G251" t="s">
        <v>44</v>
      </c>
      <c r="H251">
        <v>3</v>
      </c>
      <c r="I251" t="s">
        <v>45</v>
      </c>
      <c r="J251" t="s">
        <v>52</v>
      </c>
      <c r="K251" t="s">
        <v>67</v>
      </c>
      <c r="L251" t="s">
        <v>25</v>
      </c>
      <c r="M251" t="s">
        <v>34</v>
      </c>
      <c r="N251" t="s">
        <v>24</v>
      </c>
      <c r="O251" t="s">
        <v>48</v>
      </c>
    </row>
    <row r="252" spans="1:15" x14ac:dyDescent="0.3">
      <c r="A252" t="s">
        <v>41</v>
      </c>
      <c r="C252" t="s">
        <v>27</v>
      </c>
      <c r="D252" t="s">
        <v>43</v>
      </c>
      <c r="E252" t="s">
        <v>69</v>
      </c>
      <c r="F252" t="s">
        <v>102</v>
      </c>
      <c r="G252" t="s">
        <v>58</v>
      </c>
      <c r="H252">
        <v>5</v>
      </c>
      <c r="I252" t="s">
        <v>72</v>
      </c>
      <c r="J252" t="s">
        <v>63</v>
      </c>
      <c r="K252" t="s">
        <v>255</v>
      </c>
      <c r="L252" t="s">
        <v>21</v>
      </c>
      <c r="M252" t="s">
        <v>40</v>
      </c>
      <c r="N252" t="s">
        <v>24</v>
      </c>
      <c r="O252" t="s">
        <v>48</v>
      </c>
    </row>
    <row r="253" spans="1:15" x14ac:dyDescent="0.3">
      <c r="A253" t="s">
        <v>68</v>
      </c>
      <c r="C253" t="s">
        <v>15</v>
      </c>
      <c r="D253" t="s">
        <v>43</v>
      </c>
      <c r="E253" t="s">
        <v>17</v>
      </c>
      <c r="F253" t="s">
        <v>15</v>
      </c>
      <c r="G253" t="s">
        <v>44</v>
      </c>
      <c r="H253">
        <v>4</v>
      </c>
      <c r="I253" t="s">
        <v>45</v>
      </c>
      <c r="J253" t="s">
        <v>63</v>
      </c>
      <c r="K253" t="s">
        <v>256</v>
      </c>
      <c r="L253" t="s">
        <v>25</v>
      </c>
      <c r="M253" t="s">
        <v>34</v>
      </c>
      <c r="N253" t="s">
        <v>24</v>
      </c>
      <c r="O253" t="s">
        <v>48</v>
      </c>
    </row>
    <row r="254" spans="1:15" x14ac:dyDescent="0.3">
      <c r="A254" t="s">
        <v>41</v>
      </c>
      <c r="C254" t="s">
        <v>27</v>
      </c>
      <c r="D254" t="s">
        <v>43</v>
      </c>
      <c r="E254" t="s">
        <v>69</v>
      </c>
      <c r="F254" t="s">
        <v>18</v>
      </c>
      <c r="G254" t="s">
        <v>58</v>
      </c>
      <c r="H254">
        <v>5</v>
      </c>
      <c r="I254" t="s">
        <v>45</v>
      </c>
      <c r="J254" t="s">
        <v>52</v>
      </c>
      <c r="K254" t="s">
        <v>257</v>
      </c>
      <c r="L254" t="s">
        <v>21</v>
      </c>
      <c r="M254" t="s">
        <v>23</v>
      </c>
      <c r="N254" t="s">
        <v>24</v>
      </c>
      <c r="O254" t="s">
        <v>25</v>
      </c>
    </row>
    <row r="255" spans="1:15" x14ac:dyDescent="0.3">
      <c r="A255" t="s">
        <v>41</v>
      </c>
      <c r="C255" t="s">
        <v>15</v>
      </c>
      <c r="D255" t="s">
        <v>43</v>
      </c>
      <c r="E255" t="s">
        <v>37</v>
      </c>
      <c r="F255" t="s">
        <v>49</v>
      </c>
      <c r="G255" t="s">
        <v>58</v>
      </c>
      <c r="H255">
        <v>4</v>
      </c>
      <c r="I255" t="s">
        <v>45</v>
      </c>
      <c r="J255" t="s">
        <v>46</v>
      </c>
      <c r="K255" t="s">
        <v>111</v>
      </c>
      <c r="L255" t="s">
        <v>21</v>
      </c>
      <c r="M255" t="s">
        <v>34</v>
      </c>
      <c r="N255" t="s">
        <v>24</v>
      </c>
      <c r="O255" t="s">
        <v>25</v>
      </c>
    </row>
    <row r="256" spans="1:15" x14ac:dyDescent="0.3">
      <c r="A256" t="s">
        <v>97</v>
      </c>
      <c r="C256" t="s">
        <v>49</v>
      </c>
      <c r="D256" t="s">
        <v>258</v>
      </c>
      <c r="E256" t="s">
        <v>50</v>
      </c>
      <c r="F256" t="s">
        <v>49</v>
      </c>
      <c r="G256" t="s">
        <v>70</v>
      </c>
      <c r="H256">
        <v>5</v>
      </c>
      <c r="I256" t="s">
        <v>45</v>
      </c>
      <c r="J256" t="s">
        <v>63</v>
      </c>
      <c r="K256" t="s">
        <v>146</v>
      </c>
      <c r="L256" t="s">
        <v>25</v>
      </c>
      <c r="M256" t="s">
        <v>23</v>
      </c>
      <c r="N256" t="s">
        <v>136</v>
      </c>
      <c r="O256" t="s">
        <v>48</v>
      </c>
    </row>
    <row r="257" spans="1:15" x14ac:dyDescent="0.3">
      <c r="A257" t="s">
        <v>68</v>
      </c>
      <c r="C257" t="s">
        <v>15</v>
      </c>
      <c r="D257" t="s">
        <v>43</v>
      </c>
      <c r="E257" t="s">
        <v>37</v>
      </c>
      <c r="F257" t="s">
        <v>30</v>
      </c>
      <c r="G257" t="s">
        <v>44</v>
      </c>
      <c r="H257">
        <v>4</v>
      </c>
      <c r="I257" t="s">
        <v>45</v>
      </c>
      <c r="J257" t="s">
        <v>63</v>
      </c>
      <c r="K257" t="s">
        <v>259</v>
      </c>
      <c r="L257" t="s">
        <v>25</v>
      </c>
      <c r="M257" t="s">
        <v>23</v>
      </c>
      <c r="N257" t="s">
        <v>24</v>
      </c>
      <c r="O257" t="s">
        <v>82</v>
      </c>
    </row>
    <row r="258" spans="1:15" x14ac:dyDescent="0.3">
      <c r="A258" t="s">
        <v>66</v>
      </c>
      <c r="C258" t="s">
        <v>15</v>
      </c>
      <c r="D258" t="s">
        <v>43</v>
      </c>
      <c r="E258" t="s">
        <v>29</v>
      </c>
      <c r="F258" t="s">
        <v>102</v>
      </c>
      <c r="G258" t="s">
        <v>44</v>
      </c>
      <c r="H258">
        <v>5</v>
      </c>
      <c r="I258" t="s">
        <v>45</v>
      </c>
      <c r="J258" t="s">
        <v>63</v>
      </c>
      <c r="K258" t="s">
        <v>260</v>
      </c>
      <c r="L258" t="s">
        <v>21</v>
      </c>
      <c r="M258" t="s">
        <v>23</v>
      </c>
      <c r="N258" t="s">
        <v>24</v>
      </c>
      <c r="O258" t="s">
        <v>48</v>
      </c>
    </row>
    <row r="259" spans="1:15" x14ac:dyDescent="0.3">
      <c r="A259" t="s">
        <v>100</v>
      </c>
      <c r="C259" t="s">
        <v>15</v>
      </c>
      <c r="D259" t="s">
        <v>83</v>
      </c>
      <c r="E259" t="s">
        <v>17</v>
      </c>
      <c r="F259" t="s">
        <v>18</v>
      </c>
      <c r="G259" t="s">
        <v>70</v>
      </c>
      <c r="H259">
        <v>5</v>
      </c>
      <c r="I259" t="s">
        <v>45</v>
      </c>
      <c r="J259" t="s">
        <v>46</v>
      </c>
      <c r="K259" t="s">
        <v>56</v>
      </c>
      <c r="L259" t="s">
        <v>21</v>
      </c>
      <c r="M259" t="s">
        <v>40</v>
      </c>
      <c r="N259" t="s">
        <v>24</v>
      </c>
      <c r="O259" t="s">
        <v>21</v>
      </c>
    </row>
    <row r="260" spans="1:15" x14ac:dyDescent="0.3">
      <c r="A260" t="s">
        <v>55</v>
      </c>
      <c r="C260" t="s">
        <v>27</v>
      </c>
      <c r="D260" t="s">
        <v>83</v>
      </c>
      <c r="E260" t="s">
        <v>17</v>
      </c>
      <c r="F260" t="s">
        <v>15</v>
      </c>
      <c r="G260" t="s">
        <v>70</v>
      </c>
      <c r="H260">
        <v>3</v>
      </c>
      <c r="I260" t="s">
        <v>45</v>
      </c>
      <c r="J260" t="s">
        <v>46</v>
      </c>
      <c r="K260" t="s">
        <v>261</v>
      </c>
      <c r="L260" t="s">
        <v>21</v>
      </c>
      <c r="M260" t="s">
        <v>34</v>
      </c>
      <c r="N260" t="s">
        <v>24</v>
      </c>
      <c r="O260" t="s">
        <v>48</v>
      </c>
    </row>
    <row r="261" spans="1:15" x14ac:dyDescent="0.3">
      <c r="A261" t="s">
        <v>55</v>
      </c>
      <c r="C261" t="s">
        <v>42</v>
      </c>
      <c r="D261" t="s">
        <v>36</v>
      </c>
      <c r="E261" t="s">
        <v>29</v>
      </c>
      <c r="F261" t="s">
        <v>15</v>
      </c>
      <c r="G261" t="s">
        <v>51</v>
      </c>
      <c r="H261">
        <v>4</v>
      </c>
      <c r="I261" t="s">
        <v>84</v>
      </c>
      <c r="J261" t="s">
        <v>46</v>
      </c>
      <c r="K261" t="s">
        <v>56</v>
      </c>
      <c r="L261" t="s">
        <v>25</v>
      </c>
      <c r="M261" t="s">
        <v>34</v>
      </c>
      <c r="N261" t="s">
        <v>24</v>
      </c>
      <c r="O261" t="s">
        <v>21</v>
      </c>
    </row>
    <row r="262" spans="1:15" x14ac:dyDescent="0.3">
      <c r="A262" t="s">
        <v>55</v>
      </c>
      <c r="C262" t="s">
        <v>49</v>
      </c>
      <c r="D262" t="s">
        <v>43</v>
      </c>
      <c r="E262" t="s">
        <v>50</v>
      </c>
      <c r="F262" t="s">
        <v>30</v>
      </c>
      <c r="G262" t="s">
        <v>51</v>
      </c>
      <c r="H262">
        <v>5</v>
      </c>
      <c r="I262" t="s">
        <v>45</v>
      </c>
      <c r="J262" t="s">
        <v>63</v>
      </c>
      <c r="K262" t="s">
        <v>132</v>
      </c>
      <c r="L262" t="s">
        <v>21</v>
      </c>
      <c r="M262" t="s">
        <v>23</v>
      </c>
      <c r="N262" t="s">
        <v>24</v>
      </c>
      <c r="O262" t="s">
        <v>25</v>
      </c>
    </row>
    <row r="263" spans="1:15" x14ac:dyDescent="0.3">
      <c r="A263" t="s">
        <v>41</v>
      </c>
      <c r="C263" t="s">
        <v>42</v>
      </c>
      <c r="D263" t="s">
        <v>36</v>
      </c>
      <c r="E263" t="s">
        <v>17</v>
      </c>
      <c r="F263" t="s">
        <v>15</v>
      </c>
      <c r="G263" t="s">
        <v>70</v>
      </c>
      <c r="H263">
        <v>2</v>
      </c>
      <c r="I263" t="s">
        <v>45</v>
      </c>
      <c r="J263" t="s">
        <v>52</v>
      </c>
      <c r="K263" t="s">
        <v>67</v>
      </c>
      <c r="L263" t="s">
        <v>21</v>
      </c>
      <c r="M263" t="s">
        <v>23</v>
      </c>
      <c r="N263" t="s">
        <v>24</v>
      </c>
      <c r="O263" t="s">
        <v>25</v>
      </c>
    </row>
    <row r="264" spans="1:15" x14ac:dyDescent="0.3">
      <c r="A264" t="s">
        <v>68</v>
      </c>
      <c r="C264" t="s">
        <v>15</v>
      </c>
      <c r="D264" t="s">
        <v>43</v>
      </c>
      <c r="E264" t="s">
        <v>50</v>
      </c>
      <c r="F264" t="s">
        <v>49</v>
      </c>
      <c r="G264" t="s">
        <v>51</v>
      </c>
      <c r="H264">
        <v>5</v>
      </c>
      <c r="I264" t="s">
        <v>45</v>
      </c>
      <c r="J264" t="s">
        <v>52</v>
      </c>
      <c r="K264" t="s">
        <v>47</v>
      </c>
      <c r="L264" t="s">
        <v>25</v>
      </c>
      <c r="M264" t="s">
        <v>34</v>
      </c>
      <c r="N264" t="s">
        <v>88</v>
      </c>
      <c r="O264" t="s">
        <v>25</v>
      </c>
    </row>
    <row r="265" spans="1:15" x14ac:dyDescent="0.3">
      <c r="A265" t="s">
        <v>68</v>
      </c>
      <c r="C265" t="s">
        <v>15</v>
      </c>
      <c r="D265" t="s">
        <v>43</v>
      </c>
      <c r="E265" t="s">
        <v>37</v>
      </c>
      <c r="F265" t="s">
        <v>30</v>
      </c>
      <c r="G265" t="s">
        <v>51</v>
      </c>
      <c r="H265">
        <v>4</v>
      </c>
      <c r="I265" t="s">
        <v>45</v>
      </c>
      <c r="J265" t="s">
        <v>46</v>
      </c>
      <c r="K265" t="s">
        <v>262</v>
      </c>
      <c r="L265" t="s">
        <v>21</v>
      </c>
      <c r="M265" t="s">
        <v>23</v>
      </c>
      <c r="N265" t="s">
        <v>24</v>
      </c>
      <c r="O265" t="s">
        <v>21</v>
      </c>
    </row>
    <row r="266" spans="1:15" x14ac:dyDescent="0.3">
      <c r="A266" t="s">
        <v>100</v>
      </c>
      <c r="C266" t="s">
        <v>42</v>
      </c>
      <c r="D266" t="s">
        <v>43</v>
      </c>
      <c r="E266" t="s">
        <v>37</v>
      </c>
      <c r="F266" t="s">
        <v>18</v>
      </c>
      <c r="G266" t="s">
        <v>58</v>
      </c>
      <c r="H266">
        <v>5</v>
      </c>
      <c r="I266" t="s">
        <v>45</v>
      </c>
      <c r="J266" t="s">
        <v>63</v>
      </c>
      <c r="K266" t="s">
        <v>263</v>
      </c>
      <c r="L266" t="s">
        <v>21</v>
      </c>
      <c r="M266" t="s">
        <v>40</v>
      </c>
      <c r="N266" t="s">
        <v>24</v>
      </c>
      <c r="O266" t="s">
        <v>48</v>
      </c>
    </row>
    <row r="267" spans="1:15" x14ac:dyDescent="0.3">
      <c r="A267" t="s">
        <v>100</v>
      </c>
      <c r="C267" t="s">
        <v>15</v>
      </c>
      <c r="D267" t="s">
        <v>43</v>
      </c>
      <c r="E267" t="s">
        <v>17</v>
      </c>
      <c r="F267" t="s">
        <v>15</v>
      </c>
      <c r="G267" t="s">
        <v>51</v>
      </c>
      <c r="H267">
        <v>5</v>
      </c>
      <c r="I267" t="s">
        <v>45</v>
      </c>
      <c r="J267" t="s">
        <v>63</v>
      </c>
      <c r="K267" t="s">
        <v>60</v>
      </c>
      <c r="L267" t="s">
        <v>21</v>
      </c>
      <c r="M267" t="s">
        <v>23</v>
      </c>
      <c r="N267" t="s">
        <v>24</v>
      </c>
      <c r="O267" t="s">
        <v>25</v>
      </c>
    </row>
    <row r="268" spans="1:15" x14ac:dyDescent="0.3">
      <c r="A268" t="s">
        <v>55</v>
      </c>
      <c r="C268" t="s">
        <v>15</v>
      </c>
      <c r="D268" t="s">
        <v>43</v>
      </c>
      <c r="E268" t="s">
        <v>29</v>
      </c>
      <c r="F268" t="s">
        <v>30</v>
      </c>
      <c r="G268" t="s">
        <v>44</v>
      </c>
      <c r="H268">
        <v>3</v>
      </c>
      <c r="I268" t="s">
        <v>45</v>
      </c>
      <c r="J268" t="s">
        <v>63</v>
      </c>
      <c r="K268" t="s">
        <v>256</v>
      </c>
      <c r="L268" t="s">
        <v>25</v>
      </c>
      <c r="M268" t="s">
        <v>34</v>
      </c>
      <c r="N268" t="s">
        <v>24</v>
      </c>
      <c r="O268" t="s">
        <v>48</v>
      </c>
    </row>
    <row r="269" spans="1:15" x14ac:dyDescent="0.3">
      <c r="A269" t="s">
        <v>100</v>
      </c>
      <c r="C269" t="s">
        <v>42</v>
      </c>
      <c r="D269" t="s">
        <v>36</v>
      </c>
      <c r="E269" t="s">
        <v>37</v>
      </c>
      <c r="F269" t="s">
        <v>18</v>
      </c>
      <c r="G269" t="s">
        <v>44</v>
      </c>
      <c r="H269">
        <v>4</v>
      </c>
      <c r="I269" t="s">
        <v>59</v>
      </c>
      <c r="J269" t="s">
        <v>46</v>
      </c>
      <c r="K269" t="s">
        <v>56</v>
      </c>
      <c r="L269" t="s">
        <v>21</v>
      </c>
      <c r="M269" t="s">
        <v>40</v>
      </c>
      <c r="N269" t="s">
        <v>24</v>
      </c>
      <c r="O269" t="s">
        <v>21</v>
      </c>
    </row>
    <row r="270" spans="1:15" x14ac:dyDescent="0.3">
      <c r="A270" t="s">
        <v>68</v>
      </c>
      <c r="C270" t="s">
        <v>49</v>
      </c>
      <c r="D270" t="s">
        <v>43</v>
      </c>
      <c r="E270" t="s">
        <v>69</v>
      </c>
      <c r="F270" t="s">
        <v>102</v>
      </c>
      <c r="G270" t="s">
        <v>51</v>
      </c>
      <c r="H270">
        <v>3</v>
      </c>
      <c r="I270" t="s">
        <v>45</v>
      </c>
      <c r="J270" t="s">
        <v>52</v>
      </c>
      <c r="K270" t="s">
        <v>264</v>
      </c>
      <c r="L270" t="s">
        <v>25</v>
      </c>
      <c r="M270" t="s">
        <v>34</v>
      </c>
      <c r="N270" t="s">
        <v>24</v>
      </c>
      <c r="O270" t="s">
        <v>25</v>
      </c>
    </row>
    <row r="271" spans="1:15" x14ac:dyDescent="0.3">
      <c r="A271" t="s">
        <v>68</v>
      </c>
      <c r="C271" t="s">
        <v>15</v>
      </c>
      <c r="D271" t="s">
        <v>83</v>
      </c>
      <c r="E271" t="s">
        <v>69</v>
      </c>
      <c r="F271" t="s">
        <v>15</v>
      </c>
      <c r="G271" t="s">
        <v>44</v>
      </c>
      <c r="H271">
        <v>3</v>
      </c>
      <c r="I271" t="s">
        <v>45</v>
      </c>
      <c r="J271" t="s">
        <v>63</v>
      </c>
      <c r="K271" t="s">
        <v>155</v>
      </c>
      <c r="L271" t="s">
        <v>25</v>
      </c>
      <c r="M271" t="s">
        <v>23</v>
      </c>
      <c r="N271" t="s">
        <v>113</v>
      </c>
      <c r="O271" t="s">
        <v>48</v>
      </c>
    </row>
    <row r="272" spans="1:15" x14ac:dyDescent="0.3">
      <c r="A272" t="s">
        <v>66</v>
      </c>
      <c r="C272" t="s">
        <v>49</v>
      </c>
      <c r="D272" t="s">
        <v>43</v>
      </c>
      <c r="E272" t="s">
        <v>69</v>
      </c>
      <c r="F272" t="s">
        <v>30</v>
      </c>
      <c r="G272" t="s">
        <v>51</v>
      </c>
      <c r="H272">
        <v>4</v>
      </c>
      <c r="I272" t="s">
        <v>45</v>
      </c>
      <c r="J272" t="s">
        <v>52</v>
      </c>
      <c r="K272" t="s">
        <v>232</v>
      </c>
      <c r="L272" t="s">
        <v>21</v>
      </c>
      <c r="M272" t="s">
        <v>23</v>
      </c>
      <c r="N272" t="s">
        <v>113</v>
      </c>
      <c r="O272" t="s">
        <v>21</v>
      </c>
    </row>
    <row r="273" spans="1:15" x14ac:dyDescent="0.3">
      <c r="A273" t="s">
        <v>75</v>
      </c>
      <c r="C273" t="s">
        <v>27</v>
      </c>
      <c r="D273" t="s">
        <v>43</v>
      </c>
      <c r="E273" t="s">
        <v>50</v>
      </c>
      <c r="F273" t="s">
        <v>30</v>
      </c>
      <c r="G273" t="s">
        <v>58</v>
      </c>
      <c r="H273">
        <v>5</v>
      </c>
      <c r="I273" t="s">
        <v>45</v>
      </c>
      <c r="J273" t="s">
        <v>46</v>
      </c>
      <c r="K273" t="s">
        <v>265</v>
      </c>
      <c r="L273" t="s">
        <v>25</v>
      </c>
      <c r="M273" t="s">
        <v>23</v>
      </c>
      <c r="N273" t="s">
        <v>24</v>
      </c>
      <c r="O273" t="s">
        <v>48</v>
      </c>
    </row>
    <row r="274" spans="1:15" x14ac:dyDescent="0.3">
      <c r="A274" t="s">
        <v>26</v>
      </c>
      <c r="C274" t="s">
        <v>15</v>
      </c>
      <c r="D274" t="s">
        <v>43</v>
      </c>
      <c r="E274" t="s">
        <v>69</v>
      </c>
      <c r="F274" t="s">
        <v>30</v>
      </c>
      <c r="G274" t="s">
        <v>70</v>
      </c>
      <c r="H274">
        <v>5</v>
      </c>
      <c r="I274" t="s">
        <v>45</v>
      </c>
      <c r="J274" t="s">
        <v>63</v>
      </c>
      <c r="K274" t="s">
        <v>266</v>
      </c>
      <c r="L274" t="s">
        <v>21</v>
      </c>
      <c r="M274" t="s">
        <v>40</v>
      </c>
      <c r="N274" t="s">
        <v>24</v>
      </c>
      <c r="O274" t="s">
        <v>21</v>
      </c>
    </row>
    <row r="275" spans="1:15" x14ac:dyDescent="0.3">
      <c r="A275" t="s">
        <v>14</v>
      </c>
      <c r="C275" t="s">
        <v>49</v>
      </c>
      <c r="D275" t="s">
        <v>43</v>
      </c>
      <c r="E275" t="s">
        <v>50</v>
      </c>
      <c r="F275" t="s">
        <v>30</v>
      </c>
      <c r="G275" t="s">
        <v>51</v>
      </c>
      <c r="H275">
        <v>5</v>
      </c>
      <c r="I275" t="s">
        <v>45</v>
      </c>
      <c r="J275" t="s">
        <v>63</v>
      </c>
      <c r="K275" t="s">
        <v>267</v>
      </c>
      <c r="L275" t="s">
        <v>25</v>
      </c>
      <c r="M275" t="s">
        <v>23</v>
      </c>
      <c r="N275" t="s">
        <v>24</v>
      </c>
      <c r="O275" t="s">
        <v>48</v>
      </c>
    </row>
    <row r="276" spans="1:15" x14ac:dyDescent="0.3">
      <c r="A276" t="s">
        <v>97</v>
      </c>
      <c r="C276" t="s">
        <v>15</v>
      </c>
      <c r="D276" t="s">
        <v>43</v>
      </c>
      <c r="E276" t="s">
        <v>37</v>
      </c>
      <c r="F276" t="s">
        <v>30</v>
      </c>
      <c r="G276" t="s">
        <v>44</v>
      </c>
      <c r="H276">
        <v>1</v>
      </c>
      <c r="I276" t="s">
        <v>45</v>
      </c>
      <c r="J276" t="s">
        <v>52</v>
      </c>
      <c r="K276" t="s">
        <v>39</v>
      </c>
      <c r="L276" t="s">
        <v>25</v>
      </c>
      <c r="M276" t="s">
        <v>34</v>
      </c>
      <c r="N276" t="s">
        <v>24</v>
      </c>
      <c r="O276" t="s">
        <v>21</v>
      </c>
    </row>
    <row r="277" spans="1:15" x14ac:dyDescent="0.3">
      <c r="A277" t="s">
        <v>75</v>
      </c>
      <c r="C277" t="s">
        <v>42</v>
      </c>
      <c r="D277" t="s">
        <v>43</v>
      </c>
      <c r="E277" t="s">
        <v>50</v>
      </c>
      <c r="F277" t="s">
        <v>30</v>
      </c>
      <c r="G277" t="s">
        <v>51</v>
      </c>
      <c r="H277">
        <v>5</v>
      </c>
      <c r="I277" t="s">
        <v>45</v>
      </c>
      <c r="J277" t="s">
        <v>46</v>
      </c>
      <c r="K277" t="s">
        <v>268</v>
      </c>
      <c r="L277" t="s">
        <v>21</v>
      </c>
      <c r="M277" t="s">
        <v>23</v>
      </c>
      <c r="N277" t="s">
        <v>136</v>
      </c>
      <c r="O277" t="s">
        <v>48</v>
      </c>
    </row>
    <row r="278" spans="1:15" x14ac:dyDescent="0.3">
      <c r="A278" t="s">
        <v>68</v>
      </c>
      <c r="C278" t="s">
        <v>49</v>
      </c>
      <c r="D278" t="s">
        <v>43</v>
      </c>
      <c r="E278" t="s">
        <v>50</v>
      </c>
      <c r="F278" t="s">
        <v>49</v>
      </c>
      <c r="G278" t="s">
        <v>44</v>
      </c>
      <c r="H278">
        <v>4</v>
      </c>
      <c r="I278" t="s">
        <v>45</v>
      </c>
      <c r="J278" t="s">
        <v>63</v>
      </c>
      <c r="K278" t="s">
        <v>269</v>
      </c>
      <c r="L278" t="s">
        <v>21</v>
      </c>
      <c r="M278" t="s">
        <v>34</v>
      </c>
      <c r="N278" t="s">
        <v>24</v>
      </c>
      <c r="O278" t="s">
        <v>25</v>
      </c>
    </row>
    <row r="279" spans="1:15" x14ac:dyDescent="0.3">
      <c r="A279" t="s">
        <v>55</v>
      </c>
      <c r="C279" t="s">
        <v>15</v>
      </c>
      <c r="D279" t="s">
        <v>43</v>
      </c>
      <c r="E279" t="s">
        <v>69</v>
      </c>
      <c r="F279" t="s">
        <v>102</v>
      </c>
      <c r="G279" t="s">
        <v>70</v>
      </c>
      <c r="H279">
        <v>4</v>
      </c>
      <c r="I279" t="s">
        <v>45</v>
      </c>
      <c r="J279" t="s">
        <v>63</v>
      </c>
      <c r="K279" t="s">
        <v>96</v>
      </c>
      <c r="L279" t="s">
        <v>21</v>
      </c>
      <c r="M279" t="s">
        <v>23</v>
      </c>
      <c r="N279" t="s">
        <v>136</v>
      </c>
      <c r="O279" t="s">
        <v>48</v>
      </c>
    </row>
    <row r="280" spans="1:15" x14ac:dyDescent="0.3">
      <c r="A280" t="s">
        <v>68</v>
      </c>
      <c r="C280" t="s">
        <v>15</v>
      </c>
      <c r="D280" t="s">
        <v>43</v>
      </c>
      <c r="E280" t="s">
        <v>50</v>
      </c>
      <c r="F280" t="s">
        <v>49</v>
      </c>
      <c r="G280" t="s">
        <v>44</v>
      </c>
      <c r="H280">
        <v>2</v>
      </c>
      <c r="I280" t="s">
        <v>45</v>
      </c>
      <c r="J280" t="s">
        <v>52</v>
      </c>
      <c r="K280" t="s">
        <v>270</v>
      </c>
      <c r="L280" t="s">
        <v>25</v>
      </c>
      <c r="M280" t="s">
        <v>34</v>
      </c>
      <c r="N280" t="s">
        <v>136</v>
      </c>
      <c r="O280" t="s">
        <v>25</v>
      </c>
    </row>
    <row r="281" spans="1:15" x14ac:dyDescent="0.3">
      <c r="A281" t="s">
        <v>66</v>
      </c>
      <c r="C281" t="s">
        <v>27</v>
      </c>
      <c r="D281" t="s">
        <v>43</v>
      </c>
      <c r="E281" t="s">
        <v>50</v>
      </c>
      <c r="F281" t="s">
        <v>30</v>
      </c>
      <c r="G281" t="s">
        <v>58</v>
      </c>
      <c r="H281">
        <v>5</v>
      </c>
      <c r="I281" t="s">
        <v>45</v>
      </c>
      <c r="J281" t="s">
        <v>46</v>
      </c>
      <c r="K281" t="s">
        <v>219</v>
      </c>
      <c r="L281" t="s">
        <v>21</v>
      </c>
      <c r="M281" t="s">
        <v>23</v>
      </c>
      <c r="N281" t="s">
        <v>136</v>
      </c>
      <c r="O281" t="s">
        <v>82</v>
      </c>
    </row>
    <row r="282" spans="1:15" x14ac:dyDescent="0.3">
      <c r="A282" t="s">
        <v>75</v>
      </c>
      <c r="C282" t="s">
        <v>27</v>
      </c>
      <c r="D282" t="s">
        <v>124</v>
      </c>
      <c r="E282" t="s">
        <v>69</v>
      </c>
      <c r="F282" t="s">
        <v>15</v>
      </c>
      <c r="G282" t="s">
        <v>58</v>
      </c>
      <c r="H282">
        <v>4</v>
      </c>
      <c r="I282" t="s">
        <v>45</v>
      </c>
      <c r="J282" t="s">
        <v>46</v>
      </c>
      <c r="K282" t="s">
        <v>271</v>
      </c>
      <c r="L282" t="s">
        <v>21</v>
      </c>
      <c r="M282" t="s">
        <v>23</v>
      </c>
      <c r="N282" t="s">
        <v>54</v>
      </c>
      <c r="O282" t="s">
        <v>48</v>
      </c>
    </row>
    <row r="283" spans="1:15" x14ac:dyDescent="0.3">
      <c r="A283" t="s">
        <v>66</v>
      </c>
      <c r="C283" t="s">
        <v>49</v>
      </c>
      <c r="D283" t="s">
        <v>186</v>
      </c>
      <c r="E283" t="s">
        <v>50</v>
      </c>
      <c r="F283" t="s">
        <v>30</v>
      </c>
      <c r="G283" t="s">
        <v>51</v>
      </c>
      <c r="H283">
        <v>5</v>
      </c>
      <c r="I283" t="s">
        <v>59</v>
      </c>
      <c r="J283" t="s">
        <v>46</v>
      </c>
      <c r="K283" t="s">
        <v>231</v>
      </c>
      <c r="L283" t="s">
        <v>21</v>
      </c>
      <c r="M283" t="s">
        <v>40</v>
      </c>
      <c r="N283" t="s">
        <v>88</v>
      </c>
      <c r="O283" t="s">
        <v>21</v>
      </c>
    </row>
    <row r="284" spans="1:15" x14ac:dyDescent="0.3">
      <c r="A284" t="s">
        <v>97</v>
      </c>
      <c r="C284" t="s">
        <v>27</v>
      </c>
      <c r="D284" t="s">
        <v>43</v>
      </c>
      <c r="E284" t="s">
        <v>50</v>
      </c>
      <c r="F284" t="s">
        <v>49</v>
      </c>
      <c r="G284" t="s">
        <v>58</v>
      </c>
      <c r="H284">
        <v>4</v>
      </c>
      <c r="I284" t="s">
        <v>45</v>
      </c>
      <c r="J284" t="s">
        <v>52</v>
      </c>
      <c r="K284" t="s">
        <v>96</v>
      </c>
      <c r="L284" t="s">
        <v>21</v>
      </c>
      <c r="M284" t="s">
        <v>34</v>
      </c>
      <c r="N284" t="s">
        <v>24</v>
      </c>
      <c r="O284" t="s">
        <v>82</v>
      </c>
    </row>
    <row r="285" spans="1:15" x14ac:dyDescent="0.3">
      <c r="A285" t="s">
        <v>66</v>
      </c>
      <c r="C285" t="s">
        <v>15</v>
      </c>
      <c r="D285" t="s">
        <v>43</v>
      </c>
      <c r="E285" t="s">
        <v>50</v>
      </c>
      <c r="F285" t="s">
        <v>15</v>
      </c>
      <c r="G285" t="s">
        <v>44</v>
      </c>
      <c r="H285">
        <v>2</v>
      </c>
      <c r="I285" t="s">
        <v>45</v>
      </c>
      <c r="J285" t="s">
        <v>63</v>
      </c>
      <c r="K285" t="s">
        <v>272</v>
      </c>
      <c r="L285" t="s">
        <v>25</v>
      </c>
      <c r="M285" t="s">
        <v>23</v>
      </c>
      <c r="N285" t="s">
        <v>24</v>
      </c>
      <c r="O285" t="s">
        <v>25</v>
      </c>
    </row>
    <row r="286" spans="1:15" x14ac:dyDescent="0.3">
      <c r="A286" t="s">
        <v>55</v>
      </c>
      <c r="C286" t="s">
        <v>42</v>
      </c>
      <c r="D286" t="s">
        <v>43</v>
      </c>
      <c r="E286" t="s">
        <v>37</v>
      </c>
      <c r="F286" t="s">
        <v>30</v>
      </c>
      <c r="G286" t="s">
        <v>70</v>
      </c>
      <c r="H286">
        <v>3</v>
      </c>
      <c r="I286" t="s">
        <v>45</v>
      </c>
      <c r="J286" t="s">
        <v>46</v>
      </c>
      <c r="K286" t="s">
        <v>273</v>
      </c>
      <c r="L286" t="s">
        <v>21</v>
      </c>
      <c r="M286" t="s">
        <v>23</v>
      </c>
      <c r="N286" t="s">
        <v>24</v>
      </c>
      <c r="O286" t="s">
        <v>48</v>
      </c>
    </row>
    <row r="287" spans="1:15" x14ac:dyDescent="0.3">
      <c r="A287" t="s">
        <v>61</v>
      </c>
      <c r="C287" t="s">
        <v>15</v>
      </c>
      <c r="D287" t="s">
        <v>124</v>
      </c>
      <c r="E287" t="s">
        <v>50</v>
      </c>
      <c r="F287" t="s">
        <v>49</v>
      </c>
      <c r="G287" t="s">
        <v>44</v>
      </c>
      <c r="H287">
        <v>5</v>
      </c>
      <c r="I287" t="s">
        <v>59</v>
      </c>
      <c r="J287" t="s">
        <v>46</v>
      </c>
      <c r="K287" t="s">
        <v>274</v>
      </c>
      <c r="L287" t="s">
        <v>21</v>
      </c>
      <c r="M287" t="s">
        <v>23</v>
      </c>
      <c r="N287" t="s">
        <v>113</v>
      </c>
      <c r="O287" t="s">
        <v>21</v>
      </c>
    </row>
    <row r="288" spans="1:15" x14ac:dyDescent="0.3">
      <c r="A288" t="s">
        <v>103</v>
      </c>
      <c r="C288" t="s">
        <v>15</v>
      </c>
      <c r="D288" t="s">
        <v>83</v>
      </c>
      <c r="E288" t="s">
        <v>29</v>
      </c>
      <c r="F288" t="s">
        <v>15</v>
      </c>
      <c r="G288" t="s">
        <v>44</v>
      </c>
      <c r="H288">
        <v>3</v>
      </c>
      <c r="I288" t="s">
        <v>45</v>
      </c>
      <c r="J288" t="s">
        <v>46</v>
      </c>
      <c r="K288" t="s">
        <v>236</v>
      </c>
      <c r="L288" t="s">
        <v>21</v>
      </c>
      <c r="M288" t="s">
        <v>23</v>
      </c>
      <c r="N288" t="s">
        <v>24</v>
      </c>
      <c r="O288" t="s">
        <v>48</v>
      </c>
    </row>
    <row r="289" spans="1:15" x14ac:dyDescent="0.3">
      <c r="A289" t="s">
        <v>41</v>
      </c>
      <c r="C289" t="s">
        <v>15</v>
      </c>
      <c r="D289" t="s">
        <v>83</v>
      </c>
      <c r="E289" t="s">
        <v>17</v>
      </c>
      <c r="F289" t="s">
        <v>15</v>
      </c>
      <c r="G289" t="s">
        <v>51</v>
      </c>
      <c r="H289">
        <v>2</v>
      </c>
      <c r="I289" t="s">
        <v>59</v>
      </c>
      <c r="J289" t="s">
        <v>63</v>
      </c>
      <c r="K289" t="s">
        <v>47</v>
      </c>
      <c r="L289" t="s">
        <v>25</v>
      </c>
      <c r="M289" t="s">
        <v>34</v>
      </c>
      <c r="N289" t="s">
        <v>24</v>
      </c>
      <c r="O289" t="s">
        <v>25</v>
      </c>
    </row>
    <row r="290" spans="1:15" x14ac:dyDescent="0.3">
      <c r="A290" t="s">
        <v>55</v>
      </c>
      <c r="C290" t="s">
        <v>49</v>
      </c>
      <c r="D290" t="s">
        <v>275</v>
      </c>
      <c r="E290" t="s">
        <v>50</v>
      </c>
      <c r="F290" t="s">
        <v>49</v>
      </c>
      <c r="G290" t="s">
        <v>51</v>
      </c>
      <c r="H290">
        <v>1</v>
      </c>
      <c r="I290" t="s">
        <v>45</v>
      </c>
      <c r="J290" t="s">
        <v>52</v>
      </c>
      <c r="K290" t="s">
        <v>276</v>
      </c>
      <c r="L290" t="s">
        <v>25</v>
      </c>
      <c r="M290" t="s">
        <v>34</v>
      </c>
      <c r="N290" t="s">
        <v>88</v>
      </c>
      <c r="O290" t="s">
        <v>25</v>
      </c>
    </row>
    <row r="291" spans="1:15" x14ac:dyDescent="0.3">
      <c r="A291" t="s">
        <v>55</v>
      </c>
      <c r="C291" t="s">
        <v>27</v>
      </c>
      <c r="D291" t="s">
        <v>43</v>
      </c>
      <c r="E291" t="s">
        <v>50</v>
      </c>
      <c r="F291" t="s">
        <v>30</v>
      </c>
      <c r="G291" t="s">
        <v>51</v>
      </c>
      <c r="H291">
        <v>5</v>
      </c>
      <c r="I291" t="s">
        <v>45</v>
      </c>
      <c r="J291" t="s">
        <v>52</v>
      </c>
      <c r="K291" t="s">
        <v>39</v>
      </c>
      <c r="L291" t="s">
        <v>25</v>
      </c>
      <c r="M291" t="s">
        <v>34</v>
      </c>
      <c r="N291" t="s">
        <v>24</v>
      </c>
      <c r="O291" t="s">
        <v>25</v>
      </c>
    </row>
    <row r="292" spans="1:15" x14ac:dyDescent="0.3">
      <c r="A292" t="s">
        <v>75</v>
      </c>
      <c r="C292" t="s">
        <v>27</v>
      </c>
      <c r="D292" t="s">
        <v>43</v>
      </c>
      <c r="E292" t="s">
        <v>37</v>
      </c>
      <c r="F292" t="s">
        <v>30</v>
      </c>
      <c r="G292" t="s">
        <v>51</v>
      </c>
      <c r="H292">
        <v>4</v>
      </c>
      <c r="I292" t="s">
        <v>45</v>
      </c>
      <c r="J292" t="s">
        <v>63</v>
      </c>
      <c r="K292" t="s">
        <v>277</v>
      </c>
      <c r="L292" t="s">
        <v>25</v>
      </c>
      <c r="M292" t="s">
        <v>34</v>
      </c>
      <c r="N292" t="s">
        <v>88</v>
      </c>
      <c r="O292" t="s">
        <v>25</v>
      </c>
    </row>
    <row r="293" spans="1:15" x14ac:dyDescent="0.3">
      <c r="A293" t="s">
        <v>68</v>
      </c>
      <c r="C293" t="s">
        <v>49</v>
      </c>
      <c r="D293" t="s">
        <v>43</v>
      </c>
      <c r="E293" t="s">
        <v>50</v>
      </c>
      <c r="F293" t="s">
        <v>49</v>
      </c>
      <c r="G293" t="s">
        <v>58</v>
      </c>
      <c r="H293">
        <v>5</v>
      </c>
      <c r="I293" t="s">
        <v>45</v>
      </c>
      <c r="J293" t="s">
        <v>46</v>
      </c>
      <c r="K293" t="s">
        <v>110</v>
      </c>
      <c r="L293" t="s">
        <v>21</v>
      </c>
      <c r="M293" t="s">
        <v>23</v>
      </c>
      <c r="N293" t="s">
        <v>24</v>
      </c>
      <c r="O293" t="s">
        <v>48</v>
      </c>
    </row>
    <row r="294" spans="1:15" x14ac:dyDescent="0.3">
      <c r="A294" t="s">
        <v>41</v>
      </c>
      <c r="C294" t="s">
        <v>15</v>
      </c>
      <c r="D294" t="s">
        <v>43</v>
      </c>
      <c r="E294" t="s">
        <v>29</v>
      </c>
      <c r="F294" t="s">
        <v>49</v>
      </c>
      <c r="G294" t="s">
        <v>44</v>
      </c>
      <c r="H294">
        <v>3</v>
      </c>
      <c r="I294" t="s">
        <v>45</v>
      </c>
      <c r="J294" t="s">
        <v>63</v>
      </c>
      <c r="K294" t="s">
        <v>278</v>
      </c>
      <c r="L294" t="s">
        <v>21</v>
      </c>
      <c r="M294" t="s">
        <v>23</v>
      </c>
      <c r="N294" t="s">
        <v>24</v>
      </c>
      <c r="O294" t="s">
        <v>48</v>
      </c>
    </row>
    <row r="295" spans="1:15" x14ac:dyDescent="0.3">
      <c r="A295" t="s">
        <v>100</v>
      </c>
      <c r="C295" t="s">
        <v>27</v>
      </c>
      <c r="D295" t="s">
        <v>16</v>
      </c>
      <c r="E295" t="s">
        <v>69</v>
      </c>
      <c r="F295" t="s">
        <v>102</v>
      </c>
      <c r="G295" t="s">
        <v>44</v>
      </c>
      <c r="H295">
        <v>5</v>
      </c>
      <c r="I295" t="s">
        <v>84</v>
      </c>
      <c r="J295" t="s">
        <v>52</v>
      </c>
      <c r="K295" t="s">
        <v>157</v>
      </c>
      <c r="L295" t="s">
        <v>21</v>
      </c>
      <c r="M295" t="s">
        <v>40</v>
      </c>
      <c r="N295" t="s">
        <v>24</v>
      </c>
      <c r="O295" t="s">
        <v>82</v>
      </c>
    </row>
    <row r="296" spans="1:15" x14ac:dyDescent="0.3">
      <c r="A296" t="s">
        <v>100</v>
      </c>
      <c r="C296" t="s">
        <v>15</v>
      </c>
      <c r="D296" t="s">
        <v>43</v>
      </c>
      <c r="E296" t="s">
        <v>17</v>
      </c>
      <c r="F296" t="s">
        <v>15</v>
      </c>
      <c r="G296" t="s">
        <v>51</v>
      </c>
      <c r="H296">
        <v>5</v>
      </c>
      <c r="I296" t="s">
        <v>45</v>
      </c>
      <c r="J296" t="s">
        <v>46</v>
      </c>
      <c r="K296" t="s">
        <v>131</v>
      </c>
      <c r="L296" t="s">
        <v>25</v>
      </c>
      <c r="M296" t="s">
        <v>23</v>
      </c>
      <c r="N296" t="s">
        <v>113</v>
      </c>
      <c r="O296" t="s">
        <v>48</v>
      </c>
    </row>
    <row r="297" spans="1:15" x14ac:dyDescent="0.3">
      <c r="A297" t="s">
        <v>68</v>
      </c>
      <c r="C297" t="s">
        <v>27</v>
      </c>
      <c r="D297" t="s">
        <v>43</v>
      </c>
      <c r="E297" t="s">
        <v>50</v>
      </c>
      <c r="F297" t="s">
        <v>49</v>
      </c>
      <c r="G297" t="s">
        <v>58</v>
      </c>
      <c r="H297">
        <v>5</v>
      </c>
      <c r="I297" t="s">
        <v>45</v>
      </c>
      <c r="J297" t="s">
        <v>63</v>
      </c>
      <c r="K297" t="s">
        <v>279</v>
      </c>
      <c r="L297" t="s">
        <v>21</v>
      </c>
      <c r="M297" t="s">
        <v>40</v>
      </c>
      <c r="N297" t="s">
        <v>113</v>
      </c>
      <c r="O297" t="s">
        <v>25</v>
      </c>
    </row>
    <row r="298" spans="1:15" x14ac:dyDescent="0.3">
      <c r="A298" t="s">
        <v>162</v>
      </c>
      <c r="C298" t="s">
        <v>49</v>
      </c>
      <c r="D298" t="s">
        <v>43</v>
      </c>
      <c r="E298" t="s">
        <v>50</v>
      </c>
      <c r="F298" t="s">
        <v>49</v>
      </c>
      <c r="G298" t="s">
        <v>58</v>
      </c>
      <c r="H298">
        <v>4</v>
      </c>
      <c r="I298" t="s">
        <v>45</v>
      </c>
      <c r="J298" t="s">
        <v>63</v>
      </c>
      <c r="K298" t="s">
        <v>280</v>
      </c>
      <c r="L298" t="s">
        <v>21</v>
      </c>
      <c r="M298" t="s">
        <v>40</v>
      </c>
      <c r="N298" t="s">
        <v>24</v>
      </c>
      <c r="O298" t="s">
        <v>48</v>
      </c>
    </row>
    <row r="299" spans="1:15" x14ac:dyDescent="0.3">
      <c r="A299" t="s">
        <v>55</v>
      </c>
      <c r="C299" t="s">
        <v>49</v>
      </c>
      <c r="D299" t="s">
        <v>16</v>
      </c>
      <c r="E299" t="s">
        <v>17</v>
      </c>
      <c r="F299" t="s">
        <v>30</v>
      </c>
      <c r="G299" t="s">
        <v>58</v>
      </c>
      <c r="H299">
        <v>2</v>
      </c>
      <c r="I299" t="s">
        <v>45</v>
      </c>
      <c r="J299" t="s">
        <v>46</v>
      </c>
      <c r="K299" t="s">
        <v>96</v>
      </c>
      <c r="L299" t="s">
        <v>25</v>
      </c>
      <c r="M299" t="s">
        <v>34</v>
      </c>
      <c r="N299" t="s">
        <v>24</v>
      </c>
      <c r="O299" t="s">
        <v>48</v>
      </c>
    </row>
    <row r="300" spans="1:15" x14ac:dyDescent="0.3">
      <c r="A300" t="s">
        <v>135</v>
      </c>
      <c r="C300" t="s">
        <v>27</v>
      </c>
      <c r="D300" t="s">
        <v>43</v>
      </c>
      <c r="E300" t="s">
        <v>17</v>
      </c>
      <c r="F300" t="s">
        <v>30</v>
      </c>
      <c r="G300" t="s">
        <v>51</v>
      </c>
      <c r="H300">
        <v>3</v>
      </c>
      <c r="I300" t="s">
        <v>45</v>
      </c>
      <c r="J300" t="s">
        <v>63</v>
      </c>
      <c r="K300" t="s">
        <v>281</v>
      </c>
      <c r="L300" t="s">
        <v>25</v>
      </c>
      <c r="M300" t="s">
        <v>23</v>
      </c>
      <c r="N300" t="s">
        <v>24</v>
      </c>
      <c r="O300" t="s">
        <v>25</v>
      </c>
    </row>
    <row r="301" spans="1:15" x14ac:dyDescent="0.3">
      <c r="A301" t="s">
        <v>41</v>
      </c>
      <c r="C301" t="s">
        <v>15</v>
      </c>
      <c r="D301" t="s">
        <v>43</v>
      </c>
      <c r="E301" t="s">
        <v>69</v>
      </c>
      <c r="F301" t="s">
        <v>30</v>
      </c>
      <c r="G301" t="s">
        <v>51</v>
      </c>
      <c r="H301">
        <v>5</v>
      </c>
      <c r="I301" t="s">
        <v>45</v>
      </c>
      <c r="J301" t="s">
        <v>63</v>
      </c>
      <c r="K301" t="s">
        <v>67</v>
      </c>
      <c r="L301" t="s">
        <v>21</v>
      </c>
      <c r="M301" t="s">
        <v>34</v>
      </c>
      <c r="N301" t="s">
        <v>54</v>
      </c>
      <c r="O301" t="s">
        <v>25</v>
      </c>
    </row>
    <row r="302" spans="1:15" x14ac:dyDescent="0.3">
      <c r="A302" t="s">
        <v>26</v>
      </c>
      <c r="C302" t="s">
        <v>15</v>
      </c>
      <c r="D302" t="s">
        <v>83</v>
      </c>
      <c r="E302" t="s">
        <v>17</v>
      </c>
      <c r="F302" t="s">
        <v>15</v>
      </c>
      <c r="G302" t="s">
        <v>51</v>
      </c>
      <c r="H302">
        <v>5</v>
      </c>
      <c r="I302" t="s">
        <v>45</v>
      </c>
      <c r="J302" t="s">
        <v>52</v>
      </c>
      <c r="K302" t="s">
        <v>282</v>
      </c>
      <c r="L302" t="s">
        <v>21</v>
      </c>
      <c r="M302" t="s">
        <v>34</v>
      </c>
      <c r="N302" t="s">
        <v>54</v>
      </c>
      <c r="O302" t="s">
        <v>21</v>
      </c>
    </row>
    <row r="303" spans="1:15" x14ac:dyDescent="0.3">
      <c r="A303" t="s">
        <v>41</v>
      </c>
      <c r="C303" t="s">
        <v>27</v>
      </c>
      <c r="D303" t="s">
        <v>43</v>
      </c>
      <c r="E303" t="s">
        <v>50</v>
      </c>
      <c r="F303" t="s">
        <v>49</v>
      </c>
      <c r="G303" t="s">
        <v>44</v>
      </c>
      <c r="H303">
        <v>4</v>
      </c>
      <c r="I303" t="s">
        <v>84</v>
      </c>
      <c r="J303" t="s">
        <v>52</v>
      </c>
      <c r="K303" t="s">
        <v>283</v>
      </c>
      <c r="L303" t="s">
        <v>21</v>
      </c>
      <c r="M303" t="s">
        <v>34</v>
      </c>
      <c r="N303" t="s">
        <v>24</v>
      </c>
      <c r="O303" t="s">
        <v>25</v>
      </c>
    </row>
    <row r="304" spans="1:15" x14ac:dyDescent="0.3">
      <c r="A304" t="s">
        <v>68</v>
      </c>
      <c r="C304" t="s">
        <v>15</v>
      </c>
      <c r="D304" t="s">
        <v>226</v>
      </c>
      <c r="E304" t="s">
        <v>29</v>
      </c>
      <c r="F304" t="s">
        <v>15</v>
      </c>
      <c r="G304" t="s">
        <v>51</v>
      </c>
      <c r="H304">
        <v>5</v>
      </c>
      <c r="I304" t="s">
        <v>59</v>
      </c>
      <c r="J304" t="s">
        <v>46</v>
      </c>
      <c r="K304" t="s">
        <v>67</v>
      </c>
      <c r="L304" t="s">
        <v>21</v>
      </c>
      <c r="M304" t="s">
        <v>40</v>
      </c>
      <c r="N304" t="s">
        <v>136</v>
      </c>
      <c r="O304" t="s">
        <v>48</v>
      </c>
    </row>
    <row r="305" spans="1:15" x14ac:dyDescent="0.3">
      <c r="A305" t="s">
        <v>68</v>
      </c>
      <c r="C305" t="s">
        <v>15</v>
      </c>
      <c r="D305" t="s">
        <v>43</v>
      </c>
      <c r="E305" t="s">
        <v>284</v>
      </c>
      <c r="F305" t="s">
        <v>30</v>
      </c>
      <c r="G305" t="s">
        <v>70</v>
      </c>
      <c r="H305">
        <v>5</v>
      </c>
      <c r="I305" t="s">
        <v>45</v>
      </c>
      <c r="J305" t="s">
        <v>63</v>
      </c>
      <c r="K305" t="s">
        <v>285</v>
      </c>
      <c r="L305" t="s">
        <v>25</v>
      </c>
      <c r="M305" t="s">
        <v>23</v>
      </c>
      <c r="N305" t="s">
        <v>54</v>
      </c>
      <c r="O305" t="s">
        <v>48</v>
      </c>
    </row>
    <row r="306" spans="1:15" x14ac:dyDescent="0.3">
      <c r="A306" t="s">
        <v>66</v>
      </c>
      <c r="C306" t="s">
        <v>15</v>
      </c>
      <c r="D306" t="s">
        <v>43</v>
      </c>
      <c r="E306" t="s">
        <v>50</v>
      </c>
      <c r="F306" t="s">
        <v>49</v>
      </c>
      <c r="G306" t="s">
        <v>70</v>
      </c>
      <c r="H306">
        <v>5</v>
      </c>
      <c r="I306" t="s">
        <v>45</v>
      </c>
      <c r="J306" t="s">
        <v>46</v>
      </c>
      <c r="K306" t="s">
        <v>286</v>
      </c>
      <c r="L306" t="s">
        <v>21</v>
      </c>
      <c r="M306" t="s">
        <v>23</v>
      </c>
      <c r="N306" t="s">
        <v>24</v>
      </c>
      <c r="O306" t="s">
        <v>48</v>
      </c>
    </row>
    <row r="307" spans="1:15" x14ac:dyDescent="0.3">
      <c r="A307" t="s">
        <v>75</v>
      </c>
      <c r="C307" t="s">
        <v>42</v>
      </c>
      <c r="D307" t="s">
        <v>16</v>
      </c>
      <c r="E307" t="s">
        <v>50</v>
      </c>
      <c r="F307" t="s">
        <v>18</v>
      </c>
      <c r="G307" t="s">
        <v>44</v>
      </c>
      <c r="H307">
        <v>5</v>
      </c>
      <c r="I307" t="s">
        <v>84</v>
      </c>
      <c r="J307" t="s">
        <v>46</v>
      </c>
      <c r="K307" t="s">
        <v>56</v>
      </c>
      <c r="L307" t="s">
        <v>25</v>
      </c>
      <c r="M307" t="s">
        <v>23</v>
      </c>
      <c r="N307" t="s">
        <v>24</v>
      </c>
      <c r="O307" t="s">
        <v>25</v>
      </c>
    </row>
    <row r="308" spans="1:15" x14ac:dyDescent="0.3">
      <c r="A308" t="s">
        <v>68</v>
      </c>
      <c r="C308" t="s">
        <v>27</v>
      </c>
      <c r="D308" t="s">
        <v>43</v>
      </c>
      <c r="E308" t="s">
        <v>50</v>
      </c>
      <c r="F308" t="s">
        <v>30</v>
      </c>
      <c r="G308" t="s">
        <v>44</v>
      </c>
      <c r="H308">
        <v>4</v>
      </c>
      <c r="I308" t="s">
        <v>72</v>
      </c>
      <c r="J308" t="s">
        <v>63</v>
      </c>
      <c r="K308" t="s">
        <v>53</v>
      </c>
      <c r="L308" t="s">
        <v>21</v>
      </c>
      <c r="M308" t="s">
        <v>23</v>
      </c>
      <c r="N308" t="s">
        <v>54</v>
      </c>
      <c r="O308" t="s">
        <v>48</v>
      </c>
    </row>
    <row r="309" spans="1:15" x14ac:dyDescent="0.3">
      <c r="A309" t="s">
        <v>26</v>
      </c>
      <c r="C309" t="s">
        <v>15</v>
      </c>
      <c r="D309" t="s">
        <v>43</v>
      </c>
      <c r="E309" t="s">
        <v>69</v>
      </c>
      <c r="F309" t="s">
        <v>15</v>
      </c>
      <c r="G309" t="s">
        <v>58</v>
      </c>
      <c r="H309">
        <v>2</v>
      </c>
      <c r="I309" t="s">
        <v>45</v>
      </c>
      <c r="J309" t="s">
        <v>63</v>
      </c>
      <c r="K309" t="s">
        <v>131</v>
      </c>
      <c r="L309" t="s">
        <v>21</v>
      </c>
      <c r="M309" t="s">
        <v>40</v>
      </c>
      <c r="N309" t="s">
        <v>24</v>
      </c>
      <c r="O309" t="s">
        <v>48</v>
      </c>
    </row>
    <row r="310" spans="1:15" x14ac:dyDescent="0.3">
      <c r="A310" t="s">
        <v>14</v>
      </c>
      <c r="C310" t="s">
        <v>42</v>
      </c>
      <c r="D310" t="s">
        <v>43</v>
      </c>
      <c r="E310" t="s">
        <v>29</v>
      </c>
      <c r="F310" t="s">
        <v>15</v>
      </c>
      <c r="G310" t="s">
        <v>58</v>
      </c>
      <c r="H310">
        <v>4</v>
      </c>
      <c r="I310" t="s">
        <v>45</v>
      </c>
      <c r="J310" t="s">
        <v>46</v>
      </c>
      <c r="K310" t="s">
        <v>287</v>
      </c>
      <c r="L310" t="s">
        <v>21</v>
      </c>
      <c r="M310" t="s">
        <v>23</v>
      </c>
      <c r="N310" t="s">
        <v>24</v>
      </c>
      <c r="O310" t="s">
        <v>48</v>
      </c>
    </row>
    <row r="311" spans="1:15" x14ac:dyDescent="0.3">
      <c r="A311" t="s">
        <v>41</v>
      </c>
      <c r="C311" t="s">
        <v>15</v>
      </c>
      <c r="D311" t="s">
        <v>43</v>
      </c>
      <c r="E311" t="s">
        <v>37</v>
      </c>
      <c r="F311" t="s">
        <v>18</v>
      </c>
      <c r="G311" t="s">
        <v>51</v>
      </c>
      <c r="H311">
        <v>2</v>
      </c>
      <c r="I311" t="s">
        <v>45</v>
      </c>
      <c r="J311" t="s">
        <v>46</v>
      </c>
      <c r="K311" t="s">
        <v>56</v>
      </c>
      <c r="L311" t="s">
        <v>21</v>
      </c>
      <c r="M311" t="s">
        <v>40</v>
      </c>
      <c r="N311" t="s">
        <v>24</v>
      </c>
      <c r="O311" t="s">
        <v>21</v>
      </c>
    </row>
    <row r="312" spans="1:15" x14ac:dyDescent="0.3">
      <c r="A312" t="s">
        <v>55</v>
      </c>
      <c r="C312" t="s">
        <v>15</v>
      </c>
      <c r="D312" t="s">
        <v>43</v>
      </c>
      <c r="E312" t="s">
        <v>17</v>
      </c>
      <c r="F312" t="s">
        <v>30</v>
      </c>
      <c r="G312" t="s">
        <v>51</v>
      </c>
      <c r="H312">
        <v>5</v>
      </c>
      <c r="I312" t="s">
        <v>45</v>
      </c>
      <c r="J312" t="s">
        <v>46</v>
      </c>
      <c r="K312" t="s">
        <v>123</v>
      </c>
      <c r="L312" t="s">
        <v>21</v>
      </c>
      <c r="M312" t="s">
        <v>34</v>
      </c>
      <c r="N312" t="s">
        <v>24</v>
      </c>
      <c r="O312" t="s">
        <v>48</v>
      </c>
    </row>
    <row r="313" spans="1:15" x14ac:dyDescent="0.3">
      <c r="A313" t="s">
        <v>68</v>
      </c>
      <c r="C313" t="s">
        <v>27</v>
      </c>
      <c r="D313" t="s">
        <v>43</v>
      </c>
      <c r="E313" t="s">
        <v>69</v>
      </c>
      <c r="F313" t="s">
        <v>30</v>
      </c>
      <c r="G313" t="s">
        <v>58</v>
      </c>
      <c r="H313">
        <v>5</v>
      </c>
      <c r="I313" t="s">
        <v>45</v>
      </c>
      <c r="J313" t="s">
        <v>63</v>
      </c>
      <c r="K313" t="s">
        <v>157</v>
      </c>
      <c r="L313" t="s">
        <v>21</v>
      </c>
      <c r="M313" t="s">
        <v>23</v>
      </c>
      <c r="N313" t="s">
        <v>24</v>
      </c>
      <c r="O313" t="s">
        <v>82</v>
      </c>
    </row>
    <row r="314" spans="1:15" x14ac:dyDescent="0.3">
      <c r="A314" t="s">
        <v>55</v>
      </c>
      <c r="C314" t="s">
        <v>49</v>
      </c>
      <c r="D314" t="s">
        <v>43</v>
      </c>
      <c r="E314" t="s">
        <v>50</v>
      </c>
      <c r="F314" t="s">
        <v>49</v>
      </c>
      <c r="G314" t="s">
        <v>51</v>
      </c>
      <c r="H314">
        <v>3</v>
      </c>
      <c r="I314" t="s">
        <v>45</v>
      </c>
      <c r="J314" t="s">
        <v>46</v>
      </c>
      <c r="K314" t="s">
        <v>288</v>
      </c>
      <c r="L314" t="s">
        <v>21</v>
      </c>
      <c r="M314" t="s">
        <v>23</v>
      </c>
      <c r="N314" t="s">
        <v>24</v>
      </c>
      <c r="O314" t="s">
        <v>25</v>
      </c>
    </row>
    <row r="315" spans="1:15" x14ac:dyDescent="0.3">
      <c r="A315" t="s">
        <v>97</v>
      </c>
      <c r="C315" t="s">
        <v>49</v>
      </c>
      <c r="D315" t="s">
        <v>43</v>
      </c>
      <c r="E315" t="s">
        <v>50</v>
      </c>
      <c r="F315" t="s">
        <v>15</v>
      </c>
      <c r="G315" t="s">
        <v>51</v>
      </c>
      <c r="H315">
        <v>3</v>
      </c>
      <c r="I315" t="s">
        <v>45</v>
      </c>
      <c r="J315" t="s">
        <v>63</v>
      </c>
      <c r="K315" t="s">
        <v>289</v>
      </c>
      <c r="L315" t="s">
        <v>25</v>
      </c>
      <c r="M315" t="s">
        <v>23</v>
      </c>
      <c r="N315" t="s">
        <v>24</v>
      </c>
      <c r="O315" t="s">
        <v>48</v>
      </c>
    </row>
    <row r="316" spans="1:15" x14ac:dyDescent="0.3">
      <c r="A316" t="s">
        <v>55</v>
      </c>
      <c r="C316" t="s">
        <v>15</v>
      </c>
      <c r="D316" t="s">
        <v>124</v>
      </c>
      <c r="E316" t="s">
        <v>69</v>
      </c>
      <c r="F316" t="s">
        <v>15</v>
      </c>
      <c r="G316" t="s">
        <v>51</v>
      </c>
      <c r="H316">
        <v>4</v>
      </c>
      <c r="I316" t="s">
        <v>59</v>
      </c>
      <c r="J316" t="s">
        <v>63</v>
      </c>
      <c r="K316" t="s">
        <v>190</v>
      </c>
      <c r="L316" t="s">
        <v>21</v>
      </c>
      <c r="M316" t="s">
        <v>23</v>
      </c>
      <c r="N316" t="s">
        <v>24</v>
      </c>
      <c r="O316" t="s">
        <v>21</v>
      </c>
    </row>
    <row r="317" spans="1:15" x14ac:dyDescent="0.3">
      <c r="A317" t="s">
        <v>290</v>
      </c>
      <c r="C317" t="s">
        <v>42</v>
      </c>
      <c r="D317" t="s">
        <v>83</v>
      </c>
      <c r="E317" t="s">
        <v>50</v>
      </c>
      <c r="F317" t="s">
        <v>30</v>
      </c>
      <c r="G317" t="s">
        <v>58</v>
      </c>
      <c r="H317">
        <v>5</v>
      </c>
      <c r="I317" t="s">
        <v>72</v>
      </c>
      <c r="J317" t="s">
        <v>63</v>
      </c>
      <c r="K317" t="s">
        <v>291</v>
      </c>
      <c r="L317" t="s">
        <v>21</v>
      </c>
      <c r="M317" t="s">
        <v>23</v>
      </c>
      <c r="N317" t="s">
        <v>136</v>
      </c>
      <c r="O317" t="s">
        <v>48</v>
      </c>
    </row>
    <row r="318" spans="1:15" x14ac:dyDescent="0.3">
      <c r="A318" t="s">
        <v>68</v>
      </c>
      <c r="C318" t="s">
        <v>15</v>
      </c>
      <c r="D318" t="s">
        <v>43</v>
      </c>
      <c r="E318" t="s">
        <v>50</v>
      </c>
      <c r="F318" t="s">
        <v>49</v>
      </c>
      <c r="G318" t="s">
        <v>58</v>
      </c>
      <c r="H318">
        <v>5</v>
      </c>
      <c r="I318" t="s">
        <v>45</v>
      </c>
      <c r="J318" t="s">
        <v>46</v>
      </c>
      <c r="K318" t="s">
        <v>96</v>
      </c>
      <c r="L318" t="s">
        <v>21</v>
      </c>
      <c r="M318" t="s">
        <v>23</v>
      </c>
      <c r="N318" t="s">
        <v>24</v>
      </c>
      <c r="O318" t="s">
        <v>48</v>
      </c>
    </row>
    <row r="319" spans="1:15" x14ac:dyDescent="0.3">
      <c r="A319" t="s">
        <v>66</v>
      </c>
      <c r="C319" t="s">
        <v>15</v>
      </c>
      <c r="D319" t="s">
        <v>43</v>
      </c>
      <c r="E319" t="s">
        <v>50</v>
      </c>
      <c r="F319" t="s">
        <v>30</v>
      </c>
      <c r="G319" t="s">
        <v>58</v>
      </c>
      <c r="H319">
        <v>1</v>
      </c>
      <c r="I319" t="s">
        <v>45</v>
      </c>
      <c r="J319" t="s">
        <v>46</v>
      </c>
      <c r="K319" t="s">
        <v>292</v>
      </c>
      <c r="L319" t="s">
        <v>21</v>
      </c>
      <c r="M319" t="s">
        <v>23</v>
      </c>
      <c r="N319" t="s">
        <v>24</v>
      </c>
      <c r="O319" t="s">
        <v>25</v>
      </c>
    </row>
    <row r="320" spans="1:15" x14ac:dyDescent="0.3">
      <c r="A320" t="s">
        <v>100</v>
      </c>
      <c r="C320" t="s">
        <v>15</v>
      </c>
      <c r="D320" t="s">
        <v>43</v>
      </c>
      <c r="E320" t="s">
        <v>50</v>
      </c>
      <c r="F320" t="s">
        <v>49</v>
      </c>
      <c r="G320" t="s">
        <v>44</v>
      </c>
      <c r="H320">
        <v>4</v>
      </c>
      <c r="I320" t="s">
        <v>45</v>
      </c>
      <c r="J320" t="s">
        <v>46</v>
      </c>
      <c r="K320" t="s">
        <v>293</v>
      </c>
      <c r="L320" t="s">
        <v>21</v>
      </c>
      <c r="M320" t="s">
        <v>23</v>
      </c>
      <c r="N320" t="s">
        <v>24</v>
      </c>
      <c r="O320" t="s">
        <v>25</v>
      </c>
    </row>
    <row r="321" spans="1:15" x14ac:dyDescent="0.3">
      <c r="A321" t="s">
        <v>66</v>
      </c>
      <c r="C321" t="s">
        <v>49</v>
      </c>
      <c r="D321" t="s">
        <v>16</v>
      </c>
      <c r="E321" t="s">
        <v>50</v>
      </c>
      <c r="F321" t="s">
        <v>49</v>
      </c>
      <c r="G321" t="s">
        <v>58</v>
      </c>
      <c r="H321">
        <v>4</v>
      </c>
      <c r="I321" t="s">
        <v>45</v>
      </c>
      <c r="J321" t="s">
        <v>63</v>
      </c>
      <c r="K321" t="s">
        <v>56</v>
      </c>
      <c r="L321" t="s">
        <v>25</v>
      </c>
      <c r="M321" t="s">
        <v>23</v>
      </c>
      <c r="N321" t="s">
        <v>24</v>
      </c>
      <c r="O321" t="s">
        <v>21</v>
      </c>
    </row>
    <row r="322" spans="1:15" x14ac:dyDescent="0.3">
      <c r="A322" t="s">
        <v>89</v>
      </c>
      <c r="C322" t="s">
        <v>42</v>
      </c>
      <c r="D322" t="s">
        <v>36</v>
      </c>
      <c r="E322" t="s">
        <v>37</v>
      </c>
      <c r="F322" t="s">
        <v>30</v>
      </c>
      <c r="G322" t="s">
        <v>70</v>
      </c>
      <c r="H322">
        <v>3</v>
      </c>
      <c r="I322" t="s">
        <v>59</v>
      </c>
      <c r="J322" t="s">
        <v>46</v>
      </c>
      <c r="K322" t="s">
        <v>60</v>
      </c>
      <c r="L322" t="s">
        <v>21</v>
      </c>
      <c r="M322" t="s">
        <v>40</v>
      </c>
      <c r="N322" t="s">
        <v>24</v>
      </c>
      <c r="O322" t="s">
        <v>48</v>
      </c>
    </row>
    <row r="323" spans="1:15" x14ac:dyDescent="0.3">
      <c r="A323" t="s">
        <v>75</v>
      </c>
      <c r="C323" t="s">
        <v>49</v>
      </c>
      <c r="D323" t="s">
        <v>294</v>
      </c>
      <c r="E323" t="s">
        <v>50</v>
      </c>
      <c r="F323" t="s">
        <v>49</v>
      </c>
      <c r="G323" t="s">
        <v>51</v>
      </c>
      <c r="H323">
        <v>5</v>
      </c>
      <c r="I323" t="s">
        <v>45</v>
      </c>
      <c r="J323" t="s">
        <v>63</v>
      </c>
      <c r="K323" t="s">
        <v>295</v>
      </c>
      <c r="L323" t="s">
        <v>25</v>
      </c>
      <c r="M323" t="s">
        <v>23</v>
      </c>
      <c r="N323" t="s">
        <v>54</v>
      </c>
      <c r="O323" t="s">
        <v>25</v>
      </c>
    </row>
    <row r="324" spans="1:15" x14ac:dyDescent="0.3">
      <c r="A324" t="s">
        <v>68</v>
      </c>
      <c r="C324" t="s">
        <v>49</v>
      </c>
      <c r="D324" t="s">
        <v>43</v>
      </c>
      <c r="E324" t="s">
        <v>50</v>
      </c>
      <c r="F324" t="s">
        <v>49</v>
      </c>
      <c r="G324" t="s">
        <v>44</v>
      </c>
      <c r="H324">
        <v>5</v>
      </c>
      <c r="I324" t="s">
        <v>45</v>
      </c>
      <c r="J324" t="s">
        <v>52</v>
      </c>
      <c r="K324" t="s">
        <v>56</v>
      </c>
      <c r="L324" t="s">
        <v>21</v>
      </c>
      <c r="M324" t="s">
        <v>34</v>
      </c>
      <c r="N324" t="s">
        <v>88</v>
      </c>
      <c r="O324" t="s">
        <v>25</v>
      </c>
    </row>
    <row r="325" spans="1:15" x14ac:dyDescent="0.3">
      <c r="A325" t="s">
        <v>26</v>
      </c>
      <c r="C325" t="s">
        <v>49</v>
      </c>
      <c r="D325" t="s">
        <v>43</v>
      </c>
      <c r="E325" t="s">
        <v>37</v>
      </c>
      <c r="F325" t="s">
        <v>15</v>
      </c>
      <c r="G325" t="s">
        <v>58</v>
      </c>
      <c r="H325">
        <v>5</v>
      </c>
      <c r="I325" t="s">
        <v>45</v>
      </c>
      <c r="J325" t="s">
        <v>46</v>
      </c>
      <c r="K325" t="s">
        <v>56</v>
      </c>
      <c r="L325" t="s">
        <v>21</v>
      </c>
      <c r="M325" t="s">
        <v>23</v>
      </c>
      <c r="N325" t="s">
        <v>24</v>
      </c>
      <c r="O325" t="s">
        <v>25</v>
      </c>
    </row>
    <row r="326" spans="1:15" x14ac:dyDescent="0.3">
      <c r="A326" t="s">
        <v>68</v>
      </c>
      <c r="C326" t="s">
        <v>15</v>
      </c>
      <c r="D326" t="s">
        <v>43</v>
      </c>
      <c r="E326" t="s">
        <v>17</v>
      </c>
      <c r="F326" t="s">
        <v>15</v>
      </c>
      <c r="G326" t="s">
        <v>51</v>
      </c>
      <c r="H326">
        <v>1</v>
      </c>
      <c r="I326" t="s">
        <v>45</v>
      </c>
      <c r="J326" t="s">
        <v>46</v>
      </c>
      <c r="K326" t="s">
        <v>56</v>
      </c>
      <c r="L326" t="s">
        <v>21</v>
      </c>
      <c r="M326" t="s">
        <v>40</v>
      </c>
      <c r="N326" t="s">
        <v>113</v>
      </c>
      <c r="O326" t="s">
        <v>21</v>
      </c>
    </row>
    <row r="327" spans="1:15" x14ac:dyDescent="0.3">
      <c r="A327" t="s">
        <v>68</v>
      </c>
      <c r="C327" t="s">
        <v>42</v>
      </c>
      <c r="D327" t="s">
        <v>43</v>
      </c>
      <c r="E327" t="s">
        <v>17</v>
      </c>
      <c r="F327" t="s">
        <v>18</v>
      </c>
      <c r="G327" t="s">
        <v>51</v>
      </c>
      <c r="H327">
        <v>1</v>
      </c>
      <c r="I327" t="s">
        <v>45</v>
      </c>
      <c r="J327" t="s">
        <v>46</v>
      </c>
      <c r="K327" t="s">
        <v>56</v>
      </c>
      <c r="L327" t="s">
        <v>21</v>
      </c>
      <c r="M327" t="s">
        <v>40</v>
      </c>
      <c r="N327" t="s">
        <v>113</v>
      </c>
      <c r="O327" t="s">
        <v>21</v>
      </c>
    </row>
    <row r="328" spans="1:15" x14ac:dyDescent="0.3">
      <c r="A328" t="s">
        <v>66</v>
      </c>
      <c r="C328" t="s">
        <v>15</v>
      </c>
      <c r="D328" t="s">
        <v>62</v>
      </c>
      <c r="E328" t="s">
        <v>50</v>
      </c>
      <c r="F328" t="s">
        <v>30</v>
      </c>
      <c r="G328" t="s">
        <v>44</v>
      </c>
      <c r="H328">
        <v>4</v>
      </c>
      <c r="I328" t="s">
        <v>72</v>
      </c>
      <c r="J328" t="s">
        <v>63</v>
      </c>
      <c r="K328" t="s">
        <v>296</v>
      </c>
      <c r="L328" t="s">
        <v>21</v>
      </c>
      <c r="M328" t="s">
        <v>23</v>
      </c>
      <c r="N328" t="s">
        <v>24</v>
      </c>
      <c r="O328" t="s">
        <v>25</v>
      </c>
    </row>
    <row r="329" spans="1:15" x14ac:dyDescent="0.3">
      <c r="A329" t="s">
        <v>55</v>
      </c>
      <c r="C329" t="s">
        <v>15</v>
      </c>
      <c r="D329" t="s">
        <v>83</v>
      </c>
      <c r="E329" t="s">
        <v>69</v>
      </c>
      <c r="F329" t="s">
        <v>15</v>
      </c>
      <c r="G329" t="s">
        <v>44</v>
      </c>
      <c r="H329">
        <v>5</v>
      </c>
      <c r="I329" t="s">
        <v>59</v>
      </c>
      <c r="J329" t="s">
        <v>46</v>
      </c>
      <c r="K329" t="s">
        <v>297</v>
      </c>
      <c r="L329" t="s">
        <v>21</v>
      </c>
      <c r="M329" t="s">
        <v>23</v>
      </c>
      <c r="N329" t="s">
        <v>24</v>
      </c>
      <c r="O329" t="s">
        <v>21</v>
      </c>
    </row>
    <row r="330" spans="1:15" x14ac:dyDescent="0.3">
      <c r="A330" t="s">
        <v>68</v>
      </c>
      <c r="C330" t="s">
        <v>49</v>
      </c>
      <c r="D330" t="s">
        <v>43</v>
      </c>
      <c r="E330" t="s">
        <v>50</v>
      </c>
      <c r="F330" t="s">
        <v>49</v>
      </c>
      <c r="G330" t="s">
        <v>51</v>
      </c>
      <c r="H330">
        <v>5</v>
      </c>
      <c r="I330" t="s">
        <v>45</v>
      </c>
      <c r="J330" t="s">
        <v>46</v>
      </c>
      <c r="K330" t="s">
        <v>298</v>
      </c>
      <c r="L330" t="s">
        <v>21</v>
      </c>
      <c r="M330" t="s">
        <v>23</v>
      </c>
      <c r="N330" t="s">
        <v>113</v>
      </c>
      <c r="O330" t="s">
        <v>25</v>
      </c>
    </row>
    <row r="331" spans="1:15" x14ac:dyDescent="0.3">
      <c r="A331" t="s">
        <v>55</v>
      </c>
      <c r="C331" t="s">
        <v>15</v>
      </c>
      <c r="D331" t="s">
        <v>83</v>
      </c>
      <c r="E331" t="s">
        <v>50</v>
      </c>
      <c r="F331" t="s">
        <v>49</v>
      </c>
      <c r="G331" t="s">
        <v>51</v>
      </c>
      <c r="H331">
        <v>5</v>
      </c>
      <c r="I331" t="s">
        <v>45</v>
      </c>
      <c r="J331" t="s">
        <v>46</v>
      </c>
      <c r="K331" t="s">
        <v>56</v>
      </c>
      <c r="L331" t="s">
        <v>21</v>
      </c>
      <c r="M331" t="s">
        <v>23</v>
      </c>
      <c r="N331" t="s">
        <v>24</v>
      </c>
      <c r="O331" t="s">
        <v>21</v>
      </c>
    </row>
    <row r="332" spans="1:15" x14ac:dyDescent="0.3">
      <c r="A332" t="s">
        <v>41</v>
      </c>
      <c r="C332" t="s">
        <v>49</v>
      </c>
      <c r="D332" t="s">
        <v>43</v>
      </c>
      <c r="E332" t="s">
        <v>17</v>
      </c>
      <c r="F332" t="s">
        <v>30</v>
      </c>
      <c r="G332" t="s">
        <v>44</v>
      </c>
      <c r="H332">
        <v>3</v>
      </c>
      <c r="I332" t="s">
        <v>45</v>
      </c>
      <c r="J332" t="s">
        <v>46</v>
      </c>
      <c r="K332" t="s">
        <v>225</v>
      </c>
      <c r="L332" t="s">
        <v>25</v>
      </c>
      <c r="M332" t="s">
        <v>23</v>
      </c>
      <c r="N332" t="s">
        <v>24</v>
      </c>
      <c r="O332" t="s">
        <v>48</v>
      </c>
    </row>
    <row r="333" spans="1:15" x14ac:dyDescent="0.3">
      <c r="A333" t="s">
        <v>55</v>
      </c>
      <c r="C333" t="s">
        <v>15</v>
      </c>
      <c r="D333" t="s">
        <v>43</v>
      </c>
      <c r="E333" t="s">
        <v>69</v>
      </c>
      <c r="F333" t="s">
        <v>15</v>
      </c>
      <c r="G333" t="s">
        <v>58</v>
      </c>
      <c r="H333">
        <v>4</v>
      </c>
      <c r="I333" t="s">
        <v>45</v>
      </c>
      <c r="J333" t="s">
        <v>52</v>
      </c>
      <c r="K333" t="s">
        <v>157</v>
      </c>
      <c r="L333" t="s">
        <v>21</v>
      </c>
      <c r="M333" t="s">
        <v>23</v>
      </c>
      <c r="N333" t="s">
        <v>24</v>
      </c>
      <c r="O333" t="s">
        <v>48</v>
      </c>
    </row>
    <row r="334" spans="1:15" x14ac:dyDescent="0.3">
      <c r="A334" t="s">
        <v>55</v>
      </c>
      <c r="C334" t="s">
        <v>27</v>
      </c>
      <c r="D334" t="s">
        <v>144</v>
      </c>
      <c r="E334" t="s">
        <v>69</v>
      </c>
      <c r="F334" t="s">
        <v>102</v>
      </c>
      <c r="G334" t="s">
        <v>58</v>
      </c>
      <c r="H334">
        <v>5</v>
      </c>
      <c r="I334" t="s">
        <v>45</v>
      </c>
      <c r="J334" t="s">
        <v>63</v>
      </c>
      <c r="K334" t="s">
        <v>299</v>
      </c>
      <c r="L334" t="s">
        <v>21</v>
      </c>
      <c r="M334" t="s">
        <v>34</v>
      </c>
      <c r="N334" t="s">
        <v>24</v>
      </c>
      <c r="O334" t="s">
        <v>25</v>
      </c>
    </row>
    <row r="335" spans="1:15" x14ac:dyDescent="0.3">
      <c r="A335" t="s">
        <v>61</v>
      </c>
      <c r="C335" t="s">
        <v>27</v>
      </c>
      <c r="D335" t="s">
        <v>43</v>
      </c>
      <c r="E335" t="s">
        <v>50</v>
      </c>
      <c r="F335" t="s">
        <v>49</v>
      </c>
      <c r="G335" t="s">
        <v>44</v>
      </c>
      <c r="H335">
        <v>4</v>
      </c>
      <c r="I335" t="s">
        <v>45</v>
      </c>
      <c r="J335" t="s">
        <v>63</v>
      </c>
      <c r="K335" t="s">
        <v>300</v>
      </c>
      <c r="L335" t="s">
        <v>21</v>
      </c>
      <c r="M335" t="s">
        <v>23</v>
      </c>
      <c r="N335" t="s">
        <v>24</v>
      </c>
      <c r="O335" t="s">
        <v>48</v>
      </c>
    </row>
    <row r="336" spans="1:15" x14ac:dyDescent="0.3">
      <c r="A336" t="s">
        <v>301</v>
      </c>
      <c r="C336" t="s">
        <v>15</v>
      </c>
      <c r="D336" t="s">
        <v>43</v>
      </c>
      <c r="E336" t="s">
        <v>50</v>
      </c>
      <c r="F336" t="s">
        <v>30</v>
      </c>
      <c r="G336" t="s">
        <v>51</v>
      </c>
      <c r="H336">
        <v>3</v>
      </c>
      <c r="I336" t="s">
        <v>45</v>
      </c>
      <c r="J336" t="s">
        <v>52</v>
      </c>
      <c r="K336" t="s">
        <v>302</v>
      </c>
      <c r="L336" t="s">
        <v>21</v>
      </c>
      <c r="M336" t="s">
        <v>34</v>
      </c>
      <c r="N336" t="s">
        <v>54</v>
      </c>
      <c r="O336" t="s">
        <v>25</v>
      </c>
    </row>
    <row r="337" spans="1:15" x14ac:dyDescent="0.3">
      <c r="A337" t="s">
        <v>68</v>
      </c>
      <c r="C337" t="s">
        <v>49</v>
      </c>
      <c r="D337" t="s">
        <v>303</v>
      </c>
      <c r="E337" t="s">
        <v>17</v>
      </c>
      <c r="F337" t="s">
        <v>49</v>
      </c>
      <c r="G337" t="s">
        <v>51</v>
      </c>
      <c r="H337">
        <v>5</v>
      </c>
      <c r="I337" t="s">
        <v>45</v>
      </c>
      <c r="J337" t="s">
        <v>63</v>
      </c>
      <c r="K337" t="s">
        <v>304</v>
      </c>
      <c r="L337" t="s">
        <v>25</v>
      </c>
      <c r="M337" t="s">
        <v>34</v>
      </c>
      <c r="N337" t="s">
        <v>24</v>
      </c>
      <c r="O337" t="s">
        <v>48</v>
      </c>
    </row>
    <row r="338" spans="1:15" x14ac:dyDescent="0.3">
      <c r="A338" t="s">
        <v>55</v>
      </c>
      <c r="C338" t="s">
        <v>15</v>
      </c>
      <c r="D338" t="s">
        <v>83</v>
      </c>
      <c r="E338" t="s">
        <v>29</v>
      </c>
      <c r="F338" t="s">
        <v>30</v>
      </c>
      <c r="G338" t="s">
        <v>51</v>
      </c>
      <c r="H338">
        <v>5</v>
      </c>
      <c r="I338" t="s">
        <v>45</v>
      </c>
      <c r="J338" t="s">
        <v>63</v>
      </c>
      <c r="K338" t="s">
        <v>305</v>
      </c>
      <c r="L338" t="s">
        <v>21</v>
      </c>
      <c r="M338" t="s">
        <v>23</v>
      </c>
      <c r="N338" t="s">
        <v>113</v>
      </c>
      <c r="O338" t="s">
        <v>25</v>
      </c>
    </row>
    <row r="339" spans="1:15" x14ac:dyDescent="0.3">
      <c r="A339" t="s">
        <v>100</v>
      </c>
      <c r="C339" t="s">
        <v>27</v>
      </c>
      <c r="D339" t="s">
        <v>16</v>
      </c>
      <c r="E339" t="s">
        <v>69</v>
      </c>
      <c r="F339" t="s">
        <v>102</v>
      </c>
      <c r="G339" t="s">
        <v>51</v>
      </c>
      <c r="H339">
        <v>5</v>
      </c>
      <c r="I339" t="s">
        <v>45</v>
      </c>
      <c r="J339" t="s">
        <v>52</v>
      </c>
      <c r="K339" t="s">
        <v>306</v>
      </c>
      <c r="L339" t="s">
        <v>21</v>
      </c>
      <c r="M339" t="s">
        <v>34</v>
      </c>
      <c r="N339" t="s">
        <v>54</v>
      </c>
      <c r="O339" t="s">
        <v>25</v>
      </c>
    </row>
    <row r="340" spans="1:15" x14ac:dyDescent="0.3">
      <c r="A340" t="s">
        <v>55</v>
      </c>
      <c r="C340" t="s">
        <v>49</v>
      </c>
      <c r="D340" t="s">
        <v>307</v>
      </c>
      <c r="E340" t="s">
        <v>50</v>
      </c>
      <c r="F340" t="s">
        <v>49</v>
      </c>
      <c r="G340" t="s">
        <v>51</v>
      </c>
      <c r="H340">
        <v>5</v>
      </c>
      <c r="I340" t="s">
        <v>45</v>
      </c>
      <c r="J340" t="s">
        <v>52</v>
      </c>
      <c r="K340" t="s">
        <v>67</v>
      </c>
      <c r="L340" t="s">
        <v>25</v>
      </c>
      <c r="M340" t="s">
        <v>23</v>
      </c>
      <c r="N340" t="s">
        <v>88</v>
      </c>
      <c r="O340" t="s">
        <v>25</v>
      </c>
    </row>
    <row r="341" spans="1:15" x14ac:dyDescent="0.3">
      <c r="A341" t="s">
        <v>68</v>
      </c>
      <c r="C341" t="s">
        <v>15</v>
      </c>
      <c r="D341" t="s">
        <v>226</v>
      </c>
      <c r="E341" t="s">
        <v>29</v>
      </c>
      <c r="F341" t="s">
        <v>30</v>
      </c>
      <c r="G341" t="s">
        <v>51</v>
      </c>
      <c r="H341">
        <v>5</v>
      </c>
      <c r="I341" t="s">
        <v>45</v>
      </c>
      <c r="J341" t="s">
        <v>52</v>
      </c>
      <c r="K341" t="s">
        <v>308</v>
      </c>
      <c r="L341" t="s">
        <v>25</v>
      </c>
      <c r="M341" t="s">
        <v>34</v>
      </c>
      <c r="N341" t="s">
        <v>88</v>
      </c>
      <c r="O341" t="s">
        <v>48</v>
      </c>
    </row>
    <row r="342" spans="1:15" x14ac:dyDescent="0.3">
      <c r="A342" t="s">
        <v>100</v>
      </c>
      <c r="C342" t="s">
        <v>27</v>
      </c>
      <c r="D342" t="s">
        <v>16</v>
      </c>
      <c r="E342" t="s">
        <v>29</v>
      </c>
      <c r="F342" t="s">
        <v>15</v>
      </c>
      <c r="G342" t="s">
        <v>51</v>
      </c>
      <c r="H342">
        <v>3</v>
      </c>
      <c r="I342" t="s">
        <v>45</v>
      </c>
      <c r="J342" t="s">
        <v>52</v>
      </c>
      <c r="K342" t="s">
        <v>241</v>
      </c>
      <c r="L342" t="s">
        <v>25</v>
      </c>
      <c r="M342" t="s">
        <v>34</v>
      </c>
      <c r="N342" t="s">
        <v>88</v>
      </c>
      <c r="O342" t="s">
        <v>48</v>
      </c>
    </row>
    <row r="343" spans="1:15" x14ac:dyDescent="0.3">
      <c r="A343" t="s">
        <v>35</v>
      </c>
      <c r="C343" t="s">
        <v>49</v>
      </c>
      <c r="D343" t="s">
        <v>309</v>
      </c>
      <c r="E343" t="s">
        <v>37</v>
      </c>
      <c r="F343" t="s">
        <v>49</v>
      </c>
      <c r="G343" t="s">
        <v>44</v>
      </c>
      <c r="H343">
        <v>5</v>
      </c>
      <c r="I343" t="s">
        <v>45</v>
      </c>
      <c r="J343" t="s">
        <v>52</v>
      </c>
      <c r="K343" t="s">
        <v>257</v>
      </c>
      <c r="L343" t="s">
        <v>21</v>
      </c>
      <c r="M343" t="s">
        <v>23</v>
      </c>
      <c r="N343" t="s">
        <v>24</v>
      </c>
      <c r="O343" t="s">
        <v>21</v>
      </c>
    </row>
    <row r="344" spans="1:15" x14ac:dyDescent="0.3">
      <c r="A344" t="s">
        <v>61</v>
      </c>
      <c r="C344" t="s">
        <v>15</v>
      </c>
      <c r="D344" t="s">
        <v>43</v>
      </c>
      <c r="E344" t="s">
        <v>69</v>
      </c>
      <c r="F344" t="s">
        <v>102</v>
      </c>
      <c r="G344" t="s">
        <v>58</v>
      </c>
      <c r="H344">
        <v>4</v>
      </c>
      <c r="I344" t="s">
        <v>45</v>
      </c>
      <c r="J344" t="s">
        <v>52</v>
      </c>
      <c r="K344" t="s">
        <v>310</v>
      </c>
      <c r="L344" t="s">
        <v>25</v>
      </c>
      <c r="M344" t="s">
        <v>23</v>
      </c>
      <c r="N344" t="s">
        <v>24</v>
      </c>
      <c r="O344" t="s">
        <v>48</v>
      </c>
    </row>
    <row r="345" spans="1:15" x14ac:dyDescent="0.3">
      <c r="A345" t="s">
        <v>14</v>
      </c>
      <c r="C345" t="s">
        <v>15</v>
      </c>
      <c r="D345" t="s">
        <v>43</v>
      </c>
      <c r="E345" t="s">
        <v>29</v>
      </c>
      <c r="F345" t="s">
        <v>15</v>
      </c>
      <c r="G345" t="s">
        <v>58</v>
      </c>
      <c r="H345">
        <v>4</v>
      </c>
      <c r="I345" t="s">
        <v>45</v>
      </c>
      <c r="J345" t="s">
        <v>63</v>
      </c>
      <c r="K345" t="s">
        <v>139</v>
      </c>
      <c r="L345" t="s">
        <v>21</v>
      </c>
      <c r="M345" t="s">
        <v>34</v>
      </c>
      <c r="N345" t="s">
        <v>24</v>
      </c>
      <c r="O345" t="s">
        <v>38</v>
      </c>
    </row>
    <row r="346" spans="1:15" x14ac:dyDescent="0.3">
      <c r="A346" t="s">
        <v>55</v>
      </c>
      <c r="C346" t="s">
        <v>27</v>
      </c>
      <c r="D346" t="s">
        <v>43</v>
      </c>
      <c r="E346" t="s">
        <v>17</v>
      </c>
      <c r="F346" t="s">
        <v>49</v>
      </c>
      <c r="G346" t="s">
        <v>44</v>
      </c>
      <c r="H346">
        <v>5</v>
      </c>
      <c r="I346" t="s">
        <v>45</v>
      </c>
      <c r="J346" t="s">
        <v>46</v>
      </c>
      <c r="K346" t="s">
        <v>56</v>
      </c>
      <c r="L346" t="s">
        <v>25</v>
      </c>
      <c r="M346" t="s">
        <v>34</v>
      </c>
      <c r="N346" t="s">
        <v>54</v>
      </c>
      <c r="O346" t="s">
        <v>48</v>
      </c>
    </row>
    <row r="347" spans="1:15" x14ac:dyDescent="0.3">
      <c r="A347" t="s">
        <v>68</v>
      </c>
      <c r="C347" t="s">
        <v>27</v>
      </c>
      <c r="D347" t="s">
        <v>43</v>
      </c>
      <c r="E347" t="s">
        <v>29</v>
      </c>
      <c r="F347" t="s">
        <v>15</v>
      </c>
      <c r="G347" t="s">
        <v>70</v>
      </c>
      <c r="H347">
        <v>4</v>
      </c>
      <c r="I347" t="s">
        <v>59</v>
      </c>
      <c r="J347" t="s">
        <v>63</v>
      </c>
      <c r="K347" t="s">
        <v>311</v>
      </c>
      <c r="L347" t="s">
        <v>21</v>
      </c>
      <c r="M347" t="s">
        <v>34</v>
      </c>
      <c r="N347" t="s">
        <v>24</v>
      </c>
      <c r="O347" t="s">
        <v>25</v>
      </c>
    </row>
    <row r="348" spans="1:15" x14ac:dyDescent="0.3">
      <c r="A348" t="s">
        <v>100</v>
      </c>
      <c r="C348" t="s">
        <v>42</v>
      </c>
      <c r="D348" t="s">
        <v>36</v>
      </c>
      <c r="E348" t="s">
        <v>29</v>
      </c>
      <c r="F348" t="s">
        <v>30</v>
      </c>
      <c r="G348" t="s">
        <v>51</v>
      </c>
      <c r="H348">
        <v>4</v>
      </c>
      <c r="I348" t="s">
        <v>72</v>
      </c>
      <c r="J348" t="s">
        <v>63</v>
      </c>
      <c r="K348" t="s">
        <v>312</v>
      </c>
      <c r="L348" t="s">
        <v>21</v>
      </c>
      <c r="M348" t="s">
        <v>23</v>
      </c>
      <c r="N348" t="s">
        <v>24</v>
      </c>
      <c r="O348" t="s">
        <v>25</v>
      </c>
    </row>
    <row r="349" spans="1:15" x14ac:dyDescent="0.3">
      <c r="A349" t="s">
        <v>100</v>
      </c>
      <c r="C349" t="s">
        <v>27</v>
      </c>
      <c r="D349" t="s">
        <v>16</v>
      </c>
      <c r="E349" t="s">
        <v>37</v>
      </c>
      <c r="F349" t="s">
        <v>30</v>
      </c>
      <c r="G349" t="s">
        <v>44</v>
      </c>
      <c r="H349">
        <v>5</v>
      </c>
      <c r="I349" t="s">
        <v>45</v>
      </c>
      <c r="J349" t="s">
        <v>46</v>
      </c>
      <c r="K349" t="s">
        <v>60</v>
      </c>
      <c r="L349" t="s">
        <v>21</v>
      </c>
      <c r="M349" t="s">
        <v>23</v>
      </c>
      <c r="N349" t="s">
        <v>24</v>
      </c>
      <c r="O349" t="s">
        <v>25</v>
      </c>
    </row>
    <row r="350" spans="1:15" x14ac:dyDescent="0.3">
      <c r="A350" t="s">
        <v>301</v>
      </c>
      <c r="C350" t="s">
        <v>15</v>
      </c>
      <c r="D350" t="s">
        <v>16</v>
      </c>
      <c r="E350" t="s">
        <v>69</v>
      </c>
      <c r="F350" t="s">
        <v>30</v>
      </c>
      <c r="G350" t="s">
        <v>44</v>
      </c>
      <c r="H350">
        <v>3</v>
      </c>
      <c r="I350" t="s">
        <v>59</v>
      </c>
      <c r="J350" t="s">
        <v>63</v>
      </c>
      <c r="K350" t="s">
        <v>313</v>
      </c>
      <c r="L350" t="s">
        <v>21</v>
      </c>
      <c r="M350" t="s">
        <v>23</v>
      </c>
      <c r="N350" t="s">
        <v>24</v>
      </c>
      <c r="O350" t="s">
        <v>48</v>
      </c>
    </row>
    <row r="351" spans="1:15" x14ac:dyDescent="0.3">
      <c r="A351" t="s">
        <v>314</v>
      </c>
      <c r="C351" t="s">
        <v>15</v>
      </c>
      <c r="D351" t="s">
        <v>43</v>
      </c>
      <c r="E351" t="s">
        <v>69</v>
      </c>
      <c r="F351" t="s">
        <v>102</v>
      </c>
      <c r="G351" t="s">
        <v>58</v>
      </c>
      <c r="H351">
        <v>2</v>
      </c>
      <c r="I351" t="s">
        <v>45</v>
      </c>
      <c r="J351" t="s">
        <v>63</v>
      </c>
      <c r="K351" t="s">
        <v>315</v>
      </c>
      <c r="L351" t="s">
        <v>25</v>
      </c>
      <c r="M351" t="s">
        <v>23</v>
      </c>
      <c r="N351" t="s">
        <v>24</v>
      </c>
      <c r="O351" t="s">
        <v>21</v>
      </c>
    </row>
    <row r="352" spans="1:15" x14ac:dyDescent="0.3">
      <c r="A352" t="s">
        <v>100</v>
      </c>
      <c r="C352" t="s">
        <v>49</v>
      </c>
      <c r="D352" t="s">
        <v>43</v>
      </c>
      <c r="E352" t="s">
        <v>69</v>
      </c>
      <c r="F352" t="s">
        <v>18</v>
      </c>
      <c r="G352" t="s">
        <v>51</v>
      </c>
      <c r="H352">
        <v>5</v>
      </c>
      <c r="I352" t="s">
        <v>59</v>
      </c>
      <c r="J352" t="s">
        <v>52</v>
      </c>
      <c r="K352" t="s">
        <v>139</v>
      </c>
      <c r="L352" t="s">
        <v>25</v>
      </c>
      <c r="M352" t="s">
        <v>34</v>
      </c>
      <c r="N352" t="s">
        <v>88</v>
      </c>
      <c r="O352" t="s">
        <v>82</v>
      </c>
    </row>
    <row r="353" spans="1:15" x14ac:dyDescent="0.3">
      <c r="A353" t="s">
        <v>66</v>
      </c>
      <c r="C353" t="s">
        <v>15</v>
      </c>
      <c r="D353" t="s">
        <v>124</v>
      </c>
      <c r="E353" t="s">
        <v>29</v>
      </c>
      <c r="F353" t="s">
        <v>15</v>
      </c>
      <c r="G353" t="s">
        <v>44</v>
      </c>
      <c r="H353">
        <v>4</v>
      </c>
      <c r="I353" t="s">
        <v>59</v>
      </c>
      <c r="J353" t="s">
        <v>63</v>
      </c>
      <c r="K353" t="s">
        <v>60</v>
      </c>
      <c r="L353" t="s">
        <v>21</v>
      </c>
      <c r="M353" t="s">
        <v>34</v>
      </c>
      <c r="N353" t="s">
        <v>24</v>
      </c>
      <c r="O353" t="s">
        <v>25</v>
      </c>
    </row>
    <row r="354" spans="1:15" x14ac:dyDescent="0.3">
      <c r="A354" t="s">
        <v>55</v>
      </c>
      <c r="C354" t="s">
        <v>27</v>
      </c>
      <c r="D354" t="s">
        <v>43</v>
      </c>
      <c r="E354" t="s">
        <v>17</v>
      </c>
      <c r="F354" t="s">
        <v>30</v>
      </c>
      <c r="G354" t="s">
        <v>51</v>
      </c>
      <c r="H354">
        <v>3</v>
      </c>
      <c r="I354" t="s">
        <v>45</v>
      </c>
      <c r="J354" t="s">
        <v>46</v>
      </c>
      <c r="K354" t="s">
        <v>316</v>
      </c>
      <c r="L354" t="s">
        <v>21</v>
      </c>
      <c r="M354" t="s">
        <v>34</v>
      </c>
      <c r="N354" t="s">
        <v>24</v>
      </c>
      <c r="O354" t="s">
        <v>21</v>
      </c>
    </row>
    <row r="355" spans="1:15" x14ac:dyDescent="0.3">
      <c r="A355" t="s">
        <v>55</v>
      </c>
      <c r="C355" t="s">
        <v>15</v>
      </c>
      <c r="D355" t="s">
        <v>43</v>
      </c>
      <c r="E355" t="s">
        <v>29</v>
      </c>
      <c r="F355" t="s">
        <v>30</v>
      </c>
      <c r="G355" t="s">
        <v>58</v>
      </c>
      <c r="H355">
        <v>5</v>
      </c>
      <c r="I355" t="s">
        <v>45</v>
      </c>
      <c r="J355" t="s">
        <v>46</v>
      </c>
      <c r="K355" t="s">
        <v>315</v>
      </c>
      <c r="L355" t="s">
        <v>21</v>
      </c>
      <c r="M355" t="s">
        <v>23</v>
      </c>
      <c r="N355" t="s">
        <v>24</v>
      </c>
      <c r="O355" t="s">
        <v>21</v>
      </c>
    </row>
    <row r="356" spans="1:15" x14ac:dyDescent="0.3">
      <c r="A356" t="s">
        <v>103</v>
      </c>
      <c r="C356" t="s">
        <v>49</v>
      </c>
      <c r="D356" t="s">
        <v>317</v>
      </c>
      <c r="E356" t="s">
        <v>50</v>
      </c>
      <c r="F356" t="s">
        <v>30</v>
      </c>
      <c r="G356" t="s">
        <v>51</v>
      </c>
      <c r="H356">
        <v>5</v>
      </c>
      <c r="I356" t="s">
        <v>59</v>
      </c>
      <c r="J356" t="s">
        <v>52</v>
      </c>
      <c r="K356" t="s">
        <v>139</v>
      </c>
      <c r="L356" t="s">
        <v>25</v>
      </c>
      <c r="M356" t="s">
        <v>34</v>
      </c>
      <c r="N356" t="s">
        <v>88</v>
      </c>
      <c r="O356" t="s">
        <v>25</v>
      </c>
    </row>
    <row r="357" spans="1:15" x14ac:dyDescent="0.3">
      <c r="A357" t="s">
        <v>55</v>
      </c>
      <c r="C357" t="s">
        <v>49</v>
      </c>
      <c r="D357" t="s">
        <v>36</v>
      </c>
      <c r="E357" t="s">
        <v>37</v>
      </c>
      <c r="F357" t="s">
        <v>15</v>
      </c>
      <c r="G357" t="s">
        <v>44</v>
      </c>
      <c r="H357">
        <v>2</v>
      </c>
      <c r="I357" t="s">
        <v>84</v>
      </c>
      <c r="J357" t="s">
        <v>63</v>
      </c>
      <c r="K357" t="s">
        <v>139</v>
      </c>
      <c r="L357" t="s">
        <v>21</v>
      </c>
      <c r="M357" t="s">
        <v>23</v>
      </c>
      <c r="N357" t="s">
        <v>24</v>
      </c>
      <c r="O357" t="s">
        <v>25</v>
      </c>
    </row>
    <row r="358" spans="1:15" x14ac:dyDescent="0.3">
      <c r="A358" t="s">
        <v>55</v>
      </c>
      <c r="C358" t="s">
        <v>49</v>
      </c>
      <c r="D358" t="s">
        <v>318</v>
      </c>
      <c r="E358" t="s">
        <v>50</v>
      </c>
      <c r="F358" t="s">
        <v>49</v>
      </c>
      <c r="G358" t="s">
        <v>58</v>
      </c>
      <c r="H358">
        <v>5</v>
      </c>
      <c r="I358" t="s">
        <v>45</v>
      </c>
      <c r="J358" t="s">
        <v>52</v>
      </c>
      <c r="K358" t="s">
        <v>139</v>
      </c>
      <c r="L358" t="s">
        <v>21</v>
      </c>
      <c r="M358" t="s">
        <v>34</v>
      </c>
      <c r="N358" t="s">
        <v>88</v>
      </c>
      <c r="O358" t="s">
        <v>25</v>
      </c>
    </row>
    <row r="359" spans="1:15" x14ac:dyDescent="0.3">
      <c r="A359" t="s">
        <v>55</v>
      </c>
      <c r="C359" t="s">
        <v>27</v>
      </c>
      <c r="D359" t="s">
        <v>124</v>
      </c>
      <c r="E359" t="s">
        <v>37</v>
      </c>
      <c r="F359" t="s">
        <v>15</v>
      </c>
      <c r="G359" t="s">
        <v>44</v>
      </c>
      <c r="H359">
        <v>5</v>
      </c>
      <c r="I359" t="s">
        <v>45</v>
      </c>
      <c r="J359" t="s">
        <v>63</v>
      </c>
      <c r="K359" t="s">
        <v>158</v>
      </c>
      <c r="L359" t="s">
        <v>21</v>
      </c>
      <c r="M359" t="s">
        <v>34</v>
      </c>
      <c r="N359" t="s">
        <v>113</v>
      </c>
      <c r="O359" t="s">
        <v>48</v>
      </c>
    </row>
    <row r="360" spans="1:15" x14ac:dyDescent="0.3">
      <c r="A360" t="s">
        <v>55</v>
      </c>
      <c r="C360" t="s">
        <v>27</v>
      </c>
      <c r="D360" t="s">
        <v>83</v>
      </c>
      <c r="E360" t="s">
        <v>17</v>
      </c>
      <c r="F360" t="s">
        <v>18</v>
      </c>
      <c r="G360" t="s">
        <v>51</v>
      </c>
      <c r="H360">
        <v>3</v>
      </c>
      <c r="I360" t="s">
        <v>45</v>
      </c>
      <c r="J360" t="s">
        <v>46</v>
      </c>
      <c r="K360" t="s">
        <v>56</v>
      </c>
      <c r="L360" t="s">
        <v>25</v>
      </c>
      <c r="M360" t="s">
        <v>34</v>
      </c>
      <c r="N360" t="s">
        <v>88</v>
      </c>
      <c r="O360" t="s">
        <v>25</v>
      </c>
    </row>
    <row r="361" spans="1:15" x14ac:dyDescent="0.3">
      <c r="A361" t="s">
        <v>97</v>
      </c>
      <c r="C361" t="s">
        <v>15</v>
      </c>
      <c r="D361" t="s">
        <v>43</v>
      </c>
      <c r="E361" t="s">
        <v>50</v>
      </c>
      <c r="F361" t="s">
        <v>30</v>
      </c>
      <c r="G361" t="s">
        <v>70</v>
      </c>
      <c r="H361">
        <v>5</v>
      </c>
      <c r="I361" t="s">
        <v>45</v>
      </c>
      <c r="J361" t="s">
        <v>63</v>
      </c>
      <c r="K361" t="s">
        <v>319</v>
      </c>
      <c r="L361" t="s">
        <v>21</v>
      </c>
      <c r="M361" t="s">
        <v>23</v>
      </c>
      <c r="N361" t="s">
        <v>24</v>
      </c>
      <c r="O361" t="s">
        <v>21</v>
      </c>
    </row>
    <row r="362" spans="1:15" x14ac:dyDescent="0.3">
      <c r="A362" t="s">
        <v>66</v>
      </c>
      <c r="C362" t="s">
        <v>27</v>
      </c>
      <c r="D362" t="s">
        <v>16</v>
      </c>
      <c r="E362" t="s">
        <v>50</v>
      </c>
      <c r="F362" t="s">
        <v>102</v>
      </c>
      <c r="G362" t="s">
        <v>58</v>
      </c>
      <c r="H362">
        <v>5</v>
      </c>
      <c r="I362" t="s">
        <v>45</v>
      </c>
      <c r="J362" t="s">
        <v>46</v>
      </c>
      <c r="K362" t="s">
        <v>67</v>
      </c>
      <c r="L362" t="s">
        <v>21</v>
      </c>
      <c r="M362" t="s">
        <v>23</v>
      </c>
      <c r="N362" t="s">
        <v>24</v>
      </c>
      <c r="O362" t="s">
        <v>21</v>
      </c>
    </row>
    <row r="363" spans="1:15" x14ac:dyDescent="0.3">
      <c r="A363" t="s">
        <v>66</v>
      </c>
      <c r="C363" t="s">
        <v>42</v>
      </c>
      <c r="D363" t="s">
        <v>43</v>
      </c>
      <c r="E363" t="s">
        <v>50</v>
      </c>
      <c r="F363" t="s">
        <v>30</v>
      </c>
      <c r="G363" t="s">
        <v>70</v>
      </c>
      <c r="H363">
        <v>3</v>
      </c>
      <c r="I363" t="s">
        <v>45</v>
      </c>
      <c r="J363" t="s">
        <v>46</v>
      </c>
      <c r="K363" t="s">
        <v>190</v>
      </c>
      <c r="L363" t="s">
        <v>21</v>
      </c>
      <c r="M363" t="s">
        <v>34</v>
      </c>
      <c r="N363" t="s">
        <v>24</v>
      </c>
      <c r="O363" t="s">
        <v>21</v>
      </c>
    </row>
    <row r="364" spans="1:15" x14ac:dyDescent="0.3">
      <c r="A364" t="s">
        <v>100</v>
      </c>
      <c r="C364" t="s">
        <v>42</v>
      </c>
      <c r="D364" t="s">
        <v>83</v>
      </c>
      <c r="E364" t="s">
        <v>17</v>
      </c>
      <c r="F364" t="s">
        <v>18</v>
      </c>
      <c r="G364" t="s">
        <v>51</v>
      </c>
      <c r="H364">
        <v>1</v>
      </c>
      <c r="I364" t="s">
        <v>59</v>
      </c>
      <c r="J364" t="s">
        <v>63</v>
      </c>
      <c r="K364" t="s">
        <v>56</v>
      </c>
      <c r="L364" t="s">
        <v>21</v>
      </c>
      <c r="M364" t="s">
        <v>40</v>
      </c>
      <c r="N364" t="s">
        <v>24</v>
      </c>
      <c r="O364" t="s">
        <v>21</v>
      </c>
    </row>
    <row r="365" spans="1:15" x14ac:dyDescent="0.3">
      <c r="A365" t="s">
        <v>75</v>
      </c>
      <c r="C365" t="s">
        <v>42</v>
      </c>
      <c r="D365" t="s">
        <v>83</v>
      </c>
      <c r="E365" t="s">
        <v>17</v>
      </c>
      <c r="F365" t="s">
        <v>15</v>
      </c>
      <c r="G365" t="s">
        <v>51</v>
      </c>
      <c r="H365">
        <v>5</v>
      </c>
      <c r="I365" t="s">
        <v>45</v>
      </c>
      <c r="J365" t="s">
        <v>46</v>
      </c>
      <c r="K365" t="s">
        <v>67</v>
      </c>
      <c r="L365" t="s">
        <v>25</v>
      </c>
      <c r="M365" t="s">
        <v>34</v>
      </c>
      <c r="N365" t="s">
        <v>24</v>
      </c>
      <c r="O365" t="s">
        <v>48</v>
      </c>
    </row>
    <row r="366" spans="1:15" x14ac:dyDescent="0.3">
      <c r="A366" t="s">
        <v>41</v>
      </c>
      <c r="C366" t="s">
        <v>27</v>
      </c>
      <c r="D366" t="s">
        <v>43</v>
      </c>
      <c r="E366" t="s">
        <v>50</v>
      </c>
      <c r="F366" t="s">
        <v>49</v>
      </c>
      <c r="G366" t="s">
        <v>51</v>
      </c>
      <c r="H366">
        <v>1</v>
      </c>
      <c r="I366" t="s">
        <v>45</v>
      </c>
      <c r="J366" t="s">
        <v>46</v>
      </c>
      <c r="K366" t="s">
        <v>56</v>
      </c>
      <c r="L366" t="s">
        <v>21</v>
      </c>
      <c r="M366" t="s">
        <v>23</v>
      </c>
      <c r="N366" t="s">
        <v>88</v>
      </c>
      <c r="O366" t="s">
        <v>21</v>
      </c>
    </row>
    <row r="367" spans="1:15" x14ac:dyDescent="0.3">
      <c r="A367" t="s">
        <v>68</v>
      </c>
      <c r="C367" t="s">
        <v>49</v>
      </c>
      <c r="D367" t="s">
        <v>144</v>
      </c>
      <c r="E367" t="s">
        <v>50</v>
      </c>
      <c r="F367" t="s">
        <v>49</v>
      </c>
      <c r="G367" t="s">
        <v>70</v>
      </c>
      <c r="H367">
        <v>5</v>
      </c>
      <c r="I367" t="s">
        <v>45</v>
      </c>
      <c r="J367" t="s">
        <v>52</v>
      </c>
      <c r="K367" t="s">
        <v>99</v>
      </c>
      <c r="L367" t="s">
        <v>21</v>
      </c>
      <c r="M367" t="s">
        <v>34</v>
      </c>
      <c r="N367" t="s">
        <v>24</v>
      </c>
      <c r="O367" t="s">
        <v>48</v>
      </c>
    </row>
    <row r="368" spans="1:15" x14ac:dyDescent="0.3">
      <c r="A368" t="s">
        <v>75</v>
      </c>
      <c r="C368" t="s">
        <v>49</v>
      </c>
      <c r="D368" t="s">
        <v>43</v>
      </c>
      <c r="E368" t="s">
        <v>50</v>
      </c>
      <c r="F368" t="s">
        <v>49</v>
      </c>
      <c r="G368" t="s">
        <v>70</v>
      </c>
      <c r="H368">
        <v>4</v>
      </c>
      <c r="I368" t="s">
        <v>45</v>
      </c>
      <c r="J368" t="s">
        <v>46</v>
      </c>
      <c r="K368" t="s">
        <v>188</v>
      </c>
      <c r="L368" t="s">
        <v>21</v>
      </c>
      <c r="M368" t="s">
        <v>23</v>
      </c>
      <c r="N368" t="s">
        <v>24</v>
      </c>
      <c r="O368" t="s">
        <v>25</v>
      </c>
    </row>
    <row r="369" spans="1:15" x14ac:dyDescent="0.3">
      <c r="A369" t="s">
        <v>97</v>
      </c>
      <c r="C369" t="s">
        <v>27</v>
      </c>
      <c r="D369" t="s">
        <v>43</v>
      </c>
      <c r="E369" t="s">
        <v>50</v>
      </c>
      <c r="F369" t="s">
        <v>30</v>
      </c>
      <c r="G369" t="s">
        <v>44</v>
      </c>
      <c r="H369">
        <v>3</v>
      </c>
      <c r="I369" t="s">
        <v>59</v>
      </c>
      <c r="J369" t="s">
        <v>63</v>
      </c>
      <c r="K369" t="s">
        <v>320</v>
      </c>
      <c r="L369" t="s">
        <v>21</v>
      </c>
      <c r="M369" t="s">
        <v>34</v>
      </c>
      <c r="N369" t="s">
        <v>24</v>
      </c>
      <c r="O369" t="s">
        <v>48</v>
      </c>
    </row>
    <row r="370" spans="1:15" x14ac:dyDescent="0.3">
      <c r="A370" t="s">
        <v>55</v>
      </c>
      <c r="C370" t="s">
        <v>27</v>
      </c>
      <c r="D370" t="s">
        <v>43</v>
      </c>
      <c r="E370" t="s">
        <v>50</v>
      </c>
      <c r="F370" t="s">
        <v>49</v>
      </c>
      <c r="G370" t="s">
        <v>51</v>
      </c>
      <c r="H370">
        <v>3</v>
      </c>
      <c r="I370" t="s">
        <v>45</v>
      </c>
      <c r="J370" t="s">
        <v>63</v>
      </c>
      <c r="K370" t="s">
        <v>321</v>
      </c>
      <c r="L370" t="s">
        <v>25</v>
      </c>
      <c r="M370" t="s">
        <v>34</v>
      </c>
      <c r="N370" t="s">
        <v>24</v>
      </c>
      <c r="O370" t="s">
        <v>48</v>
      </c>
    </row>
    <row r="371" spans="1:15" x14ac:dyDescent="0.3">
      <c r="A371" t="s">
        <v>97</v>
      </c>
      <c r="C371" t="s">
        <v>27</v>
      </c>
      <c r="D371" t="s">
        <v>36</v>
      </c>
      <c r="E371" t="s">
        <v>69</v>
      </c>
      <c r="F371" t="s">
        <v>102</v>
      </c>
      <c r="G371" t="s">
        <v>44</v>
      </c>
      <c r="H371">
        <v>2</v>
      </c>
      <c r="I371" t="s">
        <v>45</v>
      </c>
      <c r="J371" t="s">
        <v>63</v>
      </c>
      <c r="K371" t="s">
        <v>157</v>
      </c>
      <c r="L371" t="s">
        <v>25</v>
      </c>
      <c r="M371" t="s">
        <v>34</v>
      </c>
      <c r="N371" t="s">
        <v>24</v>
      </c>
      <c r="O371" t="s">
        <v>82</v>
      </c>
    </row>
    <row r="372" spans="1:15" x14ac:dyDescent="0.3">
      <c r="A372" t="s">
        <v>35</v>
      </c>
      <c r="C372" t="s">
        <v>27</v>
      </c>
      <c r="D372" t="s">
        <v>322</v>
      </c>
      <c r="E372" t="s">
        <v>50</v>
      </c>
      <c r="F372" t="s">
        <v>49</v>
      </c>
      <c r="G372" t="s">
        <v>51</v>
      </c>
      <c r="H372">
        <v>2</v>
      </c>
      <c r="I372" t="s">
        <v>45</v>
      </c>
      <c r="J372" t="s">
        <v>52</v>
      </c>
      <c r="K372" t="s">
        <v>303</v>
      </c>
      <c r="L372" t="s">
        <v>25</v>
      </c>
      <c r="M372" t="s">
        <v>23</v>
      </c>
      <c r="N372" t="s">
        <v>24</v>
      </c>
      <c r="O372" t="s">
        <v>48</v>
      </c>
    </row>
    <row r="373" spans="1:15" x14ac:dyDescent="0.3">
      <c r="A373" t="s">
        <v>75</v>
      </c>
      <c r="C373" t="s">
        <v>15</v>
      </c>
      <c r="D373" t="s">
        <v>323</v>
      </c>
      <c r="E373" t="s">
        <v>50</v>
      </c>
      <c r="F373" t="s">
        <v>49</v>
      </c>
      <c r="G373" t="s">
        <v>44</v>
      </c>
      <c r="H373">
        <v>5</v>
      </c>
      <c r="I373" t="s">
        <v>59</v>
      </c>
      <c r="J373" t="s">
        <v>63</v>
      </c>
      <c r="K373" t="s">
        <v>324</v>
      </c>
      <c r="L373" t="s">
        <v>21</v>
      </c>
      <c r="M373" t="s">
        <v>23</v>
      </c>
      <c r="N373" t="s">
        <v>187</v>
      </c>
      <c r="O373" t="s">
        <v>82</v>
      </c>
    </row>
    <row r="374" spans="1:15" x14ac:dyDescent="0.3">
      <c r="A374" t="s">
        <v>55</v>
      </c>
      <c r="C374" t="s">
        <v>27</v>
      </c>
      <c r="D374" t="s">
        <v>43</v>
      </c>
      <c r="E374" t="s">
        <v>50</v>
      </c>
      <c r="F374" t="s">
        <v>49</v>
      </c>
      <c r="G374" t="s">
        <v>51</v>
      </c>
      <c r="H374">
        <v>5</v>
      </c>
      <c r="I374" t="s">
        <v>59</v>
      </c>
      <c r="J374" t="s">
        <v>46</v>
      </c>
      <c r="K374" t="s">
        <v>325</v>
      </c>
      <c r="L374" t="s">
        <v>21</v>
      </c>
      <c r="M374" t="s">
        <v>40</v>
      </c>
      <c r="N374" t="s">
        <v>113</v>
      </c>
      <c r="O374" t="s">
        <v>25</v>
      </c>
    </row>
    <row r="375" spans="1:15" x14ac:dyDescent="0.3">
      <c r="A375" t="s">
        <v>61</v>
      </c>
      <c r="C375" t="s">
        <v>27</v>
      </c>
      <c r="D375" t="s">
        <v>43</v>
      </c>
      <c r="E375" t="s">
        <v>50</v>
      </c>
      <c r="F375" t="s">
        <v>49</v>
      </c>
      <c r="G375" t="s">
        <v>51</v>
      </c>
      <c r="H375">
        <v>5</v>
      </c>
      <c r="I375" t="s">
        <v>45</v>
      </c>
      <c r="J375" t="s">
        <v>52</v>
      </c>
      <c r="K375" t="s">
        <v>326</v>
      </c>
      <c r="L375" t="s">
        <v>21</v>
      </c>
      <c r="M375" t="s">
        <v>23</v>
      </c>
      <c r="N375" t="s">
        <v>24</v>
      </c>
      <c r="O375" t="s">
        <v>21</v>
      </c>
    </row>
    <row r="376" spans="1:15" x14ac:dyDescent="0.3">
      <c r="A376" t="s">
        <v>327</v>
      </c>
      <c r="C376" t="s">
        <v>27</v>
      </c>
      <c r="D376" t="s">
        <v>43</v>
      </c>
      <c r="E376" t="s">
        <v>50</v>
      </c>
      <c r="F376" t="s">
        <v>30</v>
      </c>
      <c r="G376" t="s">
        <v>51</v>
      </c>
      <c r="H376">
        <v>4</v>
      </c>
      <c r="I376" t="s">
        <v>45</v>
      </c>
      <c r="J376" t="s">
        <v>63</v>
      </c>
      <c r="K376" t="s">
        <v>204</v>
      </c>
      <c r="L376" t="s">
        <v>21</v>
      </c>
      <c r="M376" t="s">
        <v>23</v>
      </c>
      <c r="N376" t="s">
        <v>88</v>
      </c>
      <c r="O376" t="s">
        <v>21</v>
      </c>
    </row>
    <row r="377" spans="1:15" x14ac:dyDescent="0.3">
      <c r="A377" t="s">
        <v>100</v>
      </c>
      <c r="C377" t="s">
        <v>15</v>
      </c>
      <c r="D377" t="s">
        <v>43</v>
      </c>
      <c r="E377" t="s">
        <v>50</v>
      </c>
      <c r="F377" t="s">
        <v>49</v>
      </c>
      <c r="G377" t="s">
        <v>58</v>
      </c>
      <c r="H377">
        <v>5</v>
      </c>
      <c r="I377" t="s">
        <v>84</v>
      </c>
      <c r="J377" t="s">
        <v>63</v>
      </c>
      <c r="K377" t="s">
        <v>328</v>
      </c>
      <c r="L377" t="s">
        <v>21</v>
      </c>
      <c r="M377" t="s">
        <v>23</v>
      </c>
      <c r="N377" t="s">
        <v>24</v>
      </c>
      <c r="O377" t="s">
        <v>21</v>
      </c>
    </row>
    <row r="378" spans="1:15" x14ac:dyDescent="0.3">
      <c r="A378" t="s">
        <v>66</v>
      </c>
      <c r="C378" t="s">
        <v>49</v>
      </c>
      <c r="D378" t="s">
        <v>43</v>
      </c>
      <c r="E378" t="s">
        <v>69</v>
      </c>
      <c r="F378" t="s">
        <v>30</v>
      </c>
      <c r="G378" t="s">
        <v>51</v>
      </c>
      <c r="H378">
        <v>3</v>
      </c>
      <c r="I378" t="s">
        <v>45</v>
      </c>
      <c r="J378" t="s">
        <v>63</v>
      </c>
      <c r="K378" t="s">
        <v>329</v>
      </c>
      <c r="L378" t="s">
        <v>21</v>
      </c>
      <c r="M378" t="s">
        <v>23</v>
      </c>
      <c r="N378" t="s">
        <v>24</v>
      </c>
      <c r="O378" t="s">
        <v>82</v>
      </c>
    </row>
    <row r="379" spans="1:15" x14ac:dyDescent="0.3">
      <c r="A379" t="s">
        <v>68</v>
      </c>
      <c r="C379" t="s">
        <v>15</v>
      </c>
      <c r="D379" t="s">
        <v>16</v>
      </c>
      <c r="E379" t="s">
        <v>37</v>
      </c>
      <c r="F379" t="s">
        <v>15</v>
      </c>
      <c r="G379" t="s">
        <v>51</v>
      </c>
      <c r="H379">
        <v>5</v>
      </c>
      <c r="I379" t="s">
        <v>59</v>
      </c>
      <c r="J379" t="s">
        <v>63</v>
      </c>
      <c r="K379" t="s">
        <v>157</v>
      </c>
      <c r="L379" t="s">
        <v>25</v>
      </c>
      <c r="M379" t="s">
        <v>34</v>
      </c>
      <c r="N379" t="s">
        <v>88</v>
      </c>
      <c r="O379" t="s">
        <v>21</v>
      </c>
    </row>
    <row r="380" spans="1:15" x14ac:dyDescent="0.3">
      <c r="A380" t="s">
        <v>68</v>
      </c>
      <c r="C380" t="s">
        <v>49</v>
      </c>
      <c r="D380" t="s">
        <v>43</v>
      </c>
      <c r="E380" t="s">
        <v>50</v>
      </c>
      <c r="F380" t="s">
        <v>30</v>
      </c>
      <c r="G380" t="s">
        <v>51</v>
      </c>
      <c r="H380">
        <v>5</v>
      </c>
      <c r="I380" t="s">
        <v>72</v>
      </c>
      <c r="J380" t="s">
        <v>52</v>
      </c>
      <c r="K380" t="s">
        <v>161</v>
      </c>
      <c r="L380" t="s">
        <v>21</v>
      </c>
      <c r="M380" t="s">
        <v>23</v>
      </c>
      <c r="N380" t="s">
        <v>88</v>
      </c>
      <c r="O380" t="s">
        <v>82</v>
      </c>
    </row>
    <row r="381" spans="1:15" x14ac:dyDescent="0.3">
      <c r="A381" t="s">
        <v>97</v>
      </c>
      <c r="C381" t="s">
        <v>49</v>
      </c>
      <c r="D381" t="s">
        <v>43</v>
      </c>
      <c r="E381" t="s">
        <v>50</v>
      </c>
      <c r="F381" t="s">
        <v>49</v>
      </c>
      <c r="G381" t="s">
        <v>51</v>
      </c>
      <c r="H381">
        <v>5</v>
      </c>
      <c r="I381" t="s">
        <v>45</v>
      </c>
      <c r="J381" t="s">
        <v>63</v>
      </c>
      <c r="K381" t="s">
        <v>56</v>
      </c>
      <c r="L381" t="s">
        <v>21</v>
      </c>
      <c r="M381" t="s">
        <v>23</v>
      </c>
      <c r="N381" t="s">
        <v>88</v>
      </c>
      <c r="O381" t="s">
        <v>25</v>
      </c>
    </row>
    <row r="382" spans="1:15" x14ac:dyDescent="0.3">
      <c r="A382" t="s">
        <v>68</v>
      </c>
      <c r="C382" t="s">
        <v>15</v>
      </c>
      <c r="D382" t="s">
        <v>43</v>
      </c>
      <c r="E382" t="s">
        <v>69</v>
      </c>
      <c r="F382" t="s">
        <v>15</v>
      </c>
      <c r="G382" t="s">
        <v>51</v>
      </c>
      <c r="H382">
        <v>5</v>
      </c>
      <c r="I382" t="s">
        <v>45</v>
      </c>
      <c r="J382" t="s">
        <v>46</v>
      </c>
      <c r="K382" t="s">
        <v>330</v>
      </c>
      <c r="L382" t="s">
        <v>21</v>
      </c>
      <c r="M382" t="s">
        <v>23</v>
      </c>
      <c r="N382" t="s">
        <v>113</v>
      </c>
      <c r="O382" t="s">
        <v>48</v>
      </c>
    </row>
    <row r="383" spans="1:15" x14ac:dyDescent="0.3">
      <c r="A383" t="s">
        <v>97</v>
      </c>
      <c r="C383" t="s">
        <v>49</v>
      </c>
      <c r="D383" t="s">
        <v>331</v>
      </c>
      <c r="E383" t="s">
        <v>50</v>
      </c>
      <c r="F383" t="s">
        <v>30</v>
      </c>
      <c r="G383" t="s">
        <v>51</v>
      </c>
      <c r="H383">
        <v>3</v>
      </c>
      <c r="I383" t="s">
        <v>45</v>
      </c>
      <c r="J383" t="s">
        <v>63</v>
      </c>
      <c r="K383" t="s">
        <v>332</v>
      </c>
      <c r="L383" t="s">
        <v>21</v>
      </c>
      <c r="M383" t="s">
        <v>34</v>
      </c>
      <c r="N383" t="s">
        <v>88</v>
      </c>
      <c r="O383" t="s">
        <v>25</v>
      </c>
    </row>
    <row r="384" spans="1:15" x14ac:dyDescent="0.3">
      <c r="A384" t="s">
        <v>97</v>
      </c>
      <c r="C384" t="s">
        <v>27</v>
      </c>
      <c r="D384" t="s">
        <v>333</v>
      </c>
      <c r="E384" t="s">
        <v>29</v>
      </c>
      <c r="F384" t="s">
        <v>30</v>
      </c>
      <c r="G384" t="s">
        <v>44</v>
      </c>
      <c r="H384">
        <v>3</v>
      </c>
      <c r="I384" t="s">
        <v>45</v>
      </c>
      <c r="J384" t="s">
        <v>63</v>
      </c>
      <c r="K384" t="s">
        <v>334</v>
      </c>
      <c r="L384" t="s">
        <v>21</v>
      </c>
      <c r="M384" t="s">
        <v>23</v>
      </c>
      <c r="N384" t="s">
        <v>24</v>
      </c>
      <c r="O384" t="s">
        <v>48</v>
      </c>
    </row>
    <row r="385" spans="1:15" x14ac:dyDescent="0.3">
      <c r="A385" t="s">
        <v>41</v>
      </c>
      <c r="C385" t="s">
        <v>42</v>
      </c>
      <c r="D385" t="s">
        <v>335</v>
      </c>
      <c r="E385" t="s">
        <v>37</v>
      </c>
      <c r="F385" t="s">
        <v>18</v>
      </c>
      <c r="G385" t="s">
        <v>44</v>
      </c>
      <c r="H385">
        <v>5</v>
      </c>
      <c r="I385" t="s">
        <v>59</v>
      </c>
      <c r="J385" t="s">
        <v>52</v>
      </c>
      <c r="K385" t="s">
        <v>233</v>
      </c>
      <c r="L385" t="s">
        <v>21</v>
      </c>
      <c r="M385" t="s">
        <v>34</v>
      </c>
      <c r="N385" t="s">
        <v>88</v>
      </c>
      <c r="O385" t="s">
        <v>21</v>
      </c>
    </row>
    <row r="386" spans="1:15" x14ac:dyDescent="0.3">
      <c r="A386" t="s">
        <v>55</v>
      </c>
      <c r="C386" t="s">
        <v>15</v>
      </c>
      <c r="D386" t="s">
        <v>43</v>
      </c>
      <c r="E386" t="s">
        <v>37</v>
      </c>
      <c r="F386" t="s">
        <v>30</v>
      </c>
      <c r="G386" t="s">
        <v>44</v>
      </c>
      <c r="H386">
        <v>5</v>
      </c>
      <c r="I386" t="s">
        <v>45</v>
      </c>
      <c r="J386" t="s">
        <v>63</v>
      </c>
      <c r="K386" t="s">
        <v>233</v>
      </c>
      <c r="L386" t="s">
        <v>25</v>
      </c>
      <c r="M386" t="s">
        <v>34</v>
      </c>
      <c r="N386" t="s">
        <v>24</v>
      </c>
      <c r="O386" t="s">
        <v>48</v>
      </c>
    </row>
    <row r="387" spans="1:15" x14ac:dyDescent="0.3">
      <c r="A387" t="s">
        <v>97</v>
      </c>
      <c r="C387" t="s">
        <v>49</v>
      </c>
      <c r="D387" t="s">
        <v>43</v>
      </c>
      <c r="E387" t="s">
        <v>50</v>
      </c>
      <c r="F387" t="s">
        <v>49</v>
      </c>
      <c r="G387" t="s">
        <v>51</v>
      </c>
      <c r="H387">
        <v>5</v>
      </c>
      <c r="I387" t="s">
        <v>59</v>
      </c>
      <c r="J387" t="s">
        <v>63</v>
      </c>
      <c r="K387" t="s">
        <v>139</v>
      </c>
      <c r="L387" t="s">
        <v>25</v>
      </c>
      <c r="M387" t="s">
        <v>34</v>
      </c>
      <c r="N387" t="s">
        <v>113</v>
      </c>
      <c r="O387" t="s">
        <v>25</v>
      </c>
    </row>
    <row r="388" spans="1:15" x14ac:dyDescent="0.3">
      <c r="A388" t="s">
        <v>55</v>
      </c>
      <c r="C388" t="s">
        <v>15</v>
      </c>
      <c r="D388" t="s">
        <v>43</v>
      </c>
      <c r="E388" t="s">
        <v>50</v>
      </c>
      <c r="F388" t="s">
        <v>15</v>
      </c>
      <c r="G388" t="s">
        <v>58</v>
      </c>
      <c r="H388">
        <v>4</v>
      </c>
      <c r="I388" t="s">
        <v>45</v>
      </c>
      <c r="J388" t="s">
        <v>46</v>
      </c>
      <c r="K388" t="s">
        <v>67</v>
      </c>
      <c r="L388" t="s">
        <v>21</v>
      </c>
      <c r="M388" t="s">
        <v>23</v>
      </c>
      <c r="N388" t="s">
        <v>24</v>
      </c>
      <c r="O388" t="s">
        <v>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��B[B[B[B[B[B[[[[[DD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5895573-7286-473F-9327-61C34A35849D}">
  <ds:schemaRefs/>
</ds:datastoreItem>
</file>

<file path=customXml/itemProps2.xml><?xml version="1.0" encoding="utf-8"?>
<ds:datastoreItem xmlns:ds="http://schemas.openxmlformats.org/officeDocument/2006/customXml" ds:itemID="{99F899D6-35B0-4EBF-BD1E-6CAEE7103CA5}">
  <ds:schemaRefs/>
</ds:datastoreItem>
</file>

<file path=customXml/itemProps3.xml><?xml version="1.0" encoding="utf-8"?>
<ds:datastoreItem xmlns:ds="http://schemas.openxmlformats.org/officeDocument/2006/customXml" ds:itemID="{3C1C2764-0779-4A21-B775-E8B30255197C}">
  <ds:schemaRefs/>
</ds:datastoreItem>
</file>

<file path=customXml/itemProps4.xml><?xml version="1.0" encoding="utf-8"?>
<ds:datastoreItem xmlns:ds="http://schemas.openxmlformats.org/officeDocument/2006/customXml" ds:itemID="{B7B887CB-4D7A-45C7-8B6B-5CF3D4B367B3}">
  <ds:schemaRefs/>
</ds:datastoreItem>
</file>

<file path=customXml/itemProps5.xml><?xml version="1.0" encoding="utf-8"?>
<ds:datastoreItem xmlns:ds="http://schemas.openxmlformats.org/officeDocument/2006/customXml" ds:itemID="{D8F7FF3F-F129-4448-945C-B0E5D8357392}">
  <ds:schemaRefs/>
</ds:datastoreItem>
</file>

<file path=customXml/itemProps6.xml><?xml version="1.0" encoding="utf-8"?>
<ds:datastoreItem xmlns:ds="http://schemas.openxmlformats.org/officeDocument/2006/customXml" ds:itemID="{33D2CF00-FAB8-4E60-9FE3-AA4832350DFC}">
  <ds:schemaRefs/>
</ds:datastoreItem>
</file>

<file path=customXml/itemProps7.xml><?xml version="1.0" encoding="utf-8"?>
<ds:datastoreItem xmlns:ds="http://schemas.openxmlformats.org/officeDocument/2006/customXml" ds:itemID="{1BFFD6E6-6E81-44E8-819E-A682A636EE8F}">
  <ds:schemaRefs/>
</ds:datastoreItem>
</file>

<file path=customXml/itemProps8.xml><?xml version="1.0" encoding="utf-8"?>
<ds:datastoreItem xmlns:ds="http://schemas.openxmlformats.org/officeDocument/2006/customXml" ds:itemID="{577F1931-AC8B-4774-8E02-82A3A57E1C16}">
  <ds:schemaRefs/>
</ds:datastoreItem>
</file>

<file path=customXml/itemProps9.xml><?xml version="1.0" encoding="utf-8"?>
<ds:datastoreItem xmlns:ds="http://schemas.openxmlformats.org/officeDocument/2006/customXml" ds:itemID="{4C4064E8-8E2D-4FD7-BCDA-97E3896286D9}">
  <ds:schemaRefs/>
</ds:datastoreItem>
</file>

<file path=customXml/itemProps10.xml><?xml version="1.0" encoding="utf-8"?>
<ds:datastoreItem xmlns:ds="http://schemas.openxmlformats.org/officeDocument/2006/customXml" ds:itemID="{4BB23ACC-9F6E-43F7-868A-BC639B247243}">
  <ds:schemaRefs/>
</ds:datastoreItem>
</file>

<file path=customXml/itemProps11.xml><?xml version="1.0" encoding="utf-8"?>
<ds:datastoreItem xmlns:ds="http://schemas.openxmlformats.org/officeDocument/2006/customXml" ds:itemID="{66BBAED5-5808-4317-A70C-EF9CE7368FB9}">
  <ds:schemaRefs/>
</ds:datastoreItem>
</file>

<file path=customXml/itemProps12.xml><?xml version="1.0" encoding="utf-8"?>
<ds:datastoreItem xmlns:ds="http://schemas.openxmlformats.org/officeDocument/2006/customXml" ds:itemID="{92F82358-1929-4E60-86CE-0AE33464F42B}">
  <ds:schemaRefs/>
</ds:datastoreItem>
</file>

<file path=customXml/itemProps13.xml><?xml version="1.0" encoding="utf-8"?>
<ds:datastoreItem xmlns:ds="http://schemas.openxmlformats.org/officeDocument/2006/customXml" ds:itemID="{BE0913CA-EE47-4363-BBF9-04DD86A8B4D6}">
  <ds:schemaRefs>
    <ds:schemaRef ds:uri="http://schemas.microsoft.com/DataMashup"/>
  </ds:schemaRefs>
</ds:datastoreItem>
</file>

<file path=customXml/itemProps14.xml><?xml version="1.0" encoding="utf-8"?>
<ds:datastoreItem xmlns:ds="http://schemas.openxmlformats.org/officeDocument/2006/customXml" ds:itemID="{D186EAF7-B33C-47B2-AA90-9F6954C0F135}">
  <ds:schemaRefs/>
</ds:datastoreItem>
</file>

<file path=customXml/itemProps15.xml><?xml version="1.0" encoding="utf-8"?>
<ds:datastoreItem xmlns:ds="http://schemas.openxmlformats.org/officeDocument/2006/customXml" ds:itemID="{23D95638-902E-4A84-9EE3-0AE2C81E5D6F}">
  <ds:schemaRefs/>
</ds:datastoreItem>
</file>

<file path=customXml/itemProps16.xml><?xml version="1.0" encoding="utf-8"?>
<ds:datastoreItem xmlns:ds="http://schemas.openxmlformats.org/officeDocument/2006/customXml" ds:itemID="{3744F684-3498-4024-AEE1-1A86A6F23A75}">
  <ds:schemaRefs/>
</ds:datastoreItem>
</file>

<file path=customXml/itemProps17.xml><?xml version="1.0" encoding="utf-8"?>
<ds:datastoreItem xmlns:ds="http://schemas.openxmlformats.org/officeDocument/2006/customXml" ds:itemID="{8A9AFA4B-4C2C-448F-9213-EE9D8F5421F8}">
  <ds:schemaRefs/>
</ds:datastoreItem>
</file>

<file path=customXml/itemProps18.xml><?xml version="1.0" encoding="utf-8"?>
<ds:datastoreItem xmlns:ds="http://schemas.openxmlformats.org/officeDocument/2006/customXml" ds:itemID="{84EF2878-DD60-45D1-9DB1-CAE5743658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Final_Data</vt:lpstr>
      <vt:lpstr>Transformed and Cleaned Data</vt:lpstr>
      <vt:lpstr>Worksheet</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Mateusz Kowalczyk</dc:creator>
  <cp:lastModifiedBy>Mateusz Kowalczyk</cp:lastModifiedBy>
  <dcterms:created xsi:type="dcterms:W3CDTF">2015-06-05T18:17:20Z</dcterms:created>
  <dcterms:modified xsi:type="dcterms:W3CDTF">2025-09-23T15:53:10Z</dcterms:modified>
</cp:coreProperties>
</file>