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f8380d4eed02541/Pulpit/"/>
    </mc:Choice>
  </mc:AlternateContent>
  <xr:revisionPtr revIDLastSave="1211" documentId="11_F25DC773A252ABDACC104868811C429E5BDE58F2" xr6:coauthVersionLast="47" xr6:coauthVersionMax="47" xr10:uidLastSave="{E0EC22B9-3BCD-4AE5-B8A4-6BA71C854762}"/>
  <bookViews>
    <workbookView xWindow="-108" yWindow="-108" windowWidth="23256" windowHeight="13896" tabRatio="808" activeTab="6" xr2:uid="{00000000-000D-0000-FFFF-FFFF00000000}"/>
  </bookViews>
  <sheets>
    <sheet name="RZiS -&gt;&gt;&gt;" sheetId="19" r:id="rId1"/>
    <sheet name="Check RZiS" sheetId="7" r:id="rId2"/>
    <sheet name="25 RZiS Zmapowane P+" sheetId="9" r:id="rId3"/>
    <sheet name="25 RZiS Zmapowane" sheetId="4" r:id="rId4"/>
    <sheet name="24 RziS Mapowanie" sheetId="10" r:id="rId5"/>
    <sheet name="Bilans -&gt;&gt;&gt;" sheetId="18" r:id="rId6"/>
    <sheet name="Check Bilansu 25" sheetId="14" r:id="rId7"/>
    <sheet name="25 Mapowanie Bilans P+" sheetId="13" r:id="rId8"/>
    <sheet name="25 Mapowanie Bilans" sheetId="11" r:id="rId9"/>
    <sheet name="Check Bilansu 24" sheetId="16" r:id="rId10"/>
    <sheet name="24 Bilans Mapowanie A+" sheetId="17" r:id="rId11"/>
    <sheet name="24 Bilans Mapowanie" sheetId="15" r:id="rId12"/>
    <sheet name="Dane --&gt;" sheetId="20" r:id="rId13"/>
    <sheet name="2025 ZOiS" sheetId="1" r:id="rId14"/>
    <sheet name="2024 ZOiS" sheetId="3" r:id="rId15"/>
    <sheet name="Mapping" sheetId="8" r:id="rId16"/>
  </sheets>
  <definedNames>
    <definedName name="_xlnm._FilterDatabase" localSheetId="14" hidden="1">'2024 ZOiS'!$A$2:$S$173</definedName>
    <definedName name="_xlnm._FilterDatabase" localSheetId="13" hidden="1">'2025 ZOiS'!$A$2:$S$170</definedName>
    <definedName name="_xlnm._FilterDatabase" localSheetId="11" hidden="1">'24 Bilans Mapowanie'!$A$1:$Y$61</definedName>
    <definedName name="_xlnm._FilterDatabase" localSheetId="10" hidden="1">'24 Bilans Mapowanie A+'!$A$1:$X$61</definedName>
    <definedName name="_xlnm._FilterDatabase" localSheetId="4" hidden="1">'24 RziS Mapowanie'!$A$2:$R$107</definedName>
    <definedName name="_xlnm._FilterDatabase" localSheetId="3" hidden="1">'25 RZiS Zmapowane'!$A$1:$I$107</definedName>
    <definedName name="_xlnm._FilterDatabase" localSheetId="2" hidden="1">'25 RZiS Zmapowane P+'!$A$1:$R$111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4" l="1"/>
  <c r="E30" i="14"/>
  <c r="E32" i="14"/>
  <c r="E31" i="14"/>
  <c r="S104" i="10"/>
  <c r="S105" i="10"/>
  <c r="S106" i="10"/>
  <c r="S107" i="10"/>
  <c r="S103" i="10"/>
  <c r="H112" i="10"/>
  <c r="I112" i="10"/>
  <c r="J112" i="10"/>
  <c r="K112" i="10"/>
  <c r="L112" i="10"/>
  <c r="M112" i="10"/>
  <c r="N112" i="10"/>
  <c r="O112" i="10"/>
  <c r="P112" i="10"/>
  <c r="Q112" i="10"/>
  <c r="R112" i="10"/>
  <c r="H111" i="10"/>
  <c r="I111" i="10"/>
  <c r="J111" i="10"/>
  <c r="K111" i="10"/>
  <c r="L111" i="10"/>
  <c r="M111" i="10"/>
  <c r="N111" i="10"/>
  <c r="O111" i="10"/>
  <c r="P111" i="10"/>
  <c r="Q111" i="10"/>
  <c r="R111" i="10"/>
  <c r="G112" i="10"/>
  <c r="G111" i="10"/>
  <c r="S110" i="9"/>
  <c r="S102" i="10"/>
  <c r="H104" i="10"/>
  <c r="H105" i="10" s="1"/>
  <c r="H106" i="10" s="1"/>
  <c r="I104" i="10"/>
  <c r="I105" i="10" s="1"/>
  <c r="I106" i="10" s="1"/>
  <c r="J104" i="10"/>
  <c r="J105" i="10" s="1"/>
  <c r="J106" i="10" s="1"/>
  <c r="K104" i="10"/>
  <c r="K105" i="10" s="1"/>
  <c r="K106" i="10" s="1"/>
  <c r="L104" i="10"/>
  <c r="L105" i="10" s="1"/>
  <c r="L106" i="10" s="1"/>
  <c r="M104" i="10"/>
  <c r="M105" i="10" s="1"/>
  <c r="M106" i="10" s="1"/>
  <c r="N104" i="10"/>
  <c r="N105" i="10" s="1"/>
  <c r="N106" i="10" s="1"/>
  <c r="O104" i="10"/>
  <c r="O105" i="10" s="1"/>
  <c r="O106" i="10" s="1"/>
  <c r="P104" i="10"/>
  <c r="P105" i="10" s="1"/>
  <c r="Q104" i="10"/>
  <c r="R104" i="10"/>
  <c r="G104" i="10"/>
  <c r="G105" i="10" s="1"/>
  <c r="G106" i="10" s="1"/>
  <c r="G108" i="9"/>
  <c r="G109" i="9" s="1"/>
  <c r="H108" i="9"/>
  <c r="H109" i="9" s="1"/>
  <c r="I108" i="9"/>
  <c r="J108" i="9"/>
  <c r="J109" i="9" s="1"/>
  <c r="K108" i="9"/>
  <c r="K109" i="9" s="1"/>
  <c r="L108" i="9"/>
  <c r="L109" i="9" s="1"/>
  <c r="M108" i="9"/>
  <c r="M109" i="9" s="1"/>
  <c r="N108" i="9"/>
  <c r="N109" i="9" s="1"/>
  <c r="O108" i="9"/>
  <c r="O109" i="9" s="1"/>
  <c r="P108" i="9"/>
  <c r="P109" i="9" s="1"/>
  <c r="Q108" i="9"/>
  <c r="Q109" i="9" s="1"/>
  <c r="R108" i="9"/>
  <c r="R109" i="9" s="1"/>
  <c r="C4" i="10"/>
  <c r="C5" i="10"/>
  <c r="C6" i="10"/>
  <c r="C7" i="10"/>
  <c r="C8" i="10"/>
  <c r="C11" i="10"/>
  <c r="C18" i="10"/>
  <c r="C19" i="10"/>
  <c r="C24" i="10"/>
  <c r="C25" i="10"/>
  <c r="C34" i="10"/>
  <c r="C35" i="10"/>
  <c r="C36" i="10"/>
  <c r="C37" i="10"/>
  <c r="C38" i="10"/>
  <c r="C39" i="10"/>
  <c r="C40" i="10"/>
  <c r="C41" i="10"/>
  <c r="C52" i="10"/>
  <c r="C53" i="10"/>
  <c r="C54" i="10"/>
  <c r="C55" i="10"/>
  <c r="C56" i="10"/>
  <c r="C57" i="10"/>
  <c r="C59" i="10"/>
  <c r="C60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5" i="10"/>
  <c r="C96" i="10"/>
  <c r="C97" i="10"/>
  <c r="C98" i="10"/>
  <c r="C99" i="10"/>
  <c r="C100" i="10"/>
  <c r="C101" i="10"/>
  <c r="C103" i="10"/>
  <c r="C3" i="10"/>
  <c r="K62" i="15"/>
  <c r="L62" i="15"/>
  <c r="M62" i="15"/>
  <c r="N62" i="15"/>
  <c r="O62" i="15"/>
  <c r="P62" i="15"/>
  <c r="Q62" i="15"/>
  <c r="R62" i="15"/>
  <c r="S62" i="15"/>
  <c r="T62" i="15"/>
  <c r="U62" i="15"/>
  <c r="V62" i="15"/>
  <c r="J62" i="15"/>
  <c r="K65" i="11"/>
  <c r="L65" i="11"/>
  <c r="M65" i="11"/>
  <c r="N65" i="11"/>
  <c r="O65" i="11"/>
  <c r="P65" i="11"/>
  <c r="Q65" i="11"/>
  <c r="R65" i="11"/>
  <c r="S65" i="11"/>
  <c r="T65" i="11"/>
  <c r="U65" i="11"/>
  <c r="V65" i="11"/>
  <c r="J65" i="11"/>
  <c r="H15" i="7"/>
  <c r="H14" i="7"/>
  <c r="H13" i="7"/>
  <c r="B13" i="7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3" i="10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2" i="9"/>
  <c r="F23" i="16"/>
  <c r="F22" i="16"/>
  <c r="F21" i="16"/>
  <c r="E1" i="1"/>
  <c r="T172" i="3"/>
  <c r="T171" i="3"/>
  <c r="T168" i="3"/>
  <c r="T166" i="3"/>
  <c r="T151" i="3"/>
  <c r="T148" i="3"/>
  <c r="T142" i="3"/>
  <c r="T71" i="3"/>
  <c r="T70" i="3"/>
  <c r="T69" i="3"/>
  <c r="T68" i="3"/>
  <c r="T63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2" i="15"/>
  <c r="A61" i="17"/>
  <c r="A61" i="15"/>
  <c r="V64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V64" i="11"/>
  <c r="A64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3" i="11"/>
  <c r="A2" i="11"/>
  <c r="P106" i="10" l="1"/>
  <c r="R105" i="10"/>
  <c r="Q105" i="10"/>
  <c r="Q106" i="10" s="1"/>
  <c r="Q110" i="9"/>
  <c r="O110" i="9"/>
  <c r="N110" i="9"/>
  <c r="M110" i="9"/>
  <c r="K110" i="9"/>
  <c r="I109" i="9"/>
  <c r="I110" i="9" s="1"/>
  <c r="H110" i="9"/>
  <c r="R110" i="9"/>
  <c r="P110" i="9"/>
  <c r="L110" i="9"/>
  <c r="J110" i="9"/>
  <c r="G110" i="9"/>
  <c r="S109" i="9"/>
  <c r="S108" i="9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P1" i="10"/>
  <c r="O1" i="10"/>
  <c r="N1" i="10"/>
  <c r="M1" i="10"/>
  <c r="L1" i="10"/>
  <c r="K1" i="10"/>
  <c r="J1" i="10"/>
  <c r="I1" i="10"/>
  <c r="H1" i="10"/>
  <c r="G1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2" i="9"/>
  <c r="C29" i="9"/>
  <c r="C21" i="9"/>
  <c r="C13" i="9"/>
  <c r="C7" i="9"/>
  <c r="R106" i="10" l="1"/>
  <c r="G115" i="9"/>
  <c r="G114" i="9"/>
  <c r="C22" i="9"/>
  <c r="C10" i="10" s="1"/>
  <c r="C9" i="10"/>
  <c r="R115" i="9"/>
  <c r="C30" i="9"/>
  <c r="C20" i="10"/>
  <c r="C8" i="9"/>
  <c r="C91" i="10" s="1"/>
  <c r="C90" i="10"/>
  <c r="C14" i="9"/>
  <c r="C13" i="10" s="1"/>
  <c r="C12" i="10"/>
  <c r="P115" i="9"/>
  <c r="I115" i="9"/>
  <c r="L114" i="9"/>
  <c r="J114" i="9"/>
  <c r="N115" i="9"/>
  <c r="M114" i="9"/>
  <c r="O114" i="9"/>
  <c r="O115" i="9"/>
  <c r="J115" i="9"/>
  <c r="H115" i="9"/>
  <c r="P114" i="9"/>
  <c r="N114" i="9"/>
  <c r="I114" i="9"/>
  <c r="K114" i="9"/>
  <c r="Q114" i="9"/>
  <c r="H114" i="9"/>
  <c r="K115" i="9"/>
  <c r="L115" i="9"/>
  <c r="R114" i="9"/>
  <c r="G116" i="9"/>
  <c r="G111" i="9" s="1"/>
  <c r="M115" i="9"/>
  <c r="Q115" i="9"/>
  <c r="C15" i="9"/>
  <c r="C26" i="10" s="1"/>
  <c r="C31" i="9"/>
  <c r="C21" i="10" s="1"/>
  <c r="C23" i="9"/>
  <c r="C14" i="10" s="1"/>
  <c r="C9" i="9"/>
  <c r="C92" i="10" s="1"/>
  <c r="H116" i="9" l="1"/>
  <c r="H111" i="9" s="1"/>
  <c r="Q116" i="9"/>
  <c r="Q111" i="9" s="1"/>
  <c r="I116" i="9"/>
  <c r="I111" i="9" s="1"/>
  <c r="J116" i="9"/>
  <c r="J111" i="9" s="1"/>
  <c r="L116" i="9"/>
  <c r="L111" i="9" s="1"/>
  <c r="O116" i="9"/>
  <c r="O111" i="9" s="1"/>
  <c r="M116" i="9"/>
  <c r="M111" i="9" s="1"/>
  <c r="N116" i="9"/>
  <c r="N111" i="9" s="1"/>
  <c r="P116" i="9"/>
  <c r="P111" i="9" s="1"/>
  <c r="K116" i="9"/>
  <c r="K111" i="9" s="1"/>
  <c r="R116" i="9"/>
  <c r="R111" i="9" s="1"/>
  <c r="C16" i="9"/>
  <c r="C44" i="10" s="1"/>
  <c r="C10" i="9"/>
  <c r="C93" i="10" s="1"/>
  <c r="C24" i="9"/>
  <c r="C15" i="10" s="1"/>
  <c r="C32" i="9"/>
  <c r="C22" i="10" s="1"/>
  <c r="S111" i="9" l="1"/>
  <c r="S116" i="9"/>
  <c r="C17" i="9"/>
  <c r="C45" i="10" s="1"/>
  <c r="C33" i="9"/>
  <c r="C23" i="10" s="1"/>
  <c r="C25" i="9"/>
  <c r="C16" i="10" s="1"/>
  <c r="C11" i="9"/>
  <c r="C94" i="10" s="1"/>
  <c r="C18" i="9" l="1"/>
  <c r="C47" i="10" s="1"/>
  <c r="C26" i="9"/>
  <c r="C17" i="10" s="1"/>
  <c r="C34" i="9"/>
  <c r="C27" i="10" s="1"/>
  <c r="C19" i="9" l="1"/>
  <c r="C48" i="10" s="1"/>
  <c r="C35" i="9"/>
  <c r="C28" i="10" s="1"/>
  <c r="C36" i="9" l="1"/>
  <c r="C29" i="10" s="1"/>
  <c r="C37" i="9" l="1"/>
  <c r="C30" i="10" s="1"/>
  <c r="C38" i="9" l="1"/>
  <c r="C31" i="10" s="1"/>
  <c r="C39" i="9" l="1"/>
  <c r="C32" i="10" s="1"/>
  <c r="C40" i="9" l="1"/>
  <c r="C33" i="10" s="1"/>
  <c r="C41" i="9" l="1"/>
  <c r="C42" i="10" s="1"/>
  <c r="C42" i="9" l="1"/>
  <c r="C43" i="10" s="1"/>
  <c r="C43" i="9" l="1"/>
  <c r="C46" i="10" s="1"/>
  <c r="C44" i="9" l="1"/>
  <c r="C49" i="10" s="1"/>
  <c r="C45" i="9" l="1"/>
  <c r="C50" i="10" s="1"/>
  <c r="C46" i="9" l="1"/>
  <c r="C51" i="10" s="1"/>
  <c r="C47" i="9" l="1"/>
  <c r="C58" i="10" s="1"/>
  <c r="C48" i="9" l="1"/>
  <c r="C61" i="10" s="1"/>
  <c r="C49" i="9" l="1"/>
  <c r="C62" i="10" s="1"/>
  <c r="C29" i="4" l="1"/>
  <c r="C30" i="4"/>
  <c r="C31" i="4"/>
  <c r="C32" i="4" s="1"/>
  <c r="C7" i="4"/>
  <c r="A7" i="4" s="1"/>
  <c r="C13" i="4"/>
  <c r="A13" i="4" s="1"/>
  <c r="C21" i="4"/>
  <c r="A21" i="4" s="1"/>
  <c r="C22" i="4"/>
  <c r="A22" i="4" s="1"/>
  <c r="C23" i="4"/>
  <c r="A23" i="4" s="1"/>
  <c r="A63" i="4"/>
  <c r="A87" i="4"/>
  <c r="A3" i="4"/>
  <c r="A4" i="4"/>
  <c r="A5" i="4"/>
  <c r="A6" i="4"/>
  <c r="A12" i="4"/>
  <c r="A20" i="4"/>
  <c r="A27" i="4"/>
  <c r="A28" i="4"/>
  <c r="A29" i="4"/>
  <c r="A30" i="4"/>
  <c r="A31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6" i="4"/>
  <c r="A107" i="4"/>
  <c r="A2" i="4"/>
  <c r="C8" i="4" l="1"/>
  <c r="C9" i="4" s="1"/>
  <c r="A32" i="4"/>
  <c r="C33" i="4"/>
  <c r="A8" i="4"/>
  <c r="A9" i="4"/>
  <c r="C10" i="4"/>
  <c r="C24" i="4"/>
  <c r="C14" i="4"/>
  <c r="S24" i="3"/>
  <c r="S33" i="3"/>
  <c r="S49" i="3"/>
  <c r="S50" i="3"/>
  <c r="S51" i="3"/>
  <c r="S52" i="3"/>
  <c r="S53" i="3"/>
  <c r="S54" i="3"/>
  <c r="S55" i="3"/>
  <c r="S81" i="3"/>
  <c r="S82" i="3"/>
  <c r="S83" i="3"/>
  <c r="S84" i="3"/>
  <c r="S97" i="3"/>
  <c r="S98" i="3"/>
  <c r="S99" i="3"/>
  <c r="S100" i="3"/>
  <c r="S101" i="3"/>
  <c r="S102" i="3"/>
  <c r="S103" i="3"/>
  <c r="S104" i="3"/>
  <c r="S106" i="3"/>
  <c r="S107" i="3"/>
  <c r="S129" i="3"/>
  <c r="S130" i="3"/>
  <c r="S131" i="3"/>
  <c r="S132" i="3"/>
  <c r="S133" i="3"/>
  <c r="S134" i="3"/>
  <c r="S161" i="3"/>
  <c r="S162" i="3"/>
  <c r="S163" i="3"/>
  <c r="Q4" i="3"/>
  <c r="S4" i="3" s="1"/>
  <c r="Q5" i="3"/>
  <c r="S5" i="3" s="1"/>
  <c r="Q6" i="3"/>
  <c r="S6" i="3" s="1"/>
  <c r="Q7" i="3"/>
  <c r="S7" i="3" s="1"/>
  <c r="Q8" i="3"/>
  <c r="S8" i="3" s="1"/>
  <c r="Q9" i="3"/>
  <c r="S9" i="3" s="1"/>
  <c r="Q10" i="3"/>
  <c r="S10" i="3" s="1"/>
  <c r="Q11" i="3"/>
  <c r="S11" i="3" s="1"/>
  <c r="Q12" i="3"/>
  <c r="S12" i="3" s="1"/>
  <c r="Q13" i="3"/>
  <c r="S13" i="3" s="1"/>
  <c r="Q14" i="3"/>
  <c r="S14" i="3" s="1"/>
  <c r="Q15" i="3"/>
  <c r="S15" i="3" s="1"/>
  <c r="Q16" i="3"/>
  <c r="Q17" i="3"/>
  <c r="S17" i="3" s="1"/>
  <c r="Q18" i="3"/>
  <c r="S18" i="3" s="1"/>
  <c r="Q19" i="3"/>
  <c r="S19" i="3" s="1"/>
  <c r="Q20" i="3"/>
  <c r="S20" i="3" s="1"/>
  <c r="Q21" i="3"/>
  <c r="S21" i="3" s="1"/>
  <c r="Q22" i="3"/>
  <c r="S22" i="3" s="1"/>
  <c r="Q23" i="3"/>
  <c r="S23" i="3" s="1"/>
  <c r="Q24" i="3"/>
  <c r="Q25" i="3"/>
  <c r="S25" i="3" s="1"/>
  <c r="Q26" i="3"/>
  <c r="S26" i="3" s="1"/>
  <c r="Q27" i="3"/>
  <c r="S27" i="3" s="1"/>
  <c r="Q28" i="3"/>
  <c r="S28" i="3" s="1"/>
  <c r="Q29" i="3"/>
  <c r="S29" i="3" s="1"/>
  <c r="Q30" i="3"/>
  <c r="S30" i="3" s="1"/>
  <c r="Q31" i="3"/>
  <c r="S31" i="3" s="1"/>
  <c r="Q32" i="3"/>
  <c r="S32" i="3" s="1"/>
  <c r="Q33" i="3"/>
  <c r="Q34" i="3"/>
  <c r="S34" i="3" s="1"/>
  <c r="Q35" i="3"/>
  <c r="S35" i="3" s="1"/>
  <c r="Q36" i="3"/>
  <c r="S36" i="3" s="1"/>
  <c r="Q37" i="3"/>
  <c r="S37" i="3" s="1"/>
  <c r="Q38" i="3"/>
  <c r="S38" i="3" s="1"/>
  <c r="Q39" i="3"/>
  <c r="S39" i="3" s="1"/>
  <c r="Q40" i="3"/>
  <c r="S40" i="3" s="1"/>
  <c r="Q41" i="3"/>
  <c r="S41" i="3" s="1"/>
  <c r="Q42" i="3"/>
  <c r="S42" i="3" s="1"/>
  <c r="Q43" i="3"/>
  <c r="S43" i="3" s="1"/>
  <c r="Q44" i="3"/>
  <c r="S44" i="3" s="1"/>
  <c r="Q45" i="3"/>
  <c r="S45" i="3" s="1"/>
  <c r="Q46" i="3"/>
  <c r="S46" i="3" s="1"/>
  <c r="Q47" i="3"/>
  <c r="S47" i="3" s="1"/>
  <c r="Q48" i="3"/>
  <c r="S48" i="3" s="1"/>
  <c r="Q49" i="3"/>
  <c r="Q50" i="3"/>
  <c r="Q51" i="3"/>
  <c r="Q52" i="3"/>
  <c r="Q53" i="3"/>
  <c r="Q54" i="3"/>
  <c r="Q55" i="3"/>
  <c r="Q56" i="3"/>
  <c r="S56" i="3" s="1"/>
  <c r="Q57" i="3"/>
  <c r="S57" i="3" s="1"/>
  <c r="Q58" i="3"/>
  <c r="S58" i="3" s="1"/>
  <c r="Q59" i="3"/>
  <c r="S59" i="3" s="1"/>
  <c r="Q60" i="3"/>
  <c r="S60" i="3" s="1"/>
  <c r="Q61" i="3"/>
  <c r="S61" i="3" s="1"/>
  <c r="Q62" i="3"/>
  <c r="S62" i="3" s="1"/>
  <c r="Q63" i="3"/>
  <c r="S63" i="3" s="1"/>
  <c r="Q64" i="3"/>
  <c r="S64" i="3" s="1"/>
  <c r="Q65" i="3"/>
  <c r="S65" i="3" s="1"/>
  <c r="Q66" i="3"/>
  <c r="S66" i="3" s="1"/>
  <c r="Q67" i="3"/>
  <c r="S67" i="3" s="1"/>
  <c r="Q68" i="3"/>
  <c r="S68" i="3" s="1"/>
  <c r="Q69" i="3"/>
  <c r="S69" i="3" s="1"/>
  <c r="Q70" i="3"/>
  <c r="S70" i="3" s="1"/>
  <c r="Q71" i="3"/>
  <c r="S71" i="3" s="1"/>
  <c r="Q72" i="3"/>
  <c r="S72" i="3" s="1"/>
  <c r="Q73" i="3"/>
  <c r="S73" i="3" s="1"/>
  <c r="Q74" i="3"/>
  <c r="S74" i="3" s="1"/>
  <c r="Q75" i="3"/>
  <c r="S75" i="3" s="1"/>
  <c r="Q76" i="3"/>
  <c r="S76" i="3" s="1"/>
  <c r="Q77" i="3"/>
  <c r="S77" i="3" s="1"/>
  <c r="Q78" i="3"/>
  <c r="S78" i="3" s="1"/>
  <c r="Q79" i="3"/>
  <c r="S79" i="3" s="1"/>
  <c r="Q80" i="3"/>
  <c r="S80" i="3" s="1"/>
  <c r="Q81" i="3"/>
  <c r="Q82" i="3"/>
  <c r="Q83" i="3"/>
  <c r="Q84" i="3"/>
  <c r="Q85" i="3"/>
  <c r="S85" i="3" s="1"/>
  <c r="Q86" i="3"/>
  <c r="S86" i="3" s="1"/>
  <c r="Q87" i="3"/>
  <c r="S87" i="3" s="1"/>
  <c r="Q88" i="3"/>
  <c r="S88" i="3" s="1"/>
  <c r="Q89" i="3"/>
  <c r="S89" i="3" s="1"/>
  <c r="Q90" i="3"/>
  <c r="S90" i="3" s="1"/>
  <c r="Q91" i="3"/>
  <c r="S91" i="3" s="1"/>
  <c r="Q92" i="3"/>
  <c r="S92" i="3" s="1"/>
  <c r="Q93" i="3"/>
  <c r="S93" i="3" s="1"/>
  <c r="Q94" i="3"/>
  <c r="S94" i="3" s="1"/>
  <c r="Q95" i="3"/>
  <c r="S95" i="3" s="1"/>
  <c r="Q96" i="3"/>
  <c r="S96" i="3" s="1"/>
  <c r="Q97" i="3"/>
  <c r="Q98" i="3"/>
  <c r="Q99" i="3"/>
  <c r="Q100" i="3"/>
  <c r="Q101" i="3"/>
  <c r="Q102" i="3"/>
  <c r="Q103" i="3"/>
  <c r="Q104" i="3"/>
  <c r="Q105" i="3"/>
  <c r="S105" i="3" s="1"/>
  <c r="Q106" i="3"/>
  <c r="Q107" i="3"/>
  <c r="Q108" i="3"/>
  <c r="S108" i="3" s="1"/>
  <c r="Q109" i="3"/>
  <c r="S109" i="3" s="1"/>
  <c r="Q110" i="3"/>
  <c r="S110" i="3" s="1"/>
  <c r="Q111" i="3"/>
  <c r="S111" i="3" s="1"/>
  <c r="Q112" i="3"/>
  <c r="S112" i="3" s="1"/>
  <c r="Q113" i="3"/>
  <c r="S113" i="3" s="1"/>
  <c r="Q114" i="3"/>
  <c r="S114" i="3" s="1"/>
  <c r="Q115" i="3"/>
  <c r="S115" i="3" s="1"/>
  <c r="Q116" i="3"/>
  <c r="S116" i="3" s="1"/>
  <c r="Q117" i="3"/>
  <c r="S117" i="3" s="1"/>
  <c r="Q118" i="3"/>
  <c r="S118" i="3" s="1"/>
  <c r="Q119" i="3"/>
  <c r="S119" i="3" s="1"/>
  <c r="Q120" i="3"/>
  <c r="S120" i="3" s="1"/>
  <c r="Q121" i="3"/>
  <c r="S121" i="3" s="1"/>
  <c r="Q122" i="3"/>
  <c r="S122" i="3" s="1"/>
  <c r="Q123" i="3"/>
  <c r="S123" i="3" s="1"/>
  <c r="Q124" i="3"/>
  <c r="S124" i="3" s="1"/>
  <c r="Q125" i="3"/>
  <c r="S125" i="3" s="1"/>
  <c r="Q126" i="3"/>
  <c r="S126" i="3" s="1"/>
  <c r="Q127" i="3"/>
  <c r="S127" i="3" s="1"/>
  <c r="Q128" i="3"/>
  <c r="S128" i="3" s="1"/>
  <c r="Q129" i="3"/>
  <c r="Q130" i="3"/>
  <c r="Q131" i="3"/>
  <c r="Q132" i="3"/>
  <c r="Q133" i="3"/>
  <c r="Q134" i="3"/>
  <c r="Q135" i="3"/>
  <c r="S135" i="3" s="1"/>
  <c r="Q136" i="3"/>
  <c r="S136" i="3" s="1"/>
  <c r="Q137" i="3"/>
  <c r="S137" i="3" s="1"/>
  <c r="Q138" i="3"/>
  <c r="S138" i="3" s="1"/>
  <c r="Q139" i="3"/>
  <c r="S139" i="3" s="1"/>
  <c r="Q140" i="3"/>
  <c r="S140" i="3" s="1"/>
  <c r="Q141" i="3"/>
  <c r="S141" i="3" s="1"/>
  <c r="Q142" i="3"/>
  <c r="S142" i="3" s="1"/>
  <c r="Q143" i="3"/>
  <c r="S143" i="3" s="1"/>
  <c r="Q144" i="3"/>
  <c r="S144" i="3" s="1"/>
  <c r="Q145" i="3"/>
  <c r="S145" i="3" s="1"/>
  <c r="Q146" i="3"/>
  <c r="S146" i="3" s="1"/>
  <c r="Q147" i="3"/>
  <c r="S147" i="3" s="1"/>
  <c r="Q148" i="3"/>
  <c r="S148" i="3" s="1"/>
  <c r="Q149" i="3"/>
  <c r="S149" i="3" s="1"/>
  <c r="Q150" i="3"/>
  <c r="S150" i="3" s="1"/>
  <c r="Q151" i="3"/>
  <c r="S151" i="3" s="1"/>
  <c r="Q152" i="3"/>
  <c r="S152" i="3" s="1"/>
  <c r="Q153" i="3"/>
  <c r="S153" i="3" s="1"/>
  <c r="Q154" i="3"/>
  <c r="S154" i="3" s="1"/>
  <c r="Q155" i="3"/>
  <c r="S155" i="3" s="1"/>
  <c r="Q156" i="3"/>
  <c r="S156" i="3" s="1"/>
  <c r="Q157" i="3"/>
  <c r="S157" i="3" s="1"/>
  <c r="Q158" i="3"/>
  <c r="S158" i="3" s="1"/>
  <c r="Q159" i="3"/>
  <c r="S159" i="3" s="1"/>
  <c r="Q160" i="3"/>
  <c r="S160" i="3" s="1"/>
  <c r="Q161" i="3"/>
  <c r="Q162" i="3"/>
  <c r="Q163" i="3"/>
  <c r="Q164" i="3"/>
  <c r="S164" i="3" s="1"/>
  <c r="Q165" i="3"/>
  <c r="S165" i="3" s="1"/>
  <c r="Q166" i="3"/>
  <c r="S166" i="3" s="1"/>
  <c r="Q167" i="3"/>
  <c r="S167" i="3" s="1"/>
  <c r="Q168" i="3"/>
  <c r="S168" i="3" s="1"/>
  <c r="Q169" i="3"/>
  <c r="S169" i="3" s="1"/>
  <c r="Q170" i="3"/>
  <c r="S170" i="3" s="1"/>
  <c r="Q171" i="3"/>
  <c r="S171" i="3" s="1"/>
  <c r="Q172" i="3"/>
  <c r="S172" i="3" s="1"/>
  <c r="Q173" i="3"/>
  <c r="S173" i="3" s="1"/>
  <c r="Q3" i="3"/>
  <c r="S3" i="3" s="1"/>
  <c r="R1" i="3"/>
  <c r="P1" i="3"/>
  <c r="O1" i="3"/>
  <c r="F1" i="3"/>
  <c r="G1" i="3"/>
  <c r="H1" i="3"/>
  <c r="I1" i="3"/>
  <c r="J1" i="3"/>
  <c r="K1" i="3"/>
  <c r="L1" i="3"/>
  <c r="M1" i="3"/>
  <c r="N1" i="3"/>
  <c r="E1" i="3"/>
  <c r="Q4" i="1"/>
  <c r="S4" i="1" s="1"/>
  <c r="Q5" i="1"/>
  <c r="S5" i="1" s="1"/>
  <c r="Q6" i="1"/>
  <c r="S6" i="1" s="1"/>
  <c r="Q7" i="1"/>
  <c r="S7" i="1" s="1"/>
  <c r="Q8" i="1"/>
  <c r="S8" i="1" s="1"/>
  <c r="Q9" i="1"/>
  <c r="S9" i="1" s="1"/>
  <c r="Q10" i="1"/>
  <c r="S10" i="1" s="1"/>
  <c r="Q11" i="1"/>
  <c r="S11" i="1" s="1"/>
  <c r="Q12" i="1"/>
  <c r="S12" i="1" s="1"/>
  <c r="Q13" i="1"/>
  <c r="S13" i="1" s="1"/>
  <c r="Q14" i="1"/>
  <c r="S14" i="1" s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Q85" i="1"/>
  <c r="S85" i="1" s="1"/>
  <c r="Q86" i="1"/>
  <c r="S86" i="1" s="1"/>
  <c r="Q87" i="1"/>
  <c r="S87" i="1" s="1"/>
  <c r="Q88" i="1"/>
  <c r="S88" i="1" s="1"/>
  <c r="Q89" i="1"/>
  <c r="S89" i="1" s="1"/>
  <c r="Q90" i="1"/>
  <c r="S90" i="1" s="1"/>
  <c r="Q91" i="1"/>
  <c r="S91" i="1" s="1"/>
  <c r="Q92" i="1"/>
  <c r="S92" i="1" s="1"/>
  <c r="Q93" i="1"/>
  <c r="S93" i="1" s="1"/>
  <c r="Q94" i="1"/>
  <c r="S94" i="1" s="1"/>
  <c r="Q95" i="1"/>
  <c r="S95" i="1" s="1"/>
  <c r="Q96" i="1"/>
  <c r="S96" i="1" s="1"/>
  <c r="Q97" i="1"/>
  <c r="S97" i="1" s="1"/>
  <c r="Q98" i="1"/>
  <c r="S98" i="1" s="1"/>
  <c r="Q99" i="1"/>
  <c r="S99" i="1" s="1"/>
  <c r="Q100" i="1"/>
  <c r="S100" i="1" s="1"/>
  <c r="Q101" i="1"/>
  <c r="S101" i="1" s="1"/>
  <c r="Q102" i="1"/>
  <c r="S102" i="1" s="1"/>
  <c r="Q103" i="1"/>
  <c r="S103" i="1" s="1"/>
  <c r="Q104" i="1"/>
  <c r="S104" i="1" s="1"/>
  <c r="Q105" i="1"/>
  <c r="S105" i="1" s="1"/>
  <c r="Q106" i="1"/>
  <c r="S106" i="1" s="1"/>
  <c r="Q107" i="1"/>
  <c r="S107" i="1" s="1"/>
  <c r="Q108" i="1"/>
  <c r="S108" i="1" s="1"/>
  <c r="Q109" i="1"/>
  <c r="S109" i="1" s="1"/>
  <c r="Q110" i="1"/>
  <c r="S110" i="1" s="1"/>
  <c r="Q111" i="1"/>
  <c r="S111" i="1" s="1"/>
  <c r="Q112" i="1"/>
  <c r="S112" i="1" s="1"/>
  <c r="Q113" i="1"/>
  <c r="S113" i="1" s="1"/>
  <c r="Q114" i="1"/>
  <c r="S114" i="1" s="1"/>
  <c r="Q115" i="1"/>
  <c r="S115" i="1" s="1"/>
  <c r="Q116" i="1"/>
  <c r="S116" i="1" s="1"/>
  <c r="Q117" i="1"/>
  <c r="S117" i="1" s="1"/>
  <c r="Q118" i="1"/>
  <c r="S118" i="1" s="1"/>
  <c r="Q119" i="1"/>
  <c r="S119" i="1" s="1"/>
  <c r="Q120" i="1"/>
  <c r="S120" i="1" s="1"/>
  <c r="Q121" i="1"/>
  <c r="S121" i="1" s="1"/>
  <c r="Q122" i="1"/>
  <c r="S122" i="1" s="1"/>
  <c r="Q123" i="1"/>
  <c r="S123" i="1" s="1"/>
  <c r="Q124" i="1"/>
  <c r="S124" i="1" s="1"/>
  <c r="Q125" i="1"/>
  <c r="S125" i="1" s="1"/>
  <c r="Q126" i="1"/>
  <c r="S126" i="1" s="1"/>
  <c r="Q127" i="1"/>
  <c r="S127" i="1" s="1"/>
  <c r="Q128" i="1"/>
  <c r="S128" i="1" s="1"/>
  <c r="Q129" i="1"/>
  <c r="S129" i="1" s="1"/>
  <c r="Q130" i="1"/>
  <c r="S130" i="1" s="1"/>
  <c r="Q131" i="1"/>
  <c r="S131" i="1" s="1"/>
  <c r="Q132" i="1"/>
  <c r="S132" i="1" s="1"/>
  <c r="Q133" i="1"/>
  <c r="S133" i="1" s="1"/>
  <c r="Q134" i="1"/>
  <c r="S134" i="1" s="1"/>
  <c r="Q135" i="1"/>
  <c r="S135" i="1" s="1"/>
  <c r="Q136" i="1"/>
  <c r="S136" i="1" s="1"/>
  <c r="Q137" i="1"/>
  <c r="S137" i="1" s="1"/>
  <c r="Q138" i="1"/>
  <c r="S138" i="1" s="1"/>
  <c r="Q139" i="1"/>
  <c r="S139" i="1" s="1"/>
  <c r="Q140" i="1"/>
  <c r="S140" i="1" s="1"/>
  <c r="Q141" i="1"/>
  <c r="S141" i="1" s="1"/>
  <c r="Q142" i="1"/>
  <c r="S142" i="1" s="1"/>
  <c r="Q143" i="1"/>
  <c r="S143" i="1" s="1"/>
  <c r="Q144" i="1"/>
  <c r="S144" i="1" s="1"/>
  <c r="Q145" i="1"/>
  <c r="S145" i="1" s="1"/>
  <c r="Q146" i="1"/>
  <c r="S146" i="1" s="1"/>
  <c r="Q147" i="1"/>
  <c r="S147" i="1" s="1"/>
  <c r="Q148" i="1"/>
  <c r="S148" i="1" s="1"/>
  <c r="Q149" i="1"/>
  <c r="S149" i="1" s="1"/>
  <c r="Q150" i="1"/>
  <c r="S150" i="1" s="1"/>
  <c r="Q151" i="1"/>
  <c r="S151" i="1" s="1"/>
  <c r="Q152" i="1"/>
  <c r="S152" i="1" s="1"/>
  <c r="Q153" i="1"/>
  <c r="S153" i="1" s="1"/>
  <c r="Q154" i="1"/>
  <c r="S154" i="1" s="1"/>
  <c r="Q155" i="1"/>
  <c r="S155" i="1" s="1"/>
  <c r="Q156" i="1"/>
  <c r="S156" i="1" s="1"/>
  <c r="Q157" i="1"/>
  <c r="S157" i="1" s="1"/>
  <c r="Q158" i="1"/>
  <c r="S158" i="1" s="1"/>
  <c r="Q159" i="1"/>
  <c r="S159" i="1" s="1"/>
  <c r="Q160" i="1"/>
  <c r="S160" i="1" s="1"/>
  <c r="Q161" i="1"/>
  <c r="S161" i="1" s="1"/>
  <c r="Q162" i="1"/>
  <c r="S162" i="1" s="1"/>
  <c r="Q163" i="1"/>
  <c r="S163" i="1" s="1"/>
  <c r="Q164" i="1"/>
  <c r="S164" i="1" s="1"/>
  <c r="Q165" i="1"/>
  <c r="S165" i="1" s="1"/>
  <c r="Q166" i="1"/>
  <c r="S166" i="1" s="1"/>
  <c r="Q167" i="1"/>
  <c r="S167" i="1" s="1"/>
  <c r="Q168" i="1"/>
  <c r="S168" i="1" s="1"/>
  <c r="Q169" i="1"/>
  <c r="S169" i="1" s="1"/>
  <c r="Q170" i="1"/>
  <c r="S170" i="1" s="1"/>
  <c r="Q3" i="1"/>
  <c r="F1" i="1"/>
  <c r="G1" i="1"/>
  <c r="H1" i="1"/>
  <c r="I1" i="1"/>
  <c r="J1" i="1"/>
  <c r="K1" i="1"/>
  <c r="L1" i="1"/>
  <c r="M1" i="1"/>
  <c r="N1" i="1"/>
  <c r="O1" i="1"/>
  <c r="P1" i="1"/>
  <c r="R1" i="1"/>
  <c r="S3" i="1" l="1"/>
  <c r="B14" i="7"/>
  <c r="B15" i="7" s="1"/>
  <c r="Q1" i="3"/>
  <c r="S16" i="3"/>
  <c r="S1" i="3" s="1"/>
  <c r="A33" i="4"/>
  <c r="C34" i="4"/>
  <c r="A14" i="4"/>
  <c r="C15" i="4"/>
  <c r="C25" i="4"/>
  <c r="A24" i="4"/>
  <c r="A10" i="4"/>
  <c r="C11" i="4"/>
  <c r="A11" i="4" s="1"/>
  <c r="Q1" i="1"/>
  <c r="S1" i="1"/>
  <c r="C35" i="4" l="1"/>
  <c r="A34" i="4"/>
  <c r="C26" i="4"/>
  <c r="A26" i="4" s="1"/>
  <c r="A25" i="4"/>
  <c r="C16" i="4"/>
  <c r="A15" i="4"/>
  <c r="A35" i="4" l="1"/>
  <c r="C36" i="4"/>
  <c r="C17" i="4"/>
  <c r="A16" i="4"/>
  <c r="A36" i="4" l="1"/>
  <c r="C37" i="4"/>
  <c r="C18" i="4"/>
  <c r="A17" i="4"/>
  <c r="A37" i="4" l="1"/>
  <c r="C38" i="4"/>
  <c r="A18" i="4"/>
  <c r="C19" i="4"/>
  <c r="A19" i="4" s="1"/>
  <c r="A38" i="4" l="1"/>
  <c r="C39" i="4"/>
  <c r="A39" i="4" l="1"/>
  <c r="C40" i="4"/>
  <c r="A40" i="4" l="1"/>
  <c r="C41" i="4"/>
  <c r="A41" i="4" l="1"/>
  <c r="C42" i="4"/>
  <c r="A42" i="4" l="1"/>
  <c r="C43" i="4"/>
  <c r="A43" i="4" l="1"/>
  <c r="C44" i="4"/>
  <c r="A44" i="4" l="1"/>
  <c r="C45" i="4"/>
  <c r="C46" i="4" l="1"/>
  <c r="A45" i="4"/>
  <c r="C47" i="4" l="1"/>
  <c r="A46" i="4"/>
  <c r="C48" i="4" l="1"/>
  <c r="A47" i="4"/>
  <c r="C49" i="4" l="1"/>
  <c r="A49" i="4" s="1"/>
  <c r="A48" i="4"/>
  <c r="G113" i="10" l="1"/>
  <c r="G107" i="10" s="1"/>
  <c r="I113" i="10"/>
  <c r="I107" i="10" s="1"/>
  <c r="Q113" i="10"/>
  <c r="Q107" i="10"/>
  <c r="Q1" i="10"/>
  <c r="M113" i="10"/>
  <c r="M107" i="10" s="1"/>
  <c r="P113" i="10"/>
  <c r="P107" i="10"/>
  <c r="J113" i="10"/>
  <c r="J107" i="10" s="1"/>
  <c r="L113" i="10"/>
  <c r="L107" i="10" s="1"/>
  <c r="K113" i="10"/>
  <c r="K107" i="10" s="1"/>
  <c r="N113" i="10"/>
  <c r="N107" i="10" s="1"/>
  <c r="O113" i="10"/>
  <c r="O107" i="10" s="1"/>
  <c r="R113" i="10"/>
  <c r="R107" i="10"/>
  <c r="R1" i="10"/>
  <c r="H113" i="10"/>
  <c r="H107" i="10" s="1"/>
  <c r="S113" i="10"/>
</calcChain>
</file>

<file path=xl/sharedStrings.xml><?xml version="1.0" encoding="utf-8"?>
<sst xmlns="http://schemas.openxmlformats.org/spreadsheetml/2006/main" count="4208" uniqueCount="525">
  <si>
    <t>Rodzaj</t>
  </si>
  <si>
    <t>Numer konta</t>
  </si>
  <si>
    <t>Nazwa konta</t>
  </si>
  <si>
    <t>Rodzaj konta
(bilansowe/wynikowe)</t>
  </si>
  <si>
    <t>BZ</t>
  </si>
  <si>
    <t>Check:</t>
  </si>
  <si>
    <t>Przychody ze sprzedaży</t>
  </si>
  <si>
    <t>45510000 Prowizja Cost+</t>
  </si>
  <si>
    <t>Wynikowe</t>
  </si>
  <si>
    <t>44000000 Przychód operacyjny - opłata za konosament</t>
  </si>
  <si>
    <t>44000005 Przychód operacyjny - opłata dokumentacyjna EXP</t>
  </si>
  <si>
    <t>44006000 Przychód operacyjny - korekta manifestu</t>
  </si>
  <si>
    <t>Amortyzacja</t>
  </si>
  <si>
    <t>61000000 Oprogramowanie i licencje IT - Amortyzacja</t>
  </si>
  <si>
    <t>61502000 Budynki - Amortyzacja</t>
  </si>
  <si>
    <t>61504000 Nakłady w obcych środkach trwał - Amortyzacja</t>
  </si>
  <si>
    <t>61508000 Komputery i sprzęt IT - Amortyzacja</t>
  </si>
  <si>
    <t>61512000 Meble - Amortyzacja</t>
  </si>
  <si>
    <t>61518000 Samochody - Amortyzacja</t>
  </si>
  <si>
    <t>Zużycie materiałów i energii</t>
  </si>
  <si>
    <t>58502000 Energia cieplna</t>
  </si>
  <si>
    <t>58502001 Woda</t>
  </si>
  <si>
    <t>58502002 Energia elektryczna</t>
  </si>
  <si>
    <t>58508000 Materiały biurowe</t>
  </si>
  <si>
    <t>58552002 Samochody - paliwo 75%</t>
  </si>
  <si>
    <t>58552003 Samochody - paliwo 25%</t>
  </si>
  <si>
    <t>58552005 Samochody - eksploatacja 75%</t>
  </si>
  <si>
    <t>58552025 Samochody - eksploatacja 25%</t>
  </si>
  <si>
    <t>Usługi obce</t>
  </si>
  <si>
    <t>53080000 Koszt operacyjny - pozostałe koszty na termin mors</t>
  </si>
  <si>
    <t>58500000 Wynajęcie biura</t>
  </si>
  <si>
    <t>58500010 Wynajecie parkingu</t>
  </si>
  <si>
    <t>58502003 Ubezpieczenie biura</t>
  </si>
  <si>
    <t>58504000 Naprawa biura</t>
  </si>
  <si>
    <t>58504001 Eksploatacja biura</t>
  </si>
  <si>
    <t>58504002 Sprzątanie biura</t>
  </si>
  <si>
    <t>58506000 Opłaty prawne</t>
  </si>
  <si>
    <t>58506001 Usługi prawnicze</t>
  </si>
  <si>
    <t>58506003 Usługi audytorskie</t>
  </si>
  <si>
    <t>58506004 Usługi doradztwa podatkowego</t>
  </si>
  <si>
    <t>58506006 Usługi rekrutacyjne</t>
  </si>
  <si>
    <t>58507000 Pozostałe usługi</t>
  </si>
  <si>
    <t>58507001 Archiwizacja</t>
  </si>
  <si>
    <t>58521000 Telefony stacjonarne</t>
  </si>
  <si>
    <t>58522000 Telefony komórkowe</t>
  </si>
  <si>
    <t>58525000 Internet</t>
  </si>
  <si>
    <t>58527000 Usługi pocztowe i kurierskie</t>
  </si>
  <si>
    <t>58530200 Koszty oprogramowania</t>
  </si>
  <si>
    <t>58530500 Usługi konsultingowe IT</t>
  </si>
  <si>
    <t>58530700 Pozostałe koszty IT</t>
  </si>
  <si>
    <t>58550000 Ochrona biura</t>
  </si>
  <si>
    <t>58552001 Samochody - najem</t>
  </si>
  <si>
    <t>58552004 Samochody - ubezpieczenia</t>
  </si>
  <si>
    <t>58552026 Samochody - najem NKUP</t>
  </si>
  <si>
    <t>58552027 Samochody - ubezpieczenia NKUP</t>
  </si>
  <si>
    <t>58554000 Transport lokalny</t>
  </si>
  <si>
    <t>58568000 Reklama i ogłoszenia</t>
  </si>
  <si>
    <t>58570000 Ubezpieczenie ITIC</t>
  </si>
  <si>
    <t>58590000 Rafaktura kosztów</t>
  </si>
  <si>
    <t>59080000 Pozostałe koszty pracownicze</t>
  </si>
  <si>
    <t>59504050 Różne koszty operacyjne</t>
  </si>
  <si>
    <t>65518000 Opłaty i prowizje bankowe</t>
  </si>
  <si>
    <t>Podatki</t>
  </si>
  <si>
    <t>59080040 PFRON</t>
  </si>
  <si>
    <t>59500040 Podatek od nieruchomości</t>
  </si>
  <si>
    <t>59500050 VAT nie do odliczenia KUP</t>
  </si>
  <si>
    <t>59500051 VAT nie do odliczenia NKUP</t>
  </si>
  <si>
    <t>Wynagrodzenia</t>
  </si>
  <si>
    <t>59000000 Wynagrodzenia osobowe</t>
  </si>
  <si>
    <t>59002000 Premia roczna</t>
  </si>
  <si>
    <t>59002200 Nadgodziny</t>
  </si>
  <si>
    <t>59018300 Rezerwa na odprawę emerytalną</t>
  </si>
  <si>
    <t>59040000 Pozostałe świadczenia pracownicze</t>
  </si>
  <si>
    <t>59070000 Umowy cywilnoprawne</t>
  </si>
  <si>
    <t>59004000 Rezerwa urlopowa</t>
  </si>
  <si>
    <t>Ubezp. Społeczne i inne świadcz.</t>
  </si>
  <si>
    <t>58507002 Szkolenia</t>
  </si>
  <si>
    <t>58507006 Bezpieczeństwo i higiena pracy</t>
  </si>
  <si>
    <t>59004001 Rezerwa urlopowa - ubezpieczenie społeczne</t>
  </si>
  <si>
    <t>59016000 Ubezpieczenie społeczne</t>
  </si>
  <si>
    <t>59026000 Ubezpieczenie chorobowe i wypadkowe</t>
  </si>
  <si>
    <t>59028000 Usługi medyczne</t>
  </si>
  <si>
    <t>59036001 Bony żywieniowe</t>
  </si>
  <si>
    <t>Pozostałe koszty rodzajowe</t>
  </si>
  <si>
    <t>58540000 Bilety inne</t>
  </si>
  <si>
    <t>58540100 Bilety lotnicze zagraniczne</t>
  </si>
  <si>
    <t>58540111 Delegacje zagraniczne</t>
  </si>
  <si>
    <t>58540200 Bilety lotnicze krajowe</t>
  </si>
  <si>
    <t>58540201 Kilometrówka</t>
  </si>
  <si>
    <t>58540211 Delegacje krajowe</t>
  </si>
  <si>
    <t>58540300 Zakwaterowanie</t>
  </si>
  <si>
    <t>58540800 Pozostałe koszty podróży</t>
  </si>
  <si>
    <t>58560000 Wydatki na pokazy i prezentacje</t>
  </si>
  <si>
    <t>58562000 Wydatki na Meetingi XYZ</t>
  </si>
  <si>
    <t>58564000 Wydatki reprezentacyjne na klientów KUP</t>
  </si>
  <si>
    <t>58564010 Wydatki reprezentacyjne na klientów NKUP</t>
  </si>
  <si>
    <t>58564020 Imprezy dla klientów</t>
  </si>
  <si>
    <t>58566000 Wydatki reprezentacyjne na pracowników</t>
  </si>
  <si>
    <t>58566010 Imprezy dla pracowników</t>
  </si>
  <si>
    <t>58568002 Upominki dla klientów</t>
  </si>
  <si>
    <t>58568011 Upominki promocyjne dla innych</t>
  </si>
  <si>
    <t/>
  </si>
  <si>
    <t>Bilansowe</t>
  </si>
  <si>
    <t>11000100 Oprogramowanie i licencje IT - Wartość nabycia</t>
  </si>
  <si>
    <t>11000400 Oprogramowanie i licencje IT - Umorzenie</t>
  </si>
  <si>
    <t>11502100 Budynki - Wartość nabycia</t>
  </si>
  <si>
    <t>11502400 Budynki - Umorzenie</t>
  </si>
  <si>
    <t>11504100 Nakłady w obcych środkach trwał - Wartość nabycia</t>
  </si>
  <si>
    <t>11504400 Nakłady w obcych środkach trwał - Umorzenie</t>
  </si>
  <si>
    <t>11508100 Komputery i sprzęt IT - Wartość nabycia</t>
  </si>
  <si>
    <t>11508400 Komputery i sprzęt IT - Umorzenie</t>
  </si>
  <si>
    <t>11514100 Meble i wyposażenie - Wartość nabycia</t>
  </si>
  <si>
    <t>11514400 Meble i wyposażenie - Umorzenie</t>
  </si>
  <si>
    <t>11518100 Samochody - Wartość nabycia</t>
  </si>
  <si>
    <t>11518400 Samochody - Umorzenie</t>
  </si>
  <si>
    <t>13500000 Kaucje i depozyty</t>
  </si>
  <si>
    <t>15500000 Należności handlowe - podmioty niepowiązane</t>
  </si>
  <si>
    <t>15500800 Odpisy na należności handlowe - podm niepowiązane</t>
  </si>
  <si>
    <t>15500999 Należności handlowe podm niepow - wycena bilansowa</t>
  </si>
  <si>
    <t>15540000 Należności handlowe - podmioty powiązane</t>
  </si>
  <si>
    <t>15540999 Należności handlowe podm powiąz - wycena bilansowa</t>
  </si>
  <si>
    <t>15550368 Bieżące rozrachunki z XYZ Principal</t>
  </si>
  <si>
    <t>15552000 Bieżące rozrachunki z XYZ S.A. Genewa</t>
  </si>
  <si>
    <t>15562000 Faktury do wystawienia do właściciela</t>
  </si>
  <si>
    <t>16004000 Należności od US - VAT</t>
  </si>
  <si>
    <t>16004010 VAT Naliczony</t>
  </si>
  <si>
    <t>16004080 Input tax</t>
  </si>
  <si>
    <t>16008000 Należności od pracowników</t>
  </si>
  <si>
    <t>16008030 Zaliczki na wynagrodzenia</t>
  </si>
  <si>
    <t>17000000 Rozliczenia międzyokresowe kosztów</t>
  </si>
  <si>
    <t>17000030 Rozliczenia międzyokresowe kosztów - ubezpiecz</t>
  </si>
  <si>
    <t>18579900 mBank PLN</t>
  </si>
  <si>
    <t>18580000 mBank USD</t>
  </si>
  <si>
    <t>18580100 mBank EUR</t>
  </si>
  <si>
    <t>18580200 mBank PLN karty debetowe</t>
  </si>
  <si>
    <t>19000000 Środki pienięzne w kasie</t>
  </si>
  <si>
    <t>19002000 Inne środki pieniężne</t>
  </si>
  <si>
    <t>20000000 Kapitał zakładowy</t>
  </si>
  <si>
    <t>21000000 Zysk zatrzymany</t>
  </si>
  <si>
    <t>21500000 Profit of the period</t>
  </si>
  <si>
    <t>30500000 Rezerwa na odprawę emerytalną</t>
  </si>
  <si>
    <t>33506033 Rezerwa na premię roczną</t>
  </si>
  <si>
    <t>33506050 Rezerwa urlopowa</t>
  </si>
  <si>
    <t>34014000 Inne rezerwy</t>
  </si>
  <si>
    <t>34500000 Zobowiązania handlowe - podmioty niepowiązane</t>
  </si>
  <si>
    <t>34550000 Zobowiązania handlowe - podmioty powiązane</t>
  </si>
  <si>
    <t>34550999 Zobowiąz handlowe podm powiąz - wycena bilansowa</t>
  </si>
  <si>
    <t>35002000 Zobowiązania wobec US - VAT</t>
  </si>
  <si>
    <t>35002010 VAT Należny</t>
  </si>
  <si>
    <t>35002100 VAT należny EU</t>
  </si>
  <si>
    <t>35004001 Zobowiązania wobec US - PIT</t>
  </si>
  <si>
    <t>35006000 Zobowiazania z tytułu ubezpieczeń społecznych</t>
  </si>
  <si>
    <t>36500010 Przychody z frachtu powyżej lub ponizej manifestu</t>
  </si>
  <si>
    <t>46012000 Przychód operacyjny - nadpłaty</t>
  </si>
  <si>
    <t>46050000 Przychód operacyjny - pozostałe</t>
  </si>
  <si>
    <t>58556000 Darowizny</t>
  </si>
  <si>
    <t>60000010 Rozwiązanie rezerwy na należności</t>
  </si>
  <si>
    <t>60002000 Spisane należności</t>
  </si>
  <si>
    <t>60502010 Zrealiz dodatnie róż kurs od zabezp należ</t>
  </si>
  <si>
    <t>60502211 Zrealiz dodatnie różnice (ręczne ksiegowanie)</t>
  </si>
  <si>
    <t>60503010 Zrealiz ujemne róż kurs od zabezp należ</t>
  </si>
  <si>
    <t>60508010 Zrealiz dodatnie róż kurs od zabezp zobow</t>
  </si>
  <si>
    <t>60509010 Zrealiz ujemne róż kurs od zabezp zobow</t>
  </si>
  <si>
    <t>60509211 Zrealiz ujemne różnice (ręczne ksiegowanie)</t>
  </si>
  <si>
    <t>62502000 Sprzedaz środków trwałych</t>
  </si>
  <si>
    <t>62503000 Wartość sprzedanych środków trwałych</t>
  </si>
  <si>
    <t>64510000 Przychody finansowe - odsetki</t>
  </si>
  <si>
    <t>65016000 Odsetki od przeterminowanych zobowiązań</t>
  </si>
  <si>
    <t>65528010 Zrealiz dodatnie różnice kursowe od należ</t>
  </si>
  <si>
    <t>65528110 Zrealiz ujemne różnice kursowe od należ</t>
  </si>
  <si>
    <t>70000000 Podatek dochodowy - bieżacy okres</t>
  </si>
  <si>
    <t>14502000 Aktywa z tytułu podatku odroczonego</t>
  </si>
  <si>
    <t>16500000 Podatek dochodowy - zaliczki i nadpłata</t>
  </si>
  <si>
    <t>33506000 Krótkoterminowe zobowiązania wobec pracowników</t>
  </si>
  <si>
    <t>17006000 Zaliczki na środki trwałe</t>
  </si>
  <si>
    <t>15560000 Faktury do wystawienia</t>
  </si>
  <si>
    <t>15514000 Przychody przyszłych okresów</t>
  </si>
  <si>
    <t>34504000 Dostawy niefakturowane - podmioty niepowiązane</t>
  </si>
  <si>
    <t>34515000 Faktura do przypisania (SD)</t>
  </si>
  <si>
    <t>65526100 Niezrealiz ujemne różnice kursowe od należ (TFx)</t>
  </si>
  <si>
    <t>16000000 Other receivables</t>
  </si>
  <si>
    <t>31500000 Rezerwa z tytułu podatku odroczonego</t>
  </si>
  <si>
    <t>36000000 Podatek dochodowy - zobowiazania</t>
  </si>
  <si>
    <t>60500000 Niezrealiz dodatnie róż kurs od zabezp należ (TFx)</t>
  </si>
  <si>
    <t>60501000 Niezrealiz ujemne róż kurs od zabezp należ (TFx)</t>
  </si>
  <si>
    <t>43516000 Przychód operacyjny - logistyczne pozostałe</t>
  </si>
  <si>
    <t>44002002 Przychód operacyjny - opłata za powiad przybycia</t>
  </si>
  <si>
    <t>54580000 Koszt operacyjny - pozostałe logistyczne</t>
  </si>
  <si>
    <t>55000000 Koszt operacyjny - spedycja</t>
  </si>
  <si>
    <t>55002000 Koszt operacyjny - odprawa celna</t>
  </si>
  <si>
    <t>56022000 Koszt operacyjny - przewóz lądowy</t>
  </si>
  <si>
    <t>60000000 Rezerwa na nalezności zagrożone</t>
  </si>
  <si>
    <t>60502210 Zrealiz dodatnie róż kurs od faktur do wyst</t>
  </si>
  <si>
    <t>60504000 Niezrealiz dodatnie róż kurs od zabezp zobow (TFx)</t>
  </si>
  <si>
    <t>65528000 Zrealiz dodatnie różnice kursowe od należ (TFx)</t>
  </si>
  <si>
    <t>65528100 Zrealiz ujemne różnice kursowe od należ (TFx)</t>
  </si>
  <si>
    <t>2025/Jan</t>
  </si>
  <si>
    <t>2025/Feb</t>
  </si>
  <si>
    <t>2025/Mar</t>
  </si>
  <si>
    <t>2025/Apr</t>
  </si>
  <si>
    <t>2025/May</t>
  </si>
  <si>
    <t>2025/Jun</t>
  </si>
  <si>
    <t>2025/Jul</t>
  </si>
  <si>
    <t>2025/Aug</t>
  </si>
  <si>
    <t>2025/Sep</t>
  </si>
  <si>
    <t>2025/Oct</t>
  </si>
  <si>
    <t>2025/Nov</t>
  </si>
  <si>
    <t>2025/Dec</t>
  </si>
  <si>
    <t>BZ 2025</t>
  </si>
  <si>
    <t>2024/Jan</t>
  </si>
  <si>
    <t>2024/Feb</t>
  </si>
  <si>
    <t>2024/Mar</t>
  </si>
  <si>
    <t>2024/Apr</t>
  </si>
  <si>
    <t>2024/May</t>
  </si>
  <si>
    <t>2024/Jun</t>
  </si>
  <si>
    <t>2024/Jul</t>
  </si>
  <si>
    <t>2024/Aug</t>
  </si>
  <si>
    <t>2024/Sep</t>
  </si>
  <si>
    <t>2024/Oct</t>
  </si>
  <si>
    <t>2024/Nov</t>
  </si>
  <si>
    <t>2024/Dec</t>
  </si>
  <si>
    <t>BZ 2024</t>
  </si>
  <si>
    <t>Pozostałe przychody operacyjne</t>
  </si>
  <si>
    <t>Pozostałe koszty operacyjne</t>
  </si>
  <si>
    <t>Przychody finansowe</t>
  </si>
  <si>
    <t>Koszty finansowe</t>
  </si>
  <si>
    <t>Rodzaj1</t>
  </si>
  <si>
    <t>Rodzaj2</t>
  </si>
  <si>
    <t>Podatek</t>
  </si>
  <si>
    <t>Etykiety wierszy</t>
  </si>
  <si>
    <t>Suma końcowa</t>
  </si>
  <si>
    <t>A. Przychody netto ze sprzedaży i zrównane z nimi, w tym:</t>
  </si>
  <si>
    <t>B. Koszty działalności operacyjnej</t>
  </si>
  <si>
    <t>D. Pozostałe przychody operacyjne</t>
  </si>
  <si>
    <t>E. Pozostałe koszty operacyjne</t>
  </si>
  <si>
    <t>G. Przychody finansowe</t>
  </si>
  <si>
    <t>H. Koszty finansowe</t>
  </si>
  <si>
    <t>J. Podatek dochodowy</t>
  </si>
  <si>
    <t>I. Odsetki, w tym:</t>
  </si>
  <si>
    <t>IV. Inne</t>
  </si>
  <si>
    <t>Zysk na działalności gospodarczej</t>
  </si>
  <si>
    <t>Rodzaj3</t>
  </si>
  <si>
    <t>I. Przychody netto ze sprzedaży produktów</t>
  </si>
  <si>
    <t>I. Amortyzacja</t>
  </si>
  <si>
    <t>II. Zużycie materiałów i energii</t>
  </si>
  <si>
    <t>III. Usługi obce</t>
  </si>
  <si>
    <t>IV. Podatki i opłaty</t>
  </si>
  <si>
    <t>V. Wynagrodzenia</t>
  </si>
  <si>
    <t>VI. Ubezpieczenia społeczne i inne świadczenia, w tym:</t>
  </si>
  <si>
    <t>VII. Pozostałe koszty rodzajowe</t>
  </si>
  <si>
    <t>I. Zysk z tytułu rozchodu niefinansowych aktywów trwałych</t>
  </si>
  <si>
    <t>IV. Inne przychody operacyjne</t>
  </si>
  <si>
    <t>II. Aktualizacja wartości aktywów niefinansowych</t>
  </si>
  <si>
    <t>III. Inne koszty operacyjne</t>
  </si>
  <si>
    <t>I. Dywidendy i udziały w zyskach, w tym:</t>
  </si>
  <si>
    <t>I. Przychody netto ze sprzedaży produktów i usług</t>
  </si>
  <si>
    <t>IV. Przychody netto ze sprzedaży towarów i materiałów</t>
  </si>
  <si>
    <t>A. Przychody netto ze sprzedaży i zrównane z nimi</t>
  </si>
  <si>
    <t>w tym:</t>
  </si>
  <si>
    <t>- od jednostek powiązanych</t>
  </si>
  <si>
    <t>VI. Ubezpieczenia społeczne i inne świadczenia</t>
  </si>
  <si>
    <t>- emerytalne</t>
  </si>
  <si>
    <t>VIII. Wartość sprzedanych towarów i materiałów</t>
  </si>
  <si>
    <t>C. Zysk/ (strata) ze sprzedaży (A – B)</t>
  </si>
  <si>
    <t>II. Dotacje</t>
  </si>
  <si>
    <t>III. Aktualizacja wartości aktywów niefinansowych</t>
  </si>
  <si>
    <t>I. Strata z tytułu rozchodu niefinansowych aktywów trwałych</t>
  </si>
  <si>
    <t>F. Zysk/ (strata) z działalności operacyjnej (C+D-E)</t>
  </si>
  <si>
    <t>I. Dywidendy i udziały w zyskach</t>
  </si>
  <si>
    <t>II. Odsetki</t>
  </si>
  <si>
    <t>III. Zysk z tytułu rozchodu aktywów finansowych</t>
  </si>
  <si>
    <t>IV. Aktualizacja wartości aktywów finansowych</t>
  </si>
  <si>
    <t>V. Inne</t>
  </si>
  <si>
    <t>I. Odsetki</t>
  </si>
  <si>
    <t>- dla jednostek powiązanych</t>
  </si>
  <si>
    <t>II. Strata z tytułu rozchodu aktywów finansowych</t>
  </si>
  <si>
    <t>III. Aktualizacja wartości aktywów finansowych</t>
  </si>
  <si>
    <t>I. Zysk/ (strata) brutto (F + G - H)</t>
  </si>
  <si>
    <t>K. Pozostałe obowiązkowe zmniejszenia zysku (zwiększenia straty)</t>
  </si>
  <si>
    <t>L. Zysk/ (strata) netto (I – J - K)</t>
  </si>
  <si>
    <t>P</t>
  </si>
  <si>
    <t>K</t>
  </si>
  <si>
    <t>Z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</si>
  <si>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</si>
  <si>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</si>
  <si>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</si>
  <si>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</si>
  <si>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</si>
  <si>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</si>
  <si>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</si>
  <si>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</si>
  <si>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</si>
  <si>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</si>
  <si>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</si>
  <si>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</si>
  <si>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</si>
  <si>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</si>
  <si>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</si>
  <si>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</si>
  <si>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</si>
  <si>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</si>
  <si>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</si>
  <si>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</si>
  <si>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</si>
  <si>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</si>
  <si>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</si>
  <si>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</si>
  <si>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</t>
  </si>
  <si>
    <t>I</t>
  </si>
  <si>
    <t>1.</t>
  </si>
  <si>
    <t>a)</t>
  </si>
  <si>
    <t>-</t>
  </si>
  <si>
    <t>Aktywa/Pasywa</t>
  </si>
  <si>
    <t>Rodzaj4</t>
  </si>
  <si>
    <t>Aktywa</t>
  </si>
  <si>
    <t>Pasywa</t>
  </si>
  <si>
    <t xml:space="preserve">I. Wartości niematerialne i prawne     </t>
  </si>
  <si>
    <t xml:space="preserve">A. Aktywa trwałe     </t>
  </si>
  <si>
    <t xml:space="preserve">3. Inne wartości niematerialne i prawne     </t>
  </si>
  <si>
    <t xml:space="preserve">1. Środki trwałe     </t>
  </si>
  <si>
    <t xml:space="preserve">2. Środki trwałe w budowie     </t>
  </si>
  <si>
    <t xml:space="preserve">2. Inne rozliczenia międzyokresowe     </t>
  </si>
  <si>
    <t xml:space="preserve">1. Aktywa z tytułu odroczonego podatku dochodowego     </t>
  </si>
  <si>
    <t>Rodzaj5</t>
  </si>
  <si>
    <t>Rodzaj6</t>
  </si>
  <si>
    <t xml:space="preserve">1. Należności od jednostek powiązanych     </t>
  </si>
  <si>
    <t xml:space="preserve">3. Należności od pozostałych jednostek     </t>
  </si>
  <si>
    <t>1. Krótkoterminowe aktywa finansowe</t>
  </si>
  <si>
    <t>1. Rezerwa z tytułu odroczonego podatku dochodowego</t>
  </si>
  <si>
    <t xml:space="preserve">2. Rezerwa na świadczenia emerytalne i podobne </t>
  </si>
  <si>
    <t xml:space="preserve">3. Pozostałe rezerwy </t>
  </si>
  <si>
    <t xml:space="preserve">3. Zobowiązania wobec pozostałych jednostek </t>
  </si>
  <si>
    <t>I. Kapitał (fundusz) podstawowy</t>
  </si>
  <si>
    <t>V. Zysk/ (strata) z lat ubiegłych</t>
  </si>
  <si>
    <t>3. Zaliczki na środki trwałe</t>
  </si>
  <si>
    <t>3. Należności od pozostałych jednostek</t>
  </si>
  <si>
    <t>3. Inne aktywa finansowe</t>
  </si>
  <si>
    <t>3. Zobowiązania wobec pozostałych jednostek</t>
  </si>
  <si>
    <t xml:space="preserve">IV. Krótkoterminowe rozliczenia międzyokresowe     </t>
  </si>
  <si>
    <t>2. Należności od jednostek powiązanych</t>
  </si>
  <si>
    <t xml:space="preserve">II. Rzeczowe aktywa trwałe      </t>
  </si>
  <si>
    <t xml:space="preserve">V. Długoterminowe rozliczenia międzyokresowe     </t>
  </si>
  <si>
    <t xml:space="preserve">II. Należności krótkoterminowe     </t>
  </si>
  <si>
    <t xml:space="preserve">III. Inwestycje krótkoterminowe     </t>
  </si>
  <si>
    <t>I. Rezerwy na zobowiązania</t>
  </si>
  <si>
    <t xml:space="preserve">III. Zobowiązania krótkoterminowe </t>
  </si>
  <si>
    <t xml:space="preserve">A. Kapitał (fundusz) własny </t>
  </si>
  <si>
    <t xml:space="preserve">B. Zobowiązania i rezerwy na zobowiązania </t>
  </si>
  <si>
    <t xml:space="preserve">B. Aktywa obrotowe     </t>
  </si>
  <si>
    <t>Suma z BZ</t>
  </si>
  <si>
    <t>b) budynki, lokale, prawa do lokali i obiekty inżynierii lądowej i wodnej</t>
  </si>
  <si>
    <t xml:space="preserve">c) urządzenia techniczne i maszyny </t>
  </si>
  <si>
    <t>e) inne środki trwałe</t>
  </si>
  <si>
    <t>d) środki transportu</t>
  </si>
  <si>
    <t xml:space="preserve">a) z tytułu dostaw i usług, o okresie spłaty: </t>
  </si>
  <si>
    <t>c) inne</t>
  </si>
  <si>
    <t>i) inne</t>
  </si>
  <si>
    <t>b) inne</t>
  </si>
  <si>
    <t>g) z tytułu podatków, ceł, ubezpieczeń społecznych i zdrowotnych oraz innych tytułów publicznoprawnych</t>
  </si>
  <si>
    <t>b) z tytułu podatków, dotacji, ceł, ubezpieczeń społecznych 
     i zdrowotnych oraz innych tytułów publicznoprawnych</t>
  </si>
  <si>
    <t xml:space="preserve">a) długoterminowe    </t>
  </si>
  <si>
    <t xml:space="preserve">b) krótkoterminowe     </t>
  </si>
  <si>
    <t xml:space="preserve">d) z tytułu dostaw i usług, o okresie wymagalności: </t>
  </si>
  <si>
    <t xml:space="preserve">h) z tytułu wynagrodzeń </t>
  </si>
  <si>
    <t>- do 12 miesięcy</t>
  </si>
  <si>
    <t>Zysk netto bieżącego okresu</t>
  </si>
  <si>
    <t>VI. Zysk/ (strata) netto</t>
  </si>
  <si>
    <t>- środki pieniężne w kasie i na rachunkach</t>
  </si>
  <si>
    <t>c) środki pieniężne i inne aktywa pieniężne</t>
  </si>
  <si>
    <t>2025</t>
  </si>
  <si>
    <t>2024</t>
  </si>
  <si>
    <t>Suma z 2024</t>
  </si>
  <si>
    <t>Suma z 2025</t>
  </si>
  <si>
    <t>Zysk netto RZiS</t>
  </si>
  <si>
    <t>Per TB</t>
  </si>
  <si>
    <t>RZiS</t>
  </si>
  <si>
    <t>Bilans</t>
  </si>
  <si>
    <t>A./I./ Wartości niematerialne i prawne</t>
  </si>
  <si>
    <t>A./I./1. Koszty zakończonych prac rozwojowych</t>
  </si>
  <si>
    <t>A./I./2. Wartość firmy</t>
  </si>
  <si>
    <t>A./I./3. Inne wartości niematerialne i prawne</t>
  </si>
  <si>
    <t>A./I./4. Zaliczki na wartości niematerialne i prawne</t>
  </si>
  <si>
    <t>A./II./ Rzeczowe aktywa trwałe</t>
  </si>
  <si>
    <t>A./II./1. Środki trwałe</t>
  </si>
  <si>
    <t>A./II./1. Środki trwałe/a) grunty (w tym prawo użytkowania wieczystego gruntu)</t>
  </si>
  <si>
    <t>A./II./1. Środki trwałe/b) budynki‚ lokale‚ prawa do lokali i obiekty inżynierii lądowej i wodnej</t>
  </si>
  <si>
    <t>A./II./1. Środki trwałe/c) urządzenia techniczne i maszyny</t>
  </si>
  <si>
    <t>A./II./1. Środki trwałe/d) środki transportu</t>
  </si>
  <si>
    <t>A./II./1. Środki trwałe/e) inne środki trwałe</t>
  </si>
  <si>
    <t>A./II./2. Środki trwałe w budowie</t>
  </si>
  <si>
    <t>A./II./3. Zaliczki na środki trwałe w budowie</t>
  </si>
  <si>
    <t>A./III./ Należności długoterminowe</t>
  </si>
  <si>
    <t>A./III./1. Od jednostek powiązanych</t>
  </si>
  <si>
    <t>A./III./2. Od pozostałych jednostek‚ w których jednostka posiada zaangażowanie w kapitale</t>
  </si>
  <si>
    <t>A./III./3. Od pozostałych jednostek</t>
  </si>
  <si>
    <t>A./IV./ Inwestycje długoterminowe</t>
  </si>
  <si>
    <t>A./IV./1. Nieruchomości</t>
  </si>
  <si>
    <t>A./IV./2. Wartości niematerialne i prawne</t>
  </si>
  <si>
    <t>A./IV./3. Długoterminowe aktywa finansowe</t>
  </si>
  <si>
    <t>A./IV./3. Długoterminowe aktywa finansowe/a) w jednostkach powiązanych</t>
  </si>
  <si>
    <t>A./IV./3. Długoterminowe aktywa finansowe/a) w jednostkach powiązanych/- udziały lub akcje</t>
  </si>
  <si>
    <t>A./IV./3. Długoterminowe aktywa finansowe/a) w jednostkach powiązanych/- inne papiery wartościowe</t>
  </si>
  <si>
    <t>A./IV./3. Długoterminowe aktywa finansowe/a) w jednostkach powiązanych/- udzielone pożyczki</t>
  </si>
  <si>
    <t>A./IV./3. Długoterminowe aktywa finansowe/a) w jednostkach powiązanych/- inne długoterminowe aktywa finansowe</t>
  </si>
  <si>
    <t>A./IV./3. Długoterminowe aktywa finansowe/b) w pozostałych jednostkach‚ w których jednostka posiada zaangażowanie w kapitale</t>
  </si>
  <si>
    <t>A./IV./3. Długoterminowe aktywa finansowe/b) w pozostałych jednostkach‚ w których jednostka posiada zaangażowanie w kapitale/- udziały lub akcje</t>
  </si>
  <si>
    <t>A./IV./3. Długoterminowe aktywa finansowe/b) w pozostałych jednostkach‚ w których jednostka posiada zaangażowanie w kapitale/- inne papiery wartościowe</t>
  </si>
  <si>
    <t>A./IV./3. Długoterminowe aktywa finansowe/b) w pozostałych jednostkach‚ w których jednostka posiada zaangażowanie w kapitale/- udzielone pożyczki</t>
  </si>
  <si>
    <t>A./IV./3. Długoterminowe aktywa finansowe/b) w pozostałych jednostkach‚ w których jednostka posiada zaangażowanie w kapitale/- inne długoterminowe aktywa finansowe</t>
  </si>
  <si>
    <t>A./IV./3. Długoterminowe aktywa finansowe/c) w pozostałych jednostkach</t>
  </si>
  <si>
    <t>A./IV./3. Długoterminowe aktywa finansowe/c) w pozostałych jednostkach/- udziały lub akcje</t>
  </si>
  <si>
    <t>A./IV./3. Długoterminowe aktywa finansowe/c) w pozostałych jednostkach/- inne papiery wartościowe</t>
  </si>
  <si>
    <t>A./IV./3. Długoterminowe aktywa finansowe/c) w pozostałych jednostkach/- udzielone pożyczki</t>
  </si>
  <si>
    <t>A./IV./3. Długoterminowe aktywa finansowe/c) w pozostałych jednostkach/- inne długoterminowe aktywa finansowe</t>
  </si>
  <si>
    <t>A./IV./4. Inne inwestycje długoterminowe</t>
  </si>
  <si>
    <t>A./V./ Długoterminowe rozliczenia międzyokresowe</t>
  </si>
  <si>
    <t>A./V./1. Aktywa z tytułu odroczonego podatku dochodowego</t>
  </si>
  <si>
    <t>A./V./2. Inne rozliczenia międzyokresowe</t>
  </si>
  <si>
    <t>B./I./ Zapasy</t>
  </si>
  <si>
    <t>B./I./1. Materiały</t>
  </si>
  <si>
    <t>B./I./2. Półprodukty i produkty w toku</t>
  </si>
  <si>
    <t>B./I./3. Produkty gotowe</t>
  </si>
  <si>
    <t>B./I./4. Towary</t>
  </si>
  <si>
    <t>B./I./5. Zaliczki na dostawy i usługi</t>
  </si>
  <si>
    <t>B./II./ Należności krótkoterminowe</t>
  </si>
  <si>
    <t>B./II./1. Należności od jednostek powiązanych</t>
  </si>
  <si>
    <t>B./II./1. Należności od jednostek powiązanych/a) z tytułu dostaw i usług‚ o okresie spłaty:</t>
  </si>
  <si>
    <t>B./II./1. Należności od jednostek powiązanych/a) z tytułu dostaw i usług‚ o okresie spłaty:/- do 12 miesięcy</t>
  </si>
  <si>
    <t>B./II./1. Należności od jednostek powiązanych/a) z tytułu dostaw i usług‚ o okresie spłaty:/- powyżej 12 miesięcy</t>
  </si>
  <si>
    <t>B./II./1. Należności od jednostek powiązanych/b) inne</t>
  </si>
  <si>
    <t>B./II./2. Należności od pozostałych jednostek‚ w których jednostka posiada zaangażowanie w kapitale</t>
  </si>
  <si>
    <t>B./II./2. Należności od pozostałych jednostek‚ w których jednostka posiada zaangażowanie w kapitale/a) z tytułu dostaw i usług‚ o okresie spłaty:</t>
  </si>
  <si>
    <t>B./II./2. Należności od pozostałych jednostek‚ w których jednostka posiada zaangażowanie w kapitale/a) z tytułu dostaw i usług‚ o okresie spłaty:/- do 12 miesięcy</t>
  </si>
  <si>
    <t>B./II./2. Należności od pozostałych jednostek‚ w których jednostka posiada zaangażowanie w kapitale/a) z tytułu dostaw i usług‚ o okresie spłaty:/- powyżej 12 miesięcy</t>
  </si>
  <si>
    <t>B./II./2. Należności od pozostałych jednostek‚ w których jednostka posiada zaangażowanie w kapitale/b) inne</t>
  </si>
  <si>
    <t>B./II./3. Należności od pozostałych jednostek</t>
  </si>
  <si>
    <t>B./II./3. Należności od pozostałych jednostek/a) z tytułu dostaw i usług‚ o okresie spłaty:</t>
  </si>
  <si>
    <t>B./II./3. Należności od pozostałych jednostek/a) z tytułu dostaw i usług‚ o okresie spłaty:/- do 12 miesięcy</t>
  </si>
  <si>
    <t>B./II./3. Należności od pozostałych jednostek/a) z tytułu dostaw i usług‚ o okresie spłaty:/- powyżej 12 miesięcy</t>
  </si>
  <si>
    <t>B./II./3. Należności od pozostałych jednostek/b) z tytułu podatków‚ dotacji‚ ceł‚ ubezpieczeń społecznych 
           i zdrowotnych oraz innych tytułów publicznoprawnych</t>
  </si>
  <si>
    <t>B./II./3. Należności od pozostałych jednostek/c) inne</t>
  </si>
  <si>
    <t>B./II./3. Należności od pozostałych jednostek/d) dochodzone na drodze sądowej</t>
  </si>
  <si>
    <t>B./III./ Inwestycje krótkoterminowe</t>
  </si>
  <si>
    <t>B./III./1. Krótkoterminowe aktywa finansowe</t>
  </si>
  <si>
    <t>B./III./1. Krótkoterminowe aktywa finansowe/a) w jednostkach powiązanych</t>
  </si>
  <si>
    <t>B./III./1. Krótkoterminowe aktywa finansowe/a) w jednostkach powiązanych/- udziały lub akcje</t>
  </si>
  <si>
    <t>B./III./1. Krótkoterminowe aktywa finansowe/a) w jednostkach powiązanych/- inne papiery wartościowe</t>
  </si>
  <si>
    <t>B./III./1. Krótkoterminowe aktywa finansowe/a) w jednostkach powiązanych/- udzielone pożyczki</t>
  </si>
  <si>
    <t>B./III./1. Krótkoterminowe aktywa finansowe/a) w jednostkach powiązanych/- inne krótkoterminowe aktywa finansowe</t>
  </si>
  <si>
    <t>B./III./1. Krótkoterminowe aktywa finansowe/b) w pozostałych jednostkach</t>
  </si>
  <si>
    <t>B./III./1. Krótkoterminowe aktywa finansowe/b) w pozostałych jednostkach/- udziały lub akcje</t>
  </si>
  <si>
    <t>B./III./1. Krótkoterminowe aktywa finansowe/b) w pozostałych jednostkach/- inne papiery wartościowe</t>
  </si>
  <si>
    <t>B./III./1. Krótkoterminowe aktywa finansowe/b) w pozostałych jednostkach/- udzielone pożyczki</t>
  </si>
  <si>
    <t>B./III./1. Krótkoterminowe aktywa finansowe/b) w pozostałych jednostkach/- inne krótkoterminowe aktywa finansowe</t>
  </si>
  <si>
    <t>B./III./1. Krótkoterminowe aktywa finansowe/c) środki pieniężne i inne aktywa pieniężne</t>
  </si>
  <si>
    <t>B./III./1. Krótkoterminowe aktywa finansowe/c) środki pieniężne i inne aktywa pieniężne/- środki pieniężne w kasie i na rachunkach</t>
  </si>
  <si>
    <t>B./III./1. Krótkoterminowe aktywa finansowe/c) środki pieniężne i inne aktywa pieniężne/- inne środki pieniężne</t>
  </si>
  <si>
    <t>B./III./1. Krótkoterminowe aktywa finansowe/c) środki pieniężne i inne aktywa pieniężne/- inne aktywa pieniężne</t>
  </si>
  <si>
    <t>B./III./2. Inne inwestycje krótkoterminowe</t>
  </si>
  <si>
    <t>B./IV./ Krótkoterminowe rozliczenia międzyokresowe</t>
  </si>
  <si>
    <t>C./ Należne wpłaty na kapitał (fundusz) podstawowy</t>
  </si>
  <si>
    <t>D./ Udziały (akcje) własne</t>
  </si>
  <si>
    <t>A./I./ Kapitał (fundusz) podstawowy</t>
  </si>
  <si>
    <t>A./II./ Kapitał (fundusz) zapasowy‚ w tym:</t>
  </si>
  <si>
    <t>A./II.//- nadwyżka wartości sprzedaży (wartości emisyjnej) nad wartością nominalną udziałów (akcji)</t>
  </si>
  <si>
    <t>A./III./ Kapitał (fundusz) z aktualizacji wyceny‚ w tym:</t>
  </si>
  <si>
    <t>A./III.//- z tytułu aktualizacji wartości godziwej</t>
  </si>
  <si>
    <t>A./IV./ Pozostałe kapitały (fundusze) rezerwowe‚ w tym:</t>
  </si>
  <si>
    <t>A./IV.//- tworzone zgodnie z umową (statutem) spółki</t>
  </si>
  <si>
    <t>A./IV.//- na udziały (akcje) własne</t>
  </si>
  <si>
    <t>A./V./ Zysk/ (strata) z lat ubiegłych</t>
  </si>
  <si>
    <t>A./VI./ Zysk/ (strata) netto</t>
  </si>
  <si>
    <t>A./VII./ Odpisy z zysku netto w ciągu roku obrotowego
(wielkość ujemna)</t>
  </si>
  <si>
    <t>B./I./ Rezerwy na zobowiązania</t>
  </si>
  <si>
    <t>B./I./1. Rezerwa z tytułu odroczonego podatku dochodowego</t>
  </si>
  <si>
    <t>B./I./2. Rezerwa na świadczenia emerytalne i podobne</t>
  </si>
  <si>
    <t>B./I./2. Rezerwa na świadczenia emerytalne i podobne/a) długoterminowe</t>
  </si>
  <si>
    <t>B./I./2. Rezerwa na świadczenia emerytalne i podobne/b) krótkoterminowe</t>
  </si>
  <si>
    <t>B./I./3. Pozostałe rezerwy</t>
  </si>
  <si>
    <t>B./I./3. Pozostałe rezerwy/a) długoterminowe</t>
  </si>
  <si>
    <t>B./I./3. Pozostałe rezerwy/b) krótkoterminowe</t>
  </si>
  <si>
    <t>B./II./ Zobowiązania długoterminowe</t>
  </si>
  <si>
    <t>B./II./1. Wobec jednostek powiązanych</t>
  </si>
  <si>
    <t>B./II./2. Wobec pozostałych jednostek‚ w których jednostka posiada zaangażowanie w kapitale</t>
  </si>
  <si>
    <t>B./II./3. Wobec pozostałych jednostek</t>
  </si>
  <si>
    <t>B./II./3. Wobec pozostałych jednostek/a) kredyty i pożyczki</t>
  </si>
  <si>
    <t>B./II./3. Wobec pozostałych jednostek/b) z tytułu emisji dłużnych papierów wartościowych</t>
  </si>
  <si>
    <t>B./II./3. Wobec pozostałych jednostek/c) inne zobowiązania finansowe</t>
  </si>
  <si>
    <t>B./II./3. Wobec pozostałych jednostek/d) zobowiązania wekslowe</t>
  </si>
  <si>
    <t>B./II./3. Wobec pozostałych jednostek/e) inne</t>
  </si>
  <si>
    <t>B./III./ Zobowiązania krótkoterminowe</t>
  </si>
  <si>
    <t>B./III./1. Zobowiązania wobec jednostek powiązanych</t>
  </si>
  <si>
    <t>B./III./1. Zobowiązania wobec jednostek powiązanych/a) z tytułu dostaw i usług‚ o okresie wymagalności:</t>
  </si>
  <si>
    <t>B./III./1. Zobowiązania wobec jednostek powiązanych/a) z tytułu dostaw i usług‚ o okresie wymagalności:/- do 12 miesięcy</t>
  </si>
  <si>
    <t>B./III./1. Zobowiązania wobec jednostek powiązanych/a) z tytułu dostaw i usług‚ o okresie wymagalności:/- powyżej 12 miesięcy</t>
  </si>
  <si>
    <t>B./III./1. Zobowiązania wobec jednostek powiązanych/b) inne</t>
  </si>
  <si>
    <t>B./III./2. Zobowiązania wobec pozostałych jednostek‚ w których jednostka posiada zaangażowanie w kapitale</t>
  </si>
  <si>
    <t>B./III./2. Zobowiązania wobec pozostałych jednostek‚ w których jednostka posiada zaangażowanie w kapitale/a) z tytułu dostaw i usług‚ o okresie wymagalności:</t>
  </si>
  <si>
    <t>B./III./2. Zobowiązania wobec pozostałych jednostek‚ w których jednostka posiada zaangażowanie w kapitale/a) z tytułu dostaw i usług‚ o okresie wymagalności:/- do 12 miesięcy</t>
  </si>
  <si>
    <t>B./III./2. Zobowiązania wobec pozostałych jednostek‚ w których jednostka posiada zaangażowanie w kapitale/a) z tytułu dostaw i usług‚ o okresie wymagalności:/- powyżej 12 miesięcy</t>
  </si>
  <si>
    <t>B./III./2. Zobowiązania wobec pozostałych jednostek‚ w których jednostka posiada zaangażowanie w kapitale/b) inne</t>
  </si>
  <si>
    <t>B./III./3. Zobowiązania wobec pozostałych jednostek</t>
  </si>
  <si>
    <t>B./III./3. Zobowiązania wobec pozostałych jednostek/a) kredyty i pożyczki</t>
  </si>
  <si>
    <t>B./III./3. Zobowiązania wobec pozostałych jednostek/b) z tytułu emisji dłużnych papierów wartościowych</t>
  </si>
  <si>
    <t>B./III./3. Zobowiązania wobec pozostałych jednostek/c) inne zobowiązania finansowe</t>
  </si>
  <si>
    <t>B./III./3. Zobowiązania wobec pozostałych jednostek/d) z tytułu dostaw i usług‚ o okresie wymagalności:</t>
  </si>
  <si>
    <t>B./III./3. Zobowiązania wobec pozostałych jednostek/d) z tytułu dostaw i usług‚ o okresie wymagalności:/- do 12 miesięcy</t>
  </si>
  <si>
    <t>B./III./3. Zobowiązania wobec pozostałych jednostek/d) z tytułu dostaw i usług‚ o okresie wymagalności:/- powyżej 12 miesięcy</t>
  </si>
  <si>
    <t>B./III./3. Zobowiązania wobec pozostałych jednostek/e) zaliczki otrzymane na dostawy i usługi</t>
  </si>
  <si>
    <t>B./III./3. Zobowiązania wobec pozostałych jednostek/f) zobowiązania wekslowe</t>
  </si>
  <si>
    <t>B./III./3. Zobowiązania wobec pozostałych jednostek/g) z tytułu podatków‚ ceł‚ ubezpieczeń społecznych i zdrowotnych oraz innych tytułów publicznoprawnych</t>
  </si>
  <si>
    <t>B./III./3. Zobowiązania wobec pozostałych jednostek/h) z tytułu wynagrodzeń</t>
  </si>
  <si>
    <t>B./III./3. Zobowiązania wobec pozostałych jednostek/i) inne</t>
  </si>
  <si>
    <t>B./III./4. Fundusze specjalne</t>
  </si>
  <si>
    <t>B./IV./ Rozliczenia międzyokresowe</t>
  </si>
  <si>
    <t>B./IV./1. Ujemna wartość firmy</t>
  </si>
  <si>
    <t>B./IV./2. Inne rozliczenia międzyokresowe</t>
  </si>
  <si>
    <t>B./IV./2. Inne rozliczenia międzyokresowe/a) długoterminowe</t>
  </si>
  <si>
    <t>B./IV./2. Inne rozliczenia międzyokresowe/b) krótkoterminowe</t>
  </si>
  <si>
    <t>B</t>
  </si>
  <si>
    <t>C. Zysk/ (strata) ze sprzedaży</t>
  </si>
  <si>
    <t>F. Zysk/ (strata) z działalności operacyjnej</t>
  </si>
  <si>
    <t>I. Zysk/ (strata) brutto</t>
  </si>
  <si>
    <t>L. Zysk/ (strata) netto</t>
  </si>
  <si>
    <t>(puste)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</si>
</sst>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8"/>
      <color rgb="FFFFFF00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8"/>
      <color rgb="FFFF0000"/>
      <name val="Arial"/>
      <family val="2"/>
      <charset val="238"/>
    </font>
    <font>
      <sz val="8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FF"/>
      <name val="Arial"/>
      <family val="2"/>
      <charset val="238"/>
    </font>
    <font>
      <i/>
      <sz val="8"/>
      <color rgb="FFFF0000"/>
      <name val="Arial"/>
      <family val="2"/>
      <charset val="238"/>
    </font>
    <font>
      <sz val="8"/>
      <name val="Calibri"/>
      <family val="2"/>
      <scheme val="minor"/>
    </font>
    <font>
      <b/>
      <sz val="8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2" fillId="0" borderId="0"/>
  </cellStyleXfs>
  <cellXfs count="69">
    <xf numFmtId="0" fontId="0" fillId="0" borderId="0" xfId="0"/>
    <xf numFmtId="4" fontId="4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left" vertical="center" wrapText="1"/>
    </xf>
    <xf numFmtId="0" fontId="6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/>
    </xf>
    <xf numFmtId="0" fontId="8" fillId="0" borderId="2" xfId="2" applyFont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left" vertical="center"/>
    </xf>
    <xf numFmtId="2" fontId="9" fillId="3" borderId="2" xfId="0" applyNumberFormat="1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4" fontId="8" fillId="0" borderId="2" xfId="2" applyNumberFormat="1" applyFont="1" applyBorder="1"/>
    <xf numFmtId="4" fontId="8" fillId="0" borderId="2" xfId="2" quotePrefix="1" applyNumberFormat="1" applyFont="1" applyBorder="1"/>
    <xf numFmtId="4" fontId="10" fillId="0" borderId="2" xfId="2" applyNumberFormat="1" applyFont="1" applyBorder="1"/>
    <xf numFmtId="4" fontId="11" fillId="0" borderId="3" xfId="2" applyNumberFormat="1" applyFont="1" applyBorder="1"/>
    <xf numFmtId="0" fontId="9" fillId="3" borderId="3" xfId="0" applyFont="1" applyFill="1" applyBorder="1" applyAlignment="1">
      <alignment horizontal="left" vertical="center"/>
    </xf>
    <xf numFmtId="1" fontId="9" fillId="3" borderId="3" xfId="0" applyNumberFormat="1" applyFont="1" applyFill="1" applyBorder="1" applyAlignment="1">
      <alignment horizontal="left" vertical="center"/>
    </xf>
    <xf numFmtId="4" fontId="0" fillId="0" borderId="0" xfId="0" applyNumberFormat="1"/>
    <xf numFmtId="2" fontId="0" fillId="0" borderId="0" xfId="0" applyNumberFormat="1"/>
    <xf numFmtId="4" fontId="9" fillId="3" borderId="2" xfId="0" applyNumberFormat="1" applyFont="1" applyFill="1" applyBorder="1" applyAlignment="1">
      <alignment horizontal="left" vertical="center"/>
    </xf>
    <xf numFmtId="0" fontId="8" fillId="0" borderId="2" xfId="2" applyFont="1" applyBorder="1" applyAlignment="1">
      <alignment vertical="center"/>
    </xf>
    <xf numFmtId="4" fontId="4" fillId="2" borderId="1" xfId="1" applyNumberFormat="1" applyFont="1" applyFill="1" applyBorder="1" applyAlignment="1">
      <alignment vertical="center" wrapText="1"/>
    </xf>
    <xf numFmtId="1" fontId="4" fillId="2" borderId="1" xfId="1" applyNumberFormat="1" applyFont="1" applyFill="1" applyBorder="1" applyAlignment="1">
      <alignment vertical="center" wrapText="1"/>
    </xf>
    <xf numFmtId="1" fontId="9" fillId="3" borderId="2" xfId="0" applyNumberFormat="1" applyFont="1" applyFill="1" applyBorder="1" applyAlignment="1">
      <alignment vertical="center"/>
    </xf>
    <xf numFmtId="2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" fontId="9" fillId="3" borderId="3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9" fontId="3" fillId="0" borderId="0" xfId="3" applyNumberFormat="1" applyFont="1" applyAlignment="1" applyProtection="1">
      <alignment vertical="center" wrapText="1"/>
      <protection locked="0"/>
    </xf>
    <xf numFmtId="0" fontId="1" fillId="0" borderId="0" xfId="0" applyFont="1"/>
    <xf numFmtId="49" fontId="8" fillId="0" borderId="0" xfId="3" applyNumberFormat="1" applyFont="1" applyAlignment="1" applyProtection="1">
      <alignment vertical="center" wrapText="1"/>
      <protection locked="0"/>
    </xf>
    <xf numFmtId="3" fontId="0" fillId="0" borderId="0" xfId="0" applyNumberFormat="1"/>
    <xf numFmtId="3" fontId="9" fillId="3" borderId="2" xfId="0" applyNumberFormat="1" applyFont="1" applyFill="1" applyBorder="1" applyAlignment="1">
      <alignment vertical="center"/>
    </xf>
    <xf numFmtId="4" fontId="9" fillId="3" borderId="2" xfId="0" applyNumberFormat="1" applyFont="1" applyFill="1" applyBorder="1" applyAlignment="1">
      <alignment vertical="center"/>
    </xf>
    <xf numFmtId="4" fontId="4" fillId="2" borderId="4" xfId="1" applyNumberFormat="1" applyFont="1" applyFill="1" applyBorder="1" applyAlignment="1">
      <alignment vertical="center" wrapText="1"/>
    </xf>
    <xf numFmtId="1" fontId="4" fillId="2" borderId="4" xfId="1" applyNumberFormat="1" applyFont="1" applyFill="1" applyBorder="1" applyAlignment="1">
      <alignment vertical="center" wrapText="1"/>
    </xf>
    <xf numFmtId="3" fontId="4" fillId="2" borderId="4" xfId="1" applyNumberFormat="1" applyFont="1" applyFill="1" applyBorder="1" applyAlignment="1">
      <alignment vertical="center" wrapText="1"/>
    </xf>
    <xf numFmtId="49" fontId="13" fillId="0" borderId="0" xfId="3" applyNumberFormat="1" applyFont="1" applyAlignment="1" applyProtection="1">
      <alignment vertical="center"/>
      <protection locked="0"/>
    </xf>
    <xf numFmtId="4" fontId="4" fillId="2" borderId="4" xfId="1" applyNumberFormat="1" applyFont="1" applyFill="1" applyBorder="1" applyAlignment="1">
      <alignment horizontal="center" vertical="center" wrapText="1"/>
    </xf>
    <xf numFmtId="1" fontId="4" fillId="2" borderId="4" xfId="1" applyNumberFormat="1" applyFont="1" applyFill="1" applyBorder="1" applyAlignment="1">
      <alignment horizontal="left" vertical="center" wrapText="1"/>
    </xf>
    <xf numFmtId="0" fontId="6" fillId="0" borderId="4" xfId="2" applyFont="1" applyBorder="1" applyAlignment="1">
      <alignment vertical="center"/>
    </xf>
    <xf numFmtId="0" fontId="7" fillId="0" borderId="4" xfId="2" applyFont="1" applyBorder="1" applyAlignment="1">
      <alignment vertical="center"/>
    </xf>
    <xf numFmtId="0" fontId="0" fillId="0" borderId="0" xfId="0" applyAlignment="1">
      <alignment horizontal="left" indent="1"/>
    </xf>
    <xf numFmtId="49" fontId="8" fillId="0" borderId="5" xfId="3" applyNumberFormat="1" applyFont="1" applyBorder="1" applyAlignment="1" applyProtection="1">
      <alignment vertical="center" wrapText="1"/>
      <protection locked="0"/>
    </xf>
    <xf numFmtId="0" fontId="9" fillId="4" borderId="6" xfId="0" applyFont="1" applyFill="1" applyBorder="1" applyAlignment="1">
      <alignment horizontal="left" vertical="center"/>
    </xf>
    <xf numFmtId="2" fontId="9" fillId="4" borderId="5" xfId="0" applyNumberFormat="1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4" fontId="10" fillId="0" borderId="5" xfId="2" applyNumberFormat="1" applyFont="1" applyBorder="1"/>
    <xf numFmtId="0" fontId="14" fillId="0" borderId="0" xfId="0" applyFont="1"/>
    <xf numFmtId="0" fontId="9" fillId="0" borderId="0" xfId="0" applyFont="1"/>
    <xf numFmtId="49" fontId="4" fillId="2" borderId="4" xfId="1" applyNumberFormat="1" applyFont="1" applyFill="1" applyBorder="1" applyAlignment="1">
      <alignment vertical="center" wrapText="1"/>
    </xf>
    <xf numFmtId="49" fontId="8" fillId="0" borderId="2" xfId="2" applyNumberFormat="1" applyFont="1" applyBorder="1" applyAlignment="1">
      <alignment vertical="center"/>
    </xf>
    <xf numFmtId="49" fontId="9" fillId="3" borderId="2" xfId="0" applyNumberFormat="1" applyFont="1" applyFill="1" applyBorder="1" applyAlignment="1">
      <alignment vertical="center"/>
    </xf>
    <xf numFmtId="49" fontId="8" fillId="0" borderId="5" xfId="2" applyNumberFormat="1" applyFont="1" applyBorder="1" applyAlignment="1">
      <alignment vertical="center"/>
    </xf>
    <xf numFmtId="1" fontId="9" fillId="4" borderId="6" xfId="0" applyNumberFormat="1" applyFont="1" applyFill="1" applyBorder="1" applyAlignment="1">
      <alignment vertical="center"/>
    </xf>
    <xf numFmtId="49" fontId="9" fillId="4" borderId="5" xfId="0" applyNumberFormat="1" applyFont="1" applyFill="1" applyBorder="1" applyAlignment="1">
      <alignment vertical="center"/>
    </xf>
    <xf numFmtId="4" fontId="8" fillId="0" borderId="5" xfId="2" applyNumberFormat="1" applyFont="1" applyBorder="1"/>
    <xf numFmtId="2" fontId="0" fillId="3" borderId="2" xfId="0" applyNumberFormat="1" applyFill="1" applyBorder="1" applyAlignment="1">
      <alignment horizontal="left" vertical="center"/>
    </xf>
    <xf numFmtId="0" fontId="8" fillId="0" borderId="5" xfId="2" applyFont="1" applyBorder="1" applyAlignment="1">
      <alignment vertical="center"/>
    </xf>
    <xf numFmtId="2" fontId="9" fillId="4" borderId="5" xfId="3" applyNumberFormat="1" applyFont="1" applyFill="1" applyBorder="1" applyAlignment="1" applyProtection="1">
      <alignment horizontal="left" vertical="center"/>
      <protection locked="0"/>
    </xf>
    <xf numFmtId="3" fontId="9" fillId="4" borderId="5" xfId="0" applyNumberFormat="1" applyFont="1" applyFill="1" applyBorder="1" applyAlignment="1">
      <alignment vertical="center"/>
    </xf>
    <xf numFmtId="3" fontId="9" fillId="4" borderId="6" xfId="0" applyNumberFormat="1" applyFont="1" applyFill="1" applyBorder="1" applyAlignment="1">
      <alignment vertical="center"/>
    </xf>
    <xf numFmtId="2" fontId="9" fillId="4" borderId="5" xfId="0" applyNumberFormat="1" applyFont="1" applyFill="1" applyBorder="1" applyAlignment="1">
      <alignment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4">
    <cellStyle name="Normal 2" xfId="2" xr:uid="{2E67A28E-2CC7-4C18-A503-C2C2C409D682}"/>
    <cellStyle name="Normal 2 2" xfId="1" xr:uid="{82B5BB6B-80E9-4A60-BACF-54C1217BF7F9}"/>
    <cellStyle name="Normal 3 3" xfId="3" xr:uid="{3BAAEFE6-7287-4539-9CCE-C1E9FEC19F4B}"/>
    <cellStyle name="Normalny" xfId="0" builtinId="0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FF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FF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protection locked="0" hidden="0"/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/>
        <bottom/>
      </border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border outline="0">
        <top style="medium">
          <color theme="1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theme="1" tint="0.34998626667073579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4" formatCode="#,##0.0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charset val="238"/>
        <scheme val="none"/>
      </font>
      <numFmt numFmtId="30" formatCode="@"/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charset val="238"/>
        <scheme val="none"/>
      </font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00"/>
        <name val="Arial"/>
        <family val="2"/>
        <charset val="238"/>
        <scheme val="none"/>
      </font>
      <numFmt numFmtId="4" formatCode="#,##0.00"/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Kowalczyk" refreshedDate="46059.732070254628" createdVersion="8" refreshedVersion="8" minRefreshableVersion="3" recordCount="63" xr:uid="{CDC52338-D542-435D-BA78-D9316A1987D2}">
  <cacheSource type="worksheet">
    <worksheetSource ref="A1:X64" sheet="25 Mapowanie Bilans"/>
  </cacheSource>
  <cacheFields count="24">
    <cacheField name="Rodzaj1" numFmtId="49">
      <sharedItems/>
    </cacheField>
    <cacheField name="Rodzaj2" numFmtId="49">
      <sharedItems count="4">
        <s v="A. Aktywa trwałe     "/>
        <s v="B. Aktywa obrotowe     "/>
        <s v="B. Zobowiązania i rezerwy na zobowiązania "/>
        <s v="A. Kapitał (fundusz) własny "/>
      </sharedItems>
    </cacheField>
    <cacheField name="Rodzaj3" numFmtId="49">
      <sharedItems count="11">
        <s v="I. Wartości niematerialne i prawne     "/>
        <s v="II. Rzeczowe aktywa trwałe      "/>
        <s v="V. Długoterminowe rozliczenia międzyokresowe     "/>
        <s v="II. Należności krótkoterminowe     "/>
        <s v="III. Zobowiązania krótkoterminowe "/>
        <s v="IV. Krótkoterminowe rozliczenia międzyokresowe     "/>
        <s v="III. Inwestycje krótkoterminowe     "/>
        <s v="I. Kapitał (fundusz) podstawowy"/>
        <s v="V. Zysk/ (strata) z lat ubiegłych"/>
        <s v="I. Rezerwy na zobowiązania"/>
        <s v="VI. Zysk/ (strata) netto"/>
      </sharedItems>
    </cacheField>
    <cacheField name="Rodzaj4" numFmtId="49">
      <sharedItems containsBlank="1"/>
    </cacheField>
    <cacheField name="Rodzaj5" numFmtId="49">
      <sharedItems containsBlank="1"/>
    </cacheField>
    <cacheField name="Rodzaj6" numFmtId="49">
      <sharedItems containsBlank="1"/>
    </cacheField>
    <cacheField name="Numer konta" numFmtId="0">
      <sharedItems containsString="0" containsBlank="1" containsNumber="1" containsInteger="1" minValue="11000100" maxValue="65526100"/>
    </cacheField>
    <cacheField name="Nazwa konta" numFmtId="2">
      <sharedItems/>
    </cacheField>
    <cacheField name="Rodzaj konta_x000a_(bilansowe/wynikowe)" numFmtId="0">
      <sharedItems containsBlank="1"/>
    </cacheField>
    <cacheField name="2025/Jan" numFmtId="0">
      <sharedItems containsSemiMixedTypes="0" containsString="0" containsNumber="1" minValue="-96008975.519999996" maxValue="91020851.159999996"/>
    </cacheField>
    <cacheField name="2025/Feb" numFmtId="0">
      <sharedItems containsSemiMixedTypes="0" containsString="0" containsNumber="1" minValue="-1876903.45" maxValue="1861827"/>
    </cacheField>
    <cacheField name="2025/Mar" numFmtId="0">
      <sharedItems containsSemiMixedTypes="0" containsString="0" containsNumber="1" minValue="-1795000" maxValue="1765359.8599999999"/>
    </cacheField>
    <cacheField name="2025/Apr" numFmtId="0">
      <sharedItems containsSemiMixedTypes="0" containsString="0" containsNumber="1" minValue="-450774.19" maxValue="1458033"/>
    </cacheField>
    <cacheField name="2025/May" numFmtId="0">
      <sharedItems containsSemiMixedTypes="0" containsString="0" containsNumber="1" minValue="-955819" maxValue="492565.76000000001"/>
    </cacheField>
    <cacheField name="2025/Jun" numFmtId="0">
      <sharedItems containsSemiMixedTypes="0" containsString="0" containsNumber="1" minValue="-728950" maxValue="589860.22"/>
    </cacheField>
    <cacheField name="2025/Jul" numFmtId="0">
      <sharedItems containsSemiMixedTypes="0" containsString="0" containsNumber="1" minValue="-655795.8899999999" maxValue="633951.25999999046"/>
    </cacheField>
    <cacheField name="2025/Aug" numFmtId="0">
      <sharedItems containsSemiMixedTypes="0" containsString="0" containsNumber="1" minValue="-123113.26999999909" maxValue="88363"/>
    </cacheField>
    <cacheField name="2025/Sep" numFmtId="0">
      <sharedItems containsSemiMixedTypes="0" containsString="0" containsNumber="1" minValue="-321922.68999999994" maxValue="321922.69"/>
    </cacheField>
    <cacheField name="2025/Oct" numFmtId="0">
      <sharedItems containsSemiMixedTypes="0" containsString="0" containsNumber="1" minValue="-53572" maxValue="129897.99000000954"/>
    </cacheField>
    <cacheField name="2025/Nov" numFmtId="0">
      <sharedItems containsSemiMixedTypes="0" containsString="0" containsNumber="1" minValue="-47007.4300000004" maxValue="69099.47"/>
    </cacheField>
    <cacheField name="2025/Dec" numFmtId="0">
      <sharedItems containsSemiMixedTypes="0" containsString="0" containsNumber="1" minValue="-1452460.8" maxValue="1433122.26"/>
    </cacheField>
    <cacheField name="BZ" numFmtId="0">
      <sharedItems containsSemiMixedTypes="0" containsString="0" containsNumber="1" minValue="-96359139.099999994" maxValue="91020846.840000004"/>
    </cacheField>
    <cacheField name="BZ 2025" numFmtId="4">
      <sharedItems containsSemiMixedTypes="0" containsString="0" containsNumber="1" minValue="-96359139.099999994" maxValue="91020846.840000004"/>
    </cacheField>
    <cacheField name="Check:" numFmtId="4">
      <sharedItems containsSemiMixedTypes="0" containsString="0" containsNumber="1" minValue="0" maxValue="2.3646862246096134E-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Kowalczyk" refreshedDate="46059.751692939812" createdVersion="8" refreshedVersion="8" minRefreshableVersion="3" recordCount="60" xr:uid="{336E0FEB-1302-4587-A662-E10A47FE5457}">
  <cacheSource type="worksheet">
    <worksheetSource ref="A1:X61" sheet="24 Bilans Mapowanie"/>
  </cacheSource>
  <cacheFields count="24">
    <cacheField name="Rodzaj1" numFmtId="0">
      <sharedItems/>
    </cacheField>
    <cacheField name="Rodzaj2" numFmtId="0">
      <sharedItems count="4">
        <s v="A. Aktywa trwałe     "/>
        <s v="B. Aktywa obrotowe     "/>
        <s v="B. Zobowiązania i rezerwy na zobowiązania "/>
        <s v="A. Kapitał (fundusz) własny "/>
      </sharedItems>
    </cacheField>
    <cacheField name="Rodzaj3" numFmtId="0">
      <sharedItems count="11">
        <s v="I. Wartości niematerialne i prawne     "/>
        <s v="II. Rzeczowe aktywa trwałe      "/>
        <s v="V. Długoterminowe rozliczenia międzyokresowe     "/>
        <s v="II. Należności krótkoterminowe     "/>
        <s v="III. Zobowiązania krótkoterminowe "/>
        <s v="IV. Krótkoterminowe rozliczenia międzyokresowe     "/>
        <s v="III. Inwestycje krótkoterminowe     "/>
        <s v="I. Kapitał (fundusz) podstawowy"/>
        <s v="V. Zysk/ (strata) z lat ubiegłych"/>
        <s v="I. Rezerwy na zobowiązania"/>
        <s v="VI. Zysk/ (strata) netto"/>
      </sharedItems>
    </cacheField>
    <cacheField name="Rodzaj4" numFmtId="0">
      <sharedItems containsBlank="1"/>
    </cacheField>
    <cacheField name="Rodzaj5" numFmtId="0">
      <sharedItems containsBlank="1"/>
    </cacheField>
    <cacheField name="Rodzaj6" numFmtId="0">
      <sharedItems containsBlank="1"/>
    </cacheField>
    <cacheField name="Numer konta" numFmtId="0">
      <sharedItems containsString="0" containsBlank="1" containsNumber="1" containsInteger="1" minValue="11000100" maxValue="36500010"/>
    </cacheField>
    <cacheField name="Nazwa konta" numFmtId="2">
      <sharedItems/>
    </cacheField>
    <cacheField name="Rodzaj konta_x000a_(bilansowe/wynikowe)" numFmtId="0">
      <sharedItems containsBlank="1"/>
    </cacheField>
    <cacheField name="2024/Jan" numFmtId="0">
      <sharedItems containsString="0" containsBlank="1" containsNumber="1" minValue="-90991394.290000007" maxValue="96164743.209999993"/>
    </cacheField>
    <cacheField name="2024/Feb" numFmtId="0">
      <sharedItems containsString="0" containsBlank="1" containsNumber="1" minValue="-2200425" maxValue="1850899"/>
    </cacheField>
    <cacheField name="2024/Mar" numFmtId="0">
      <sharedItems containsString="0" containsBlank="1" containsNumber="1" minValue="-353554" maxValue="229502.0399999998"/>
    </cacheField>
    <cacheField name="2024/Apr" numFmtId="0">
      <sharedItems containsString="0" containsBlank="1" containsNumber="1" minValue="-1200077.02" maxValue="1231452.96"/>
    </cacheField>
    <cacheField name="2024/May" numFmtId="0">
      <sharedItems containsString="0" containsBlank="1" containsNumber="1" minValue="-1787117.0700000005" maxValue="1621954.9200000018"/>
    </cacheField>
    <cacheField name="2024/Jun" numFmtId="0">
      <sharedItems containsString="0" containsBlank="1" containsNumber="1" minValue="-574892.53999999992" maxValue="1344860"/>
    </cacheField>
    <cacheField name="2024/Jul" numFmtId="0">
      <sharedItems containsString="0" containsBlank="1" containsNumber="1" minValue="-1138638.6099999994" maxValue="700535.62999999989"/>
    </cacheField>
    <cacheField name="2024/Aug" numFmtId="0">
      <sharedItems containsString="0" containsBlank="1" containsNumber="1" minValue="-754052.84" maxValue="1136584.7000000002"/>
    </cacheField>
    <cacheField name="2024/Sep" numFmtId="0">
      <sharedItems containsString="0" containsBlank="1" containsNumber="1" minValue="-1211578.8599999999" maxValue="748405.94"/>
    </cacheField>
    <cacheField name="2024/Oct" numFmtId="0">
      <sharedItems containsString="0" containsBlank="1" containsNumber="1" minValue="-300040.00000000047" maxValue="290185.12"/>
    </cacheField>
    <cacheField name="2024/Nov" numFmtId="0">
      <sharedItems containsSemiMixedTypes="0" containsString="0" containsNumber="1" minValue="-64469.849999999933" maxValue="109214.94000000069"/>
    </cacheField>
    <cacheField name="2024/Dec" numFmtId="0">
      <sharedItems containsSemiMixedTypes="0" containsString="0" containsNumber="1" minValue="-1729855" maxValue="1419719"/>
    </cacheField>
    <cacheField name="BZ" numFmtId="0">
      <sharedItems containsSemiMixedTypes="0" containsString="0" containsNumber="1" minValue="-91020851.159999996" maxValue="96428830.519999996"/>
    </cacheField>
    <cacheField name="BZ 2024" numFmtId="0">
      <sharedItems containsSemiMixedTypes="0" containsString="0" containsNumber="1" minValue="-91020851.159999996" maxValue="96428830.519999996"/>
    </cacheField>
    <cacheField name="Check: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Kowalczyk" refreshedDate="46059.753884259262" createdVersion="8" refreshedVersion="8" minRefreshableVersion="3" recordCount="60" xr:uid="{FAD59322-2BE9-47F1-BFC7-AAAF81198E8B}">
  <cacheSource type="worksheet">
    <worksheetSource ref="A1:X61" sheet="24 Bilans Mapowanie A+"/>
  </cacheSource>
  <cacheFields count="24">
    <cacheField name="Rodzaj1" numFmtId="0">
      <sharedItems/>
    </cacheField>
    <cacheField name="Rodzaj2" numFmtId="0">
      <sharedItems count="4">
        <s v="A. Aktywa trwałe     "/>
        <s v="B. Aktywa obrotowe     "/>
        <s v="B. Zobowiązania i rezerwy na zobowiązania "/>
        <s v="A. Kapitał (fundusz) własny "/>
      </sharedItems>
    </cacheField>
    <cacheField name="Rodzaj3" numFmtId="0">
      <sharedItems count="11">
        <s v="I. Wartości niematerialne i prawne     "/>
        <s v="II. Rzeczowe aktywa trwałe      "/>
        <s v="V. Długoterminowe rozliczenia międzyokresowe     "/>
        <s v="II. Należności krótkoterminowe     "/>
        <s v="III. Zobowiązania krótkoterminowe "/>
        <s v="IV. Krótkoterminowe rozliczenia międzyokresowe     "/>
        <s v="III. Inwestycje krótkoterminowe     "/>
        <s v="I. Kapitał (fundusz) podstawowy"/>
        <s v="V. Zysk/ (strata) z lat ubiegłych"/>
        <s v="I. Rezerwy na zobowiązania"/>
        <s v="VI. Zysk/ (strata) netto"/>
      </sharedItems>
    </cacheField>
    <cacheField name="Rodzaj4" numFmtId="0">
      <sharedItems containsBlank="1" count="17">
        <s v="3. Inne wartości niematerialne i prawne     "/>
        <s v="1. Środki trwałe     "/>
        <s v="2. Środki trwałe w budowie     "/>
        <s v="2. Inne rozliczenia międzyokresowe     "/>
        <s v="1. Aktywa z tytułu odroczonego podatku dochodowego     "/>
        <s v="3. Należności od pozostałych jednostek     "/>
        <s v="3. Należności od pozostałych jednostek"/>
        <s v="1. Należności od jednostek powiązanych     "/>
        <s v="3. Zobowiązania wobec pozostałych jednostek "/>
        <s v="2. Należności od jednostek powiązanych"/>
        <s v=""/>
        <s v="3. Zaliczki na środki trwałe"/>
        <s v="1. Krótkoterminowe aktywa finansowe"/>
        <s v="2. Rezerwa na świadczenia emerytalne i podobne "/>
        <s v="3. Pozostałe rezerwy "/>
        <s v="3. Zobowiązania wobec pozostałych jednostek"/>
        <m/>
      </sharedItems>
    </cacheField>
    <cacheField name="Rodzaj5" numFmtId="0">
      <sharedItems containsBlank="1" count="16">
        <m/>
        <s v="b) budynki, lokale, prawa do lokali i obiekty inżynierii lądowej i wodnej"/>
        <s v="c) urządzenia techniczne i maszyny "/>
        <s v="e) inne środki trwałe"/>
        <s v="d) środki transportu"/>
        <s v="a) z tytułu dostaw i usług, o okresie spłaty: "/>
        <s v="c) inne"/>
        <s v="i) inne"/>
        <s v="b) inne"/>
        <s v="g) z tytułu podatków, ceł, ubezpieczeń społecznych i zdrowotnych oraz innych tytułów publicznoprawnych"/>
        <s v="b) z tytułu podatków, dotacji, ceł, ubezpieczeń społecznych _x000a_     i zdrowotnych oraz innych tytułów publicznoprawnych"/>
        <s v="c) środki pieniężne i inne aktywa pieniężne"/>
        <s v="a) długoterminowe    "/>
        <s v="b) krótkoterminowe     "/>
        <s v="h) z tytułu wynagrodzeń "/>
        <s v="d) z tytułu dostaw i usług, o okresie wymagalności: "/>
      </sharedItems>
    </cacheField>
    <cacheField name="Rodzaj6" numFmtId="0">
      <sharedItems containsBlank="1"/>
    </cacheField>
    <cacheField name="Numer konta" numFmtId="0">
      <sharedItems containsString="0" containsBlank="1" containsNumber="1" containsInteger="1" minValue="11000100" maxValue="36500010"/>
    </cacheField>
    <cacheField name="Nazwa konta" numFmtId="2">
      <sharedItems/>
    </cacheField>
    <cacheField name="Rodzaj konta_x000a_(bilansowe/wynikowe)" numFmtId="0">
      <sharedItems containsBlank="1"/>
    </cacheField>
    <cacheField name="2024/Jan" numFmtId="0">
      <sharedItems containsString="0" containsBlank="1" containsNumber="1" minValue="-1472042.17" maxValue="96164743.209999993"/>
    </cacheField>
    <cacheField name="2024/Feb" numFmtId="0">
      <sharedItems containsString="0" containsBlank="1" containsNumber="1" minValue="-2200425" maxValue="440442.24000000022"/>
    </cacheField>
    <cacheField name="2024/Mar" numFmtId="0">
      <sharedItems containsString="0" containsBlank="1" containsNumber="1" minValue="-353554" maxValue="229502.0399999998"/>
    </cacheField>
    <cacheField name="2024/Apr" numFmtId="0">
      <sharedItems containsString="0" containsBlank="1" containsNumber="1" minValue="-1231452.96" maxValue="1200077.02"/>
    </cacheField>
    <cacheField name="2024/May" numFmtId="0">
      <sharedItems containsString="0" containsBlank="1" containsNumber="1" minValue="-1787117.0700000005" maxValue="1621954.9200000018"/>
    </cacheField>
    <cacheField name="2024/Jun" numFmtId="0">
      <sharedItems containsString="0" containsBlank="1" containsNumber="1" minValue="-557948" maxValue="1344860"/>
    </cacheField>
    <cacheField name="2024/Jul" numFmtId="0">
      <sharedItems containsString="0" containsBlank="1" containsNumber="1" minValue="-1138638.6099999994" maxValue="700535.62999999989"/>
    </cacheField>
    <cacheField name="2024/Aug" numFmtId="0">
      <sharedItems containsString="0" containsBlank="1" containsNumber="1" minValue="-754052.84" maxValue="1136584.7000000002"/>
    </cacheField>
    <cacheField name="2024/Sep" numFmtId="0">
      <sharedItems containsString="0" containsBlank="1" containsNumber="1" minValue="-1211578.8599999999" maxValue="748405.94"/>
    </cacheField>
    <cacheField name="2024/Oct" numFmtId="0">
      <sharedItems containsString="0" containsBlank="1" containsNumber="1" minValue="-300040.00000000047" maxValue="204362.27999999997"/>
    </cacheField>
    <cacheField name="2024/Nov" numFmtId="0">
      <sharedItems containsSemiMixedTypes="0" containsString="0" containsNumber="1" minValue="-109214.94000000069" maxValue="64469.849999999933"/>
    </cacheField>
    <cacheField name="2024/Dec" numFmtId="0">
      <sharedItems containsSemiMixedTypes="0" containsString="0" containsNumber="1" minValue="-328972.15000000002" maxValue="1729855"/>
    </cacheField>
    <cacheField name="BZ" numFmtId="0">
      <sharedItems containsSemiMixedTypes="0" containsString="0" containsNumber="1" minValue="-1662630.42" maxValue="96428830.519999996"/>
    </cacheField>
    <cacheField name="BZ 2024" numFmtId="0">
      <sharedItems containsSemiMixedTypes="0" containsString="0" containsNumber="1" minValue="-1662630.42" maxValue="96428830.519999996"/>
    </cacheField>
    <cacheField name="Check: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Kowalczyk" refreshedDate="46059.759895023148" createdVersion="8" refreshedVersion="8" minRefreshableVersion="3" recordCount="63" xr:uid="{5D7D16E6-89E4-4FFD-A1B3-5E334E92690B}">
  <cacheSource type="worksheet">
    <worksheetSource name="_25B"/>
  </cacheSource>
  <cacheFields count="24">
    <cacheField name="Rodzaj1" numFmtId="49">
      <sharedItems/>
    </cacheField>
    <cacheField name="Rodzaj2" numFmtId="49">
      <sharedItems count="4">
        <s v="A. Aktywa trwałe     "/>
        <s v="B. Aktywa obrotowe     "/>
        <s v="B. Zobowiązania i rezerwy na zobowiązania "/>
        <s v="A. Kapitał (fundusz) własny "/>
      </sharedItems>
    </cacheField>
    <cacheField name="Rodzaj3" numFmtId="49">
      <sharedItems count="11">
        <s v="I. Wartości niematerialne i prawne     "/>
        <s v="II. Rzeczowe aktywa trwałe      "/>
        <s v="V. Długoterminowe rozliczenia międzyokresowe     "/>
        <s v="II. Należności krótkoterminowe     "/>
        <s v="III. Zobowiązania krótkoterminowe "/>
        <s v="IV. Krótkoterminowe rozliczenia międzyokresowe     "/>
        <s v="III. Inwestycje krótkoterminowe     "/>
        <s v="I. Kapitał (fundusz) podstawowy"/>
        <s v="V. Zysk/ (strata) z lat ubiegłych"/>
        <s v="I. Rezerwy na zobowiązania"/>
        <s v="VI. Zysk/ (strata) netto"/>
      </sharedItems>
    </cacheField>
    <cacheField name="Rodzaj4" numFmtId="49">
      <sharedItems containsBlank="1" count="19">
        <s v="3. Inne wartości niematerialne i prawne     "/>
        <s v="1. Środki trwałe     "/>
        <s v="2. Środki trwałe w budowie     "/>
        <s v="2. Inne rozliczenia międzyokresowe     "/>
        <s v="3. Należności od pozostałych jednostek     "/>
        <s v="3. Należności od pozostałych jednostek"/>
        <s v="1. Należności od jednostek powiązanych     "/>
        <s v="3. Zobowiązania wobec pozostałych jednostek "/>
        <s v="2. Należności od jednostek powiązanych"/>
        <s v=""/>
        <s v="1. Krótkoterminowe aktywa finansowe"/>
        <s v="2. Rezerwa na świadczenia emerytalne i podobne "/>
        <s v="3. Pozostałe rezerwy "/>
        <s v="1. Aktywa z tytułu odroczonego podatku dochodowego     "/>
        <s v="3. Zobowiązania wobec pozostałych jednostek"/>
        <s v="3. Zaliczki na środki trwałe"/>
        <s v="3. Inne aktywa finansowe"/>
        <s v="1. Rezerwa z tytułu odroczonego podatku dochodowego"/>
        <m/>
      </sharedItems>
    </cacheField>
    <cacheField name="Rodzaj5" numFmtId="49">
      <sharedItems containsBlank="1" count="16">
        <m/>
        <s v="b) budynki, lokale, prawa do lokali i obiekty inżynierii lądowej i wodnej"/>
        <s v="c) urządzenia techniczne i maszyny "/>
        <s v="e) inne środki trwałe"/>
        <s v="d) środki transportu"/>
        <s v="a) z tytułu dostaw i usług, o okresie spłaty: "/>
        <s v="c) inne"/>
        <s v="i) inne"/>
        <s v="b) inne"/>
        <s v="g) z tytułu podatków, ceł, ubezpieczeń społecznych i zdrowotnych oraz innych tytułów publicznoprawnych"/>
        <s v="b) z tytułu podatków, dotacji, ceł, ubezpieczeń społecznych _x000a_     i zdrowotnych oraz innych tytułów publicznoprawnych"/>
        <s v="c) środki pieniężne i inne aktywa pieniężne"/>
        <s v="a) długoterminowe    "/>
        <s v="b) krótkoterminowe     "/>
        <s v="d) z tytułu dostaw i usług, o okresie wymagalności: "/>
        <s v="h) z tytułu wynagrodzeń "/>
      </sharedItems>
    </cacheField>
    <cacheField name="Rodzaj6" numFmtId="49">
      <sharedItems containsBlank="1" count="3">
        <m/>
        <s v="- do 12 miesięcy"/>
        <s v="- środki pieniężne w kasie i na rachunkach"/>
      </sharedItems>
    </cacheField>
    <cacheField name="Numer konta" numFmtId="0">
      <sharedItems containsString="0" containsBlank="1" containsNumber="1" containsInteger="1" minValue="11000100" maxValue="65526100"/>
    </cacheField>
    <cacheField name="Nazwa konta" numFmtId="2">
      <sharedItems/>
    </cacheField>
    <cacheField name="Rodzaj konta_x000a_(bilansowe/wynikowe)" numFmtId="0">
      <sharedItems containsBlank="1"/>
    </cacheField>
    <cacheField name="2025/Jan" numFmtId="0">
      <sharedItems containsSemiMixedTypes="0" containsString="0" containsNumber="1" minValue="-1679956.62" maxValue="96008975.519999996" count="50">
        <n v="77463.009999999995"/>
        <n v="-59859.51"/>
        <n v="8316576.9500000002"/>
        <n v="-1679956.62"/>
        <n v="204102.98"/>
        <n v="-43327.35"/>
        <n v="1021948.24"/>
        <n v="-1009268.7"/>
        <n v="1071105.06"/>
        <n v="-985003.34"/>
        <n v="1042482.44"/>
        <n v="-881165.3"/>
        <n v="159228"/>
        <n v="15147.43"/>
        <n v="0"/>
        <n v="1206.04"/>
        <n v="91020851.159999996"/>
        <n v="96008975.519999996"/>
        <n v="7065.52"/>
        <n v="368039"/>
        <n v="621569.04"/>
        <n v="2135.36"/>
        <n v="-11714.43"/>
        <n v="62811.57"/>
        <n v="17661.79"/>
        <n v="73896.98"/>
        <n v="7177.18"/>
        <n v="20275.14"/>
        <n v="1038.47"/>
        <n v="4724.93"/>
        <n v="19532.080000000002"/>
        <n v="50000"/>
        <n v="1892451.04"/>
        <n v="337223.54"/>
        <n v="515308"/>
        <n v="1458033"/>
        <n v="740835.59"/>
        <n v="27350"/>
        <n v="24764.080000000002"/>
        <n v="1877205"/>
        <n v="584"/>
        <n v="87869.07"/>
        <n v="236.89"/>
        <n v="87880"/>
        <n v="433622.1"/>
        <n v="121.1"/>
        <n v="520903.26"/>
        <n v="717622"/>
        <n v="35.57"/>
        <n v="181516.08000000054"/>
      </sharedItems>
    </cacheField>
    <cacheField name="2025/Feb" numFmtId="0">
      <sharedItems containsSemiMixedTypes="0" containsString="0" containsNumber="1" minValue="-1876903.45" maxValue="179485.22000000003" count="35">
        <n v="0"/>
        <n v="-926.5"/>
        <n v="-17326.199999999953"/>
        <n v="-313.45000000000437"/>
        <n v="6806.5100000000093"/>
        <n v="-3437.1500000000233"/>
        <n v="343.89999999990687"/>
        <n v="-579"/>
        <n v="-16101"/>
        <n v="769.25"/>
        <n v="-5000"/>
        <n v="-1861827"/>
        <n v="4799.41"/>
        <n v="35064"/>
        <n v="25400.770000000019"/>
        <n v="-678.77000000000021"/>
        <n v="15089.74"/>
        <n v="10000"/>
        <n v="-6281.0999999999985"/>
        <n v="-2812.4300000000003"/>
        <n v="179485.22000000003"/>
        <n v="-121.44000000000051"/>
        <n v="-1344.0299999999988"/>
        <n v="-525"/>
        <n v="-132.92000000000007"/>
        <n v="-2375"/>
        <n v="-11201.760000000002"/>
        <n v="-1876903.45"/>
        <n v="-412.01000000000931"/>
        <n v="-1028"/>
        <n v="-10204.509999999951"/>
        <n v="3.0000000000001137E-2"/>
        <n v="-451.25"/>
        <n v="-35.57"/>
        <n v="161780.99"/>
      </sharedItems>
    </cacheField>
    <cacheField name="2025/Mar" numFmtId="0">
      <sharedItems containsSemiMixedTypes="0" containsString="0" containsNumber="1" minValue="-152490.18999999994" maxValue="1795000"/>
    </cacheField>
    <cacheField name="2025/Apr" numFmtId="0">
      <sharedItems containsSemiMixedTypes="0" containsString="0" containsNumber="1" minValue="-1458033" maxValue="450774.19"/>
    </cacheField>
    <cacheField name="2025/May" numFmtId="0">
      <sharedItems containsSemiMixedTypes="0" containsString="0" containsNumber="1" minValue="-492565.76000000001" maxValue="955819"/>
    </cacheField>
    <cacheField name="2025/Jun" numFmtId="0">
      <sharedItems containsSemiMixedTypes="0" containsString="0" containsNumber="1" minValue="-728950" maxValue="589860.22"/>
    </cacheField>
    <cacheField name="2025/Jul" numFmtId="0">
      <sharedItems containsSemiMixedTypes="0" containsString="0" containsNumber="1" minValue="-655795.8899999999" maxValue="85949.16"/>
    </cacheField>
    <cacheField name="2025/Aug" numFmtId="0">
      <sharedItems containsSemiMixedTypes="0" containsString="0" containsNumber="1" minValue="-88363" maxValue="123113.26999999909"/>
    </cacheField>
    <cacheField name="2025/Sep" numFmtId="0">
      <sharedItems containsSemiMixedTypes="0" containsString="0" containsNumber="1" minValue="-321922.69" maxValue="321922.68999999994"/>
    </cacheField>
    <cacheField name="2025/Oct" numFmtId="0">
      <sharedItems containsSemiMixedTypes="0" containsString="0" containsNumber="1" minValue="-129897.99000000954" maxValue="53572"/>
    </cacheField>
    <cacheField name="2025/Nov" numFmtId="0">
      <sharedItems containsSemiMixedTypes="0" containsString="0" containsNumber="1" minValue="-38893.130000000121" maxValue="69099.47"/>
    </cacheField>
    <cacheField name="2025/Dec" numFmtId="0">
      <sharedItems containsSemiMixedTypes="0" containsString="0" containsNumber="1" minValue="-358162.53" maxValue="1452460.8"/>
    </cacheField>
    <cacheField name="BZ" numFmtId="0">
      <sharedItems containsSemiMixedTypes="0" containsString="0" containsNumber="1" minValue="-1870544.84" maxValue="96359139.099999994"/>
    </cacheField>
    <cacheField name="BZ 2025" numFmtId="0">
      <sharedItems containsSemiMixedTypes="0" containsString="0" containsNumber="1" minValue="-1870544.84" maxValue="96359139.099999994"/>
    </cacheField>
    <cacheField name="Check:" numFmtId="0">
      <sharedItems containsSemiMixedTypes="0" containsString="0" containsNumber="1" minValue="-2.3646862246096134E-1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Kowalczyk" refreshedDate="46065.735840740737" createdVersion="8" refreshedVersion="8" minRefreshableVersion="3" recordCount="101" xr:uid="{B98AFA27-E7FB-4916-B1C6-6004EE9EEFF0}">
  <cacheSource type="worksheet">
    <worksheetSource name="_24"/>
  </cacheSource>
  <cacheFields count="19">
    <cacheField name="Rodzaj1" numFmtId="0">
      <sharedItems/>
    </cacheField>
    <cacheField name="Rodzaj2" numFmtId="2">
      <sharedItems count="7">
        <s v="A. Przychody netto ze sprzedaży i zrównane z nimi, w tym:"/>
        <s v="D. Pozostałe przychody operacyjne"/>
        <s v="B. Koszty działalności operacyjnej"/>
        <s v="E. Pozostałe koszty operacyjne"/>
        <s v="H. Koszty finansowe"/>
        <s v="G. Przychody finansowe"/>
        <s v="J. Podatek dochodowy"/>
      </sharedItems>
    </cacheField>
    <cacheField name="Rodzaj3" numFmtId="2">
      <sharedItems containsBlank="1"/>
    </cacheField>
    <cacheField name="Numer konta" numFmtId="3">
      <sharedItems containsSemiMixedTypes="0" containsString="0" containsNumber="1" containsInteger="1" minValue="44000000" maxValue="70000000"/>
    </cacheField>
    <cacheField name="Nazwa konta" numFmtId="2">
      <sharedItems/>
    </cacheField>
    <cacheField name="Rodzaj konta_x000a_(bilansowe/wynikowe)" numFmtId="2">
      <sharedItems/>
    </cacheField>
    <cacheField name="2024-01" numFmtId="4">
      <sharedItems containsString="0" containsBlank="1" containsNumber="1" minValue="-33.21" maxValue="1850899"/>
    </cacheField>
    <cacheField name="2024-02" numFmtId="4">
      <sharedItems containsString="0" containsBlank="1" containsNumber="1" minValue="-2700.1499999999996" maxValue="1937526"/>
    </cacheField>
    <cacheField name="2024-03" numFmtId="4">
      <sharedItems containsString="0" containsBlank="1" containsNumber="1" minValue="-234.37" maxValue="1838554"/>
    </cacheField>
    <cacheField name="2024-04" numFmtId="4">
      <sharedItems containsString="0" containsBlank="1" containsNumber="1" minValue="-5.0799999999999841" maxValue="453584"/>
    </cacheField>
    <cacheField name="2024-05" numFmtId="4">
      <sharedItems containsString="0" containsBlank="1" containsNumber="1" minValue="-280674" maxValue="1922476.31"/>
    </cacheField>
    <cacheField name="2024-06" numFmtId="4">
      <sharedItems containsString="0" containsBlank="1" containsNumber="1" minValue="-2.4000000000000341" maxValue="1520140"/>
    </cacheField>
    <cacheField name="2024-07" numFmtId="4">
      <sharedItems containsString="0" containsBlank="1" containsNumber="1" minValue="-9.9999999999909051E-3" maxValue="2331123"/>
    </cacheField>
    <cacheField name="2024-08" numFmtId="4">
      <sharedItems containsString="0" containsBlank="1" containsNumber="1" minValue="-544.48999999999978" maxValue="1636000"/>
    </cacheField>
    <cacheField name="2024-09" numFmtId="4">
      <sharedItems containsString="0" containsBlank="1" containsNumber="1" minValue="-32507.47" maxValue="2043198.42"/>
    </cacheField>
    <cacheField name="2024-10" numFmtId="4">
      <sharedItems containsString="0" containsBlank="1" containsNumber="1" minValue="-46549.18" maxValue="1635000"/>
    </cacheField>
    <cacheField name="2024-11" numFmtId="4">
      <sharedItems containsSemiMixedTypes="0" containsString="0" containsNumber="1" minValue="-139249.28" maxValue="1635000"/>
    </cacheField>
    <cacheField name="2024-12" numFmtId="4">
      <sharedItems containsSemiMixedTypes="0" containsString="0" containsNumber="1" minValue="-1081873.26" maxValue="3364855"/>
    </cacheField>
    <cacheField name="2024" numFmtId="4">
      <sharedItems containsSemiMixedTypes="0" containsString="0" containsNumber="1" minValue="-26873.41" maxValue="213588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Kowalczyk" refreshedDate="46065.736395254629" createdVersion="8" refreshedVersion="8" minRefreshableVersion="3" recordCount="106" xr:uid="{5B88305F-A2BC-48E2-ACA3-C00F9DC9CE51}">
  <cacheSource type="worksheet">
    <worksheetSource name="_25"/>
  </cacheSource>
  <cacheFields count="19">
    <cacheField name="Rodzaj1" numFmtId="0">
      <sharedItems/>
    </cacheField>
    <cacheField name="Rodzaj2" numFmtId="49">
      <sharedItems count="7">
        <s v="A. Przychody netto ze sprzedaży i zrównane z nimi, w tym:"/>
        <s v="B. Koszty działalności operacyjnej"/>
        <s v="D. Pozostałe przychody operacyjne"/>
        <s v="E. Pozostałe koszty operacyjne"/>
        <s v="H. Koszty finansowe"/>
        <s v="G. Przychody finansowe"/>
        <s v="J. Podatek dochodowy"/>
      </sharedItems>
    </cacheField>
    <cacheField name="Rodzaj3" numFmtId="0">
      <sharedItems containsBlank="1"/>
    </cacheField>
    <cacheField name="Numer konta" numFmtId="0">
      <sharedItems containsSemiMixedTypes="0" containsString="0" containsNumber="1" containsInteger="1" minValue="44000000" maxValue="70000000"/>
    </cacheField>
    <cacheField name="Nazwa konta" numFmtId="2">
      <sharedItems/>
    </cacheField>
    <cacheField name="Rodzaj konta_x000a_(bilansowe/wynikowe)" numFmtId="0">
      <sharedItems/>
    </cacheField>
    <cacheField name="2025-01" numFmtId="4">
      <sharedItems containsSemiMixedTypes="0" containsString="0" containsNumber="1" minValue="-35000" maxValue="1877205"/>
    </cacheField>
    <cacheField name="2025-02" numFmtId="4">
      <sharedItems containsSemiMixedTypes="0" containsString="0" containsNumber="1" minValue="-5987.0099999999984" maxValue="1844622"/>
    </cacheField>
    <cacheField name="2025-03" numFmtId="4">
      <sharedItems containsSemiMixedTypes="0" containsString="0" containsNumber="1" minValue="-15628.310000000001" maxValue="1802379"/>
    </cacheField>
    <cacheField name="2025-04" numFmtId="4">
      <sharedItems containsSemiMixedTypes="0" containsString="0" containsNumber="1" minValue="-241383" maxValue="1430181"/>
    </cacheField>
    <cacheField name="2025-05" numFmtId="4">
      <sharedItems containsSemiMixedTypes="0" containsString="0" containsNumber="1" minValue="-1000" maxValue="1741817"/>
    </cacheField>
    <cacheField name="2025-06" numFmtId="4">
      <sharedItems containsSemiMixedTypes="0" containsString="0" containsNumber="1" minValue="-3111.1699999999996" maxValue="1686073"/>
    </cacheField>
    <cacheField name="2025-07" numFmtId="4">
      <sharedItems containsSemiMixedTypes="0" containsString="0" containsNumber="1" minValue="-653.32000000000016" maxValue="1733363"/>
    </cacheField>
    <cacheField name="2025-08" numFmtId="4">
      <sharedItems containsSemiMixedTypes="0" containsString="0" containsNumber="1" minValue="-4000" maxValue="1733363"/>
    </cacheField>
    <cacheField name="2025-09" numFmtId="4">
      <sharedItems containsSemiMixedTypes="0" containsString="0" containsNumber="1" minValue="-1267.0499999999997" maxValue="1733363"/>
    </cacheField>
    <cacheField name="2025-10" numFmtId="4">
      <sharedItems containsSemiMixedTypes="0" containsString="0" containsNumber="1" minValue="-5041.0200000000004" maxValue="1711660"/>
    </cacheField>
    <cacheField name="2025-11" numFmtId="4">
      <sharedItems containsSemiMixedTypes="0" containsString="0" containsNumber="1" minValue="-13164.900000000001" maxValue="1711660"/>
    </cacheField>
    <cacheField name="2025-12" numFmtId="4">
      <sharedItems containsSemiMixedTypes="0" containsString="0" containsNumber="1" minValue="-798771.91" maxValue="3177425"/>
    </cacheField>
    <cacheField name="2025" numFmtId="4">
      <sharedItems containsSemiMixedTypes="0" containsString="0" containsNumber="1" minValue="-39000" maxValue="22183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Aktywa"/>
    <x v="0"/>
    <x v="0"/>
    <s v="3. Inne wartości niematerialne i prawne     "/>
    <m/>
    <m/>
    <n v="11000100"/>
    <s v="11000100 Oprogramowanie i licencje IT - Wartość nabycia"/>
    <s v="Bilansowe"/>
    <n v="77463.009999999995"/>
    <n v="0"/>
    <n v="0"/>
    <n v="0"/>
    <n v="0"/>
    <n v="0"/>
    <n v="0"/>
    <n v="0"/>
    <n v="0"/>
    <n v="0"/>
    <n v="0"/>
    <n v="0"/>
    <n v="77463.009999999995"/>
    <n v="77463.009999999995"/>
    <n v="0"/>
  </r>
  <r>
    <s v="Aktywa"/>
    <x v="0"/>
    <x v="0"/>
    <s v="3. Inne wartości niematerialne i prawne     "/>
    <m/>
    <m/>
    <n v="11000400"/>
    <s v="11000400 Oprogramowanie i licencje IT - Umorzenie"/>
    <s v="Bilansowe"/>
    <n v="-59859.51"/>
    <n v="-926.5"/>
    <n v="-926.5"/>
    <n v="-926.5"/>
    <n v="-926.5"/>
    <n v="-926.5"/>
    <n v="-926.5"/>
    <n v="-926.49999999999272"/>
    <n v="-926.5"/>
    <n v="-926.5"/>
    <n v="-926.5"/>
    <n v="-926.5"/>
    <n v="-70051.009999999995"/>
    <n v="-70051.009999999995"/>
    <n v="0"/>
  </r>
  <r>
    <s v="Aktywa"/>
    <x v="0"/>
    <x v="1"/>
    <s v="1. Środki trwałe     "/>
    <s v="b) budynki, lokale, prawa do lokali i obiekty inżynierii lądowej i wodnej"/>
    <m/>
    <n v="11502100"/>
    <s v="11502100 Budynki - Wartość nabycia"/>
    <s v="Bilansowe"/>
    <n v="8316576.9500000002"/>
    <n v="0"/>
    <n v="0"/>
    <n v="0"/>
    <n v="0"/>
    <n v="0"/>
    <n v="0"/>
    <n v="0"/>
    <n v="0"/>
    <n v="0"/>
    <n v="0"/>
    <n v="0"/>
    <n v="8316576.9500000002"/>
    <n v="8316576.9500000002"/>
    <n v="0"/>
  </r>
  <r>
    <s v="Aktywa"/>
    <x v="0"/>
    <x v="1"/>
    <s v="1. Środki trwałe     "/>
    <s v="b) budynki, lokale, prawa do lokali i obiekty inżynierii lądowej i wodnej"/>
    <m/>
    <n v="11502400"/>
    <s v="11502400 Budynki - Umorzenie"/>
    <s v="Bilansowe"/>
    <n v="-1679956.62"/>
    <n v="-17326.199999999953"/>
    <n v="-17326.209999999963"/>
    <n v="-17326.199999999953"/>
    <n v="-17326.199999999953"/>
    <n v="-17326.199999999953"/>
    <n v="-17326.200000000186"/>
    <n v="-17326.199999999953"/>
    <n v="-17326.209999999963"/>
    <n v="-17326.199999999953"/>
    <n v="-17326.199999999953"/>
    <n v="-17326.200000000186"/>
    <n v="-1870544.84"/>
    <n v="-1870544.84"/>
    <n v="0"/>
  </r>
  <r>
    <s v="Aktywa"/>
    <x v="0"/>
    <x v="1"/>
    <s v="2. Środki trwałe w budowie     "/>
    <m/>
    <m/>
    <n v="11504100"/>
    <s v="11504100 Nakłady w obcych środkach trwał - Wartość nabycia"/>
    <s v="Bilansowe"/>
    <n v="204102.98"/>
    <n v="0"/>
    <n v="0"/>
    <n v="0"/>
    <n v="0"/>
    <n v="0"/>
    <n v="0"/>
    <n v="0"/>
    <n v="0"/>
    <n v="0"/>
    <n v="0"/>
    <n v="0"/>
    <n v="204102.98"/>
    <n v="204102.98"/>
    <n v="0"/>
  </r>
  <r>
    <s v="Aktywa"/>
    <x v="0"/>
    <x v="1"/>
    <s v="2. Środki trwałe w budowie     "/>
    <m/>
    <m/>
    <n v="11504400"/>
    <s v="11504400 Nakłady w obcych środkach trwał - Umorzenie"/>
    <s v="Bilansowe"/>
    <n v="-43327.35"/>
    <n v="-313.45000000000437"/>
    <n v="-313.45999999999913"/>
    <n v="-313.45999999999913"/>
    <n v="-6769.3399999999965"/>
    <n v="-1604.6399999999994"/>
    <n v="-1604.6399999999994"/>
    <n v="-1604.6300000000047"/>
    <n v="-1604.6399999999994"/>
    <n v="-1604.6299999999974"/>
    <n v="-1604.6300000000047"/>
    <n v="-1604.6399999999994"/>
    <n v="-62269.51"/>
    <n v="-62269.51"/>
    <n v="0"/>
  </r>
  <r>
    <s v="Aktywa"/>
    <x v="0"/>
    <x v="1"/>
    <s v="1. Środki trwałe     "/>
    <s v="c) urządzenia techniczne i maszyny "/>
    <m/>
    <n v="11508100"/>
    <s v="11508100 Komputery i sprzęt IT - Wartość nabycia"/>
    <s v="Bilansowe"/>
    <n v="1021948.24"/>
    <n v="6806.5100000000093"/>
    <n v="-2240.0699999999488"/>
    <n v="22451.589999999967"/>
    <n v="459"/>
    <n v="0"/>
    <n v="13387.330000000075"/>
    <n v="-1499.0600000000559"/>
    <n v="157.43999999994412"/>
    <n v="9879.5400000000373"/>
    <n v="2065.0400000000373"/>
    <n v="6725.9299999999348"/>
    <n v="1080141.49"/>
    <n v="1080141.49"/>
    <n v="0"/>
  </r>
  <r>
    <s v="Aktywa"/>
    <x v="0"/>
    <x v="1"/>
    <s v="1. Środki trwałe     "/>
    <s v="c) urządzenia techniczne i maszyny "/>
    <m/>
    <n v="11508400"/>
    <s v="11508400 Komputery i sprzęt IT - Umorzenie"/>
    <s v="Bilansowe"/>
    <n v="-1009268.7"/>
    <n v="-3437.1500000000233"/>
    <n v="-3035.4200000000419"/>
    <n v="-22451.589999999967"/>
    <n v="-459"/>
    <n v="0"/>
    <n v="-13387.329999999958"/>
    <n v="920.06000000005588"/>
    <n v="421.55999999982305"/>
    <n v="-9879.5400000000373"/>
    <n v="-2065.0399999998044"/>
    <n v="-6725.9300000001676"/>
    <n v="-1069368.08"/>
    <n v="-1069368.08"/>
    <n v="0"/>
  </r>
  <r>
    <s v="Aktywa"/>
    <x v="0"/>
    <x v="1"/>
    <s v="1. Środki trwałe     "/>
    <s v="e) inne środki trwałe"/>
    <m/>
    <n v="11514100"/>
    <s v="11514100 Meble i wyposażenie - Wartość nabycia"/>
    <s v="Bilansowe"/>
    <n v="1071105.06"/>
    <n v="343.89999999990687"/>
    <n v="0"/>
    <n v="16465.40000000014"/>
    <n v="0"/>
    <n v="0"/>
    <n v="1998.7199999999721"/>
    <n v="0"/>
    <n v="0"/>
    <n v="2900"/>
    <n v="0"/>
    <n v="0"/>
    <n v="1092813.08"/>
    <n v="1092813.08"/>
    <n v="0"/>
  </r>
  <r>
    <s v="Aktywa"/>
    <x v="0"/>
    <x v="1"/>
    <s v="1. Środki trwałe     "/>
    <s v="e) inne środki trwałe"/>
    <m/>
    <n v="11514400"/>
    <s v="11514400 Meble i wyposażenie - Umorzenie"/>
    <s v="Bilansowe"/>
    <n v="-985003.34"/>
    <n v="-579"/>
    <n v="-3421.140000000014"/>
    <n v="-18409.020000000019"/>
    <n v="-1749.8100000000559"/>
    <n v="-1749.7999999999302"/>
    <n v="-3748.5100000000093"/>
    <n v="-1749.8100000000559"/>
    <n v="-1749.7999999999302"/>
    <n v="-4649.8000000000466"/>
    <n v="-1749.7999999999302"/>
    <n v="-816.98000000009779"/>
    <n v="-1025376.81"/>
    <n v="-1025376.81"/>
    <n v="0"/>
  </r>
  <r>
    <s v="Aktywa"/>
    <x v="0"/>
    <x v="1"/>
    <s v="1. Środki trwałe     "/>
    <s v="d) środki transportu"/>
    <m/>
    <n v="11518100"/>
    <s v="11518100 Samochody - Wartość nabycia"/>
    <s v="Bilansowe"/>
    <n v="1042482.44"/>
    <n v="0"/>
    <n v="-152490.18999999994"/>
    <n v="0"/>
    <n v="0"/>
    <n v="0"/>
    <n v="0"/>
    <n v="0"/>
    <n v="0"/>
    <n v="0"/>
    <n v="0"/>
    <n v="0"/>
    <n v="889992.25"/>
    <n v="889992.25"/>
    <n v="0"/>
  </r>
  <r>
    <s v="Aktywa"/>
    <x v="0"/>
    <x v="1"/>
    <s v="1. Środki trwałe     "/>
    <s v="d) środki transportu"/>
    <m/>
    <n v="11518400"/>
    <s v="11518400 Samochody - Umorzenie"/>
    <s v="Bilansowe"/>
    <n v="-881165.3"/>
    <n v="-16101"/>
    <n v="133847.71000000008"/>
    <n v="-13559.440000000061"/>
    <n v="-8113.5200000000186"/>
    <n v="-6162.7699999999022"/>
    <n v="-6162.4500000000698"/>
    <n v="-6162.4599999999627"/>
    <n v="-6162.4799999999814"/>
    <n v="-6162.4700000000885"/>
    <n v="-6162.4599999999627"/>
    <n v="-6162.4599999999627"/>
    <n v="-828229.1"/>
    <n v="-828229.1"/>
    <n v="0"/>
  </r>
  <r>
    <s v="Aktywa"/>
    <x v="0"/>
    <x v="2"/>
    <s v="2. Inne rozliczenia międzyokresowe     "/>
    <m/>
    <m/>
    <n v="13500000"/>
    <s v="13500000 Kaucje i depozyty"/>
    <s v="Bilansowe"/>
    <n v="159228"/>
    <n v="0"/>
    <n v="0"/>
    <n v="0"/>
    <n v="0"/>
    <n v="0"/>
    <n v="0"/>
    <n v="0"/>
    <n v="0"/>
    <n v="0"/>
    <n v="0"/>
    <n v="0"/>
    <n v="159228"/>
    <n v="159228"/>
    <n v="0"/>
  </r>
  <r>
    <s v="Aktywa"/>
    <x v="1"/>
    <x v="3"/>
    <s v="3. Należności od pozostałych jednostek     "/>
    <s v="a) z tytułu dostaw i usług, o okresie spłaty: "/>
    <s v="- do 12 miesięcy"/>
    <n v="15500000"/>
    <s v="15500000 Należności handlowe - podmioty niepowiązane"/>
    <s v="Bilansowe"/>
    <n v="15147.43"/>
    <n v="769.25"/>
    <n v="-2600"/>
    <n v="-2600"/>
    <n v="-2600"/>
    <n v="-2600"/>
    <n v="-516.68000000000029"/>
    <n v="173.75"/>
    <n v="36.899999999999636"/>
    <n v="19365.650000000001"/>
    <n v="-5000"/>
    <n v="26568.670000000002"/>
    <n v="46144.97"/>
    <n v="46144.97"/>
    <n v="0"/>
  </r>
  <r>
    <s v="Aktywa"/>
    <x v="1"/>
    <x v="3"/>
    <s v="3. Należności od pozostałych jednostek"/>
    <s v="c) inne"/>
    <m/>
    <n v="15500800"/>
    <s v="15500800 Odpisy na należności handlowe - podm niepowiązane"/>
    <s v="Bilansowe"/>
    <n v="0"/>
    <n v="0"/>
    <n v="0"/>
    <n v="0"/>
    <n v="0"/>
    <n v="0"/>
    <n v="0"/>
    <n v="0"/>
    <n v="0"/>
    <n v="0"/>
    <n v="0"/>
    <n v="0"/>
    <n v="0"/>
    <n v="0"/>
    <n v="0"/>
  </r>
  <r>
    <s v="Aktywa"/>
    <x v="1"/>
    <x v="3"/>
    <s v="3. Należności od pozostałych jednostek     "/>
    <s v="a) z tytułu dostaw i usług, o okresie spłaty: "/>
    <s v="- do 12 miesięcy"/>
    <n v="15500999"/>
    <s v="15500999 Należności handlowe podm niepow - wycena bilansowa"/>
    <s v="Bilansowe"/>
    <n v="0"/>
    <n v="0"/>
    <n v="0"/>
    <n v="0"/>
    <n v="0"/>
    <n v="0"/>
    <n v="0"/>
    <n v="0"/>
    <n v="0"/>
    <n v="0"/>
    <n v="0"/>
    <n v="319.97000000000003"/>
    <n v="319.97000000000003"/>
    <n v="319.97000000000003"/>
    <n v="0"/>
  </r>
  <r>
    <s v="Aktywa"/>
    <x v="1"/>
    <x v="3"/>
    <s v="1. Należności od jednostek powiązanych     "/>
    <s v="a) z tytułu dostaw i usług, o okresie spłaty: "/>
    <s v="- do 12 miesięcy"/>
    <n v="15540000"/>
    <s v="15540000 Należności handlowe - podmioty powiązane"/>
    <s v="Bilansowe"/>
    <n v="1206.04"/>
    <n v="-5000"/>
    <n v="799.5"/>
    <n v="676.5"/>
    <n v="753.5"/>
    <n v="676.5"/>
    <n v="676.5"/>
    <n v="1722"/>
    <n v="1275.1100000000001"/>
    <n v="4097.3700000000008"/>
    <n v="-7162.9800000000005"/>
    <n v="3344.88"/>
    <n v="3064.92"/>
    <n v="3064.92"/>
    <n v="0"/>
  </r>
  <r>
    <s v="Aktywa"/>
    <x v="1"/>
    <x v="3"/>
    <s v="1. Należności od jednostek powiązanych     "/>
    <s v="a) z tytułu dostaw i usług, o okresie spłaty: "/>
    <s v="- do 12 miesięcy"/>
    <n v="15540999"/>
    <s v="15540999 Należności handlowe podm powiąz - wycena bilansowa"/>
    <s v="Bilansowe"/>
    <n v="0"/>
    <n v="0"/>
    <n v="0"/>
    <n v="0"/>
    <n v="0"/>
    <n v="0"/>
    <n v="0"/>
    <n v="0"/>
    <n v="0"/>
    <n v="0"/>
    <n v="0"/>
    <n v="-33.42"/>
    <n v="-33.42"/>
    <n v="-33.42"/>
    <n v="0"/>
  </r>
  <r>
    <s v="Aktywa"/>
    <x v="1"/>
    <x v="3"/>
    <s v="3. Należności od pozostałych jednostek     "/>
    <s v="c) inne"/>
    <m/>
    <n v="15550368"/>
    <s v="15550368 Bieżące rozrachunki z XYZ Principal"/>
    <s v="Bilansowe"/>
    <n v="91020851.159999996"/>
    <n v="0"/>
    <n v="0"/>
    <n v="0"/>
    <n v="0"/>
    <n v="0"/>
    <n v="-4.3199999928474426"/>
    <n v="0"/>
    <n v="0"/>
    <n v="0"/>
    <n v="0"/>
    <n v="0"/>
    <n v="91020846.840000004"/>
    <n v="91020846.840000004"/>
    <n v="0"/>
  </r>
  <r>
    <s v="Pasywa"/>
    <x v="2"/>
    <x v="4"/>
    <s v="3. Zobowiązania wobec pozostałych jednostek "/>
    <s v="i) inne"/>
    <m/>
    <n v="15552000"/>
    <s v="15552000 Bieżące rozrachunki z XYZ S.A. Genewa"/>
    <s v="Bilansowe"/>
    <n v="-96008975.519999996"/>
    <n v="1861827"/>
    <n v="-1795000"/>
    <n v="-407621"/>
    <n v="-955819"/>
    <n v="170817"/>
    <n v="633951.25999999046"/>
    <n v="88363"/>
    <n v="70812"/>
    <n v="129897.99000000954"/>
    <n v="23495.09999999404"/>
    <n v="-170886.92999999225"/>
    <n v="-96359139.099999994"/>
    <n v="-96359139.099999994"/>
    <n v="0"/>
  </r>
  <r>
    <s v="Aktywa"/>
    <x v="1"/>
    <x v="3"/>
    <s v="2. Należności od jednostek powiązanych"/>
    <s v="b) inne"/>
    <m/>
    <n v="15562000"/>
    <s v="15562000 Faktury do wystawienia do właściciela"/>
    <s v="Bilansowe"/>
    <n v="7065.52"/>
    <n v="4799.41"/>
    <n v="875.11999999999898"/>
    <n v="988.93000000000029"/>
    <n v="-324.45999999999913"/>
    <n v="435.82999999999993"/>
    <n v="1608.0900000000001"/>
    <n v="-246"/>
    <n v="9758.4"/>
    <n v="-19799.13"/>
    <n v="13981.350000000002"/>
    <n v="-12687.910000000002"/>
    <n v="6455.15"/>
    <n v="6455.15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16004000"/>
    <s v="16004000 Należności od US - VAT"/>
    <s v="Bilansowe"/>
    <n v="-368039"/>
    <n v="-35064"/>
    <n v="-86089"/>
    <n v="-42215"/>
    <n v="-27515"/>
    <n v="-34074"/>
    <n v="-52694"/>
    <n v="-30222"/>
    <n v="-29072"/>
    <n v="-53572"/>
    <n v="-28170"/>
    <n v="-32801"/>
    <n v="-819527"/>
    <n v="-819527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16004010"/>
    <s v="16004010 VAT Naliczony"/>
    <s v="Bilansowe"/>
    <n v="621569.04"/>
    <n v="25400.770000000019"/>
    <n v="46832.219999999972"/>
    <n v="52825.969999999972"/>
    <n v="30515.75"/>
    <n v="30174.689999999944"/>
    <n v="55004.170000000042"/>
    <n v="26251.760000000009"/>
    <n v="36588.369999999995"/>
    <n v="35269.570000000065"/>
    <n v="37089.089999999967"/>
    <n v="36210.020000000019"/>
    <n v="1033731.42"/>
    <n v="1033731.42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16004080"/>
    <s v="16004080 Input tax"/>
    <s v="Bilansowe"/>
    <n v="2135.36"/>
    <n v="-678.77000000000021"/>
    <n v="0"/>
    <n v="-703.09999999999991"/>
    <n v="0"/>
    <n v="-97.539999999999964"/>
    <n v="25.8599999999999"/>
    <n v="0"/>
    <n v="-56.579999999999927"/>
    <n v="-100.61000000000001"/>
    <n v="-66.699999999999989"/>
    <n v="2814.63"/>
    <n v="3272.55"/>
    <n v="3272.55"/>
    <n v="0"/>
  </r>
  <r>
    <s v="Aktywa"/>
    <x v="1"/>
    <x v="3"/>
    <s v="3. Należności od pozostałych jednostek     "/>
    <s v="c) inne"/>
    <m/>
    <n v="16008000"/>
    <s v="16008000 Należności od pracowników"/>
    <s v="Bilansowe"/>
    <n v="-11714.43"/>
    <n v="15089.74"/>
    <n v="29514.709999999995"/>
    <n v="797.4600000000064"/>
    <n v="634.95999999999913"/>
    <n v="-11740.310000000001"/>
    <n v="-4282.4000000000015"/>
    <n v="-1439.3299999999981"/>
    <n v="3647.59"/>
    <n v="-9211.8000000000011"/>
    <n v="8169.7499999999982"/>
    <n v="-12518.919999999998"/>
    <n v="6947.02"/>
    <n v="6947.02"/>
    <n v="0"/>
  </r>
  <r>
    <s v="Aktywa"/>
    <x v="1"/>
    <x v="3"/>
    <s v="3. Należności od pozostałych jednostek"/>
    <s v="c) inne"/>
    <m/>
    <n v="16008030"/>
    <s v="16008030 Zaliczki na wynagrodzenia"/>
    <s v="Bilansowe"/>
    <n v="0"/>
    <n v="10000"/>
    <n v="0"/>
    <n v="0"/>
    <n v="-10000"/>
    <n v="0"/>
    <n v="0"/>
    <n v="0"/>
    <n v="0"/>
    <n v="0"/>
    <n v="0"/>
    <n v="0"/>
    <n v="0"/>
    <n v="0"/>
    <n v="0"/>
  </r>
  <r>
    <s v="Aktywa"/>
    <x v="1"/>
    <x v="5"/>
    <s v=""/>
    <m/>
    <m/>
    <n v="17000000"/>
    <s v="17000000 Rozliczenia międzyokresowe kosztów"/>
    <s v="Bilansowe"/>
    <n v="62811.57"/>
    <n v="-6281.0999999999985"/>
    <n v="-6281.0999999999985"/>
    <n v="-6281.1000000000058"/>
    <n v="-6281.0999999999985"/>
    <n v="-6281.0999999999985"/>
    <n v="-6281.0999999999985"/>
    <n v="-6281.1000000000022"/>
    <n v="-6281.0999999999985"/>
    <n v="-6281.1"/>
    <n v="-6281.67"/>
    <n v="0"/>
    <n v="0"/>
    <n v="0"/>
    <n v="0"/>
  </r>
  <r>
    <s v="Aktywa"/>
    <x v="1"/>
    <x v="5"/>
    <s v=""/>
    <m/>
    <m/>
    <n v="17000030"/>
    <s v="17000030 Rozliczenia międzyokresowe kosztów - ubezpiecz"/>
    <s v="Bilansowe"/>
    <n v="17661.79"/>
    <n v="-2812.4300000000003"/>
    <n v="1370.2899999999991"/>
    <n v="24187.9"/>
    <n v="-5296.1100000000006"/>
    <n v="8255.8299999999945"/>
    <n v="2916.4500000000044"/>
    <n v="-5329.6300000000047"/>
    <n v="-3381.0899999999965"/>
    <n v="-5329.09"/>
    <n v="-5329.09"/>
    <n v="-1444.2000000000007"/>
    <n v="25470.62"/>
    <n v="25470.62"/>
    <n v="0"/>
  </r>
  <r>
    <s v="Aktywa"/>
    <x v="1"/>
    <x v="6"/>
    <s v="1. Krótkoterminowe aktywa finansowe"/>
    <m/>
    <m/>
    <n v="18579900"/>
    <s v="18579900 mBank PLN"/>
    <s v="Bilansowe"/>
    <n v="73896.98"/>
    <n v="179485.22000000003"/>
    <n v="116172.51000000001"/>
    <n v="-342155.16000000003"/>
    <n v="140378.92000000001"/>
    <n v="589860.22"/>
    <n v="-655795.8899999999"/>
    <n v="67057.490000000005"/>
    <n v="-68231.48000000001"/>
    <n v="15997.279999999999"/>
    <n v="69099.47"/>
    <n v="-91363.78"/>
    <n v="94401.780000000028"/>
    <n v="94401.78"/>
    <n v="0"/>
  </r>
  <r>
    <s v="Aktywa"/>
    <x v="1"/>
    <x v="6"/>
    <s v="1. Krótkoterminowe aktywa finansowe"/>
    <m/>
    <m/>
    <n v="18580000"/>
    <s v="18580000 mBank USD"/>
    <s v="Bilansowe"/>
    <n v="7177.18"/>
    <n v="-121.44000000000051"/>
    <n v="34678.03"/>
    <n v="-37467.629999999997"/>
    <n v="0"/>
    <n v="2883.2999999999993"/>
    <n v="265.61000000000058"/>
    <n v="88.960000000000036"/>
    <n v="-972.0600000000004"/>
    <n v="-7325.44"/>
    <n v="-964.54"/>
    <n v="1758.03"/>
    <n v="0"/>
    <n v="0"/>
    <n v="0"/>
  </r>
  <r>
    <s v="Aktywa"/>
    <x v="1"/>
    <x v="6"/>
    <s v="1. Krótkoterminowe aktywa finansowe"/>
    <m/>
    <m/>
    <n v="18580100"/>
    <s v="18580100 mBank EUR"/>
    <s v="Bilansowe"/>
    <n v="20275.14"/>
    <n v="-1344.0299999999988"/>
    <n v="-8823.61"/>
    <n v="0"/>
    <n v="0"/>
    <n v="-145.95000000000073"/>
    <n v="3288.4500000000007"/>
    <n v="-0.19000000000050932"/>
    <n v="0"/>
    <n v="2496.6000000000004"/>
    <n v="13199.93"/>
    <n v="-28946.34"/>
    <n v="0"/>
    <n v="0"/>
    <n v="0"/>
  </r>
  <r>
    <s v="Aktywa"/>
    <x v="1"/>
    <x v="6"/>
    <s v="1. Krótkoterminowe aktywa finansowe"/>
    <m/>
    <m/>
    <n v="18580200"/>
    <s v="18580200 mBank PLN karty debetowe"/>
    <s v="Bilansowe"/>
    <n v="1038.47"/>
    <n v="-525"/>
    <n v="4487"/>
    <n v="-10"/>
    <n v="-10"/>
    <n v="-10"/>
    <n v="-16"/>
    <n v="-10"/>
    <n v="-1019.0000000000005"/>
    <n v="973.36000000000013"/>
    <n v="-10"/>
    <n v="-10"/>
    <n v="4878.83"/>
    <n v="4878.83"/>
    <n v="0"/>
  </r>
  <r>
    <s v="Aktywa"/>
    <x v="1"/>
    <x v="6"/>
    <s v="1. Krótkoterminowe aktywa finansowe"/>
    <m/>
    <m/>
    <n v="19000000"/>
    <s v="19000000 Środki pienięzne w kasie"/>
    <s v="Bilansowe"/>
    <n v="4724.93"/>
    <n v="-132.92000000000007"/>
    <n v="322.96999999999935"/>
    <n v="0"/>
    <n v="-1133.9999999999995"/>
    <n v="-500"/>
    <n v="1031.9999999999995"/>
    <n v="0"/>
    <n v="-1258.0599999999995"/>
    <n v="1056.6400000000003"/>
    <n v="-998.70000000000027"/>
    <n v="500"/>
    <n v="3612.86"/>
    <n v="3612.86"/>
    <n v="0"/>
  </r>
  <r>
    <s v="Aktywa"/>
    <x v="1"/>
    <x v="6"/>
    <s v="1. Krótkoterminowe aktywa finansowe"/>
    <m/>
    <m/>
    <n v="19002000"/>
    <s v="19002000 Inne środki pieniężne"/>
    <s v="Bilansowe"/>
    <n v="19532.080000000002"/>
    <n v="0"/>
    <n v="0"/>
    <n v="0"/>
    <n v="0"/>
    <n v="0"/>
    <n v="0"/>
    <n v="2000"/>
    <n v="0"/>
    <n v="-2000"/>
    <n v="-20642.43"/>
    <n v="1110.3499999999999"/>
    <n v="0"/>
    <n v="0"/>
    <n v="0"/>
  </r>
  <r>
    <s v="Pasywa"/>
    <x v="3"/>
    <x v="7"/>
    <s v=""/>
    <m/>
    <m/>
    <n v="20000000"/>
    <s v="20000000 Kapitał zakładowy"/>
    <s v="Bilansowe"/>
    <n v="-50000"/>
    <n v="0"/>
    <n v="0"/>
    <n v="0"/>
    <n v="0"/>
    <n v="0"/>
    <n v="0"/>
    <n v="0"/>
    <n v="0"/>
    <n v="0"/>
    <n v="0"/>
    <n v="0"/>
    <n v="-50000"/>
    <n v="-50000"/>
    <n v="0"/>
  </r>
  <r>
    <s v="Pasywa"/>
    <x v="3"/>
    <x v="8"/>
    <s v=""/>
    <m/>
    <m/>
    <n v="21000000"/>
    <s v="21000000 Zysk zatrzymany"/>
    <s v="Bilansowe"/>
    <n v="-1892451.04"/>
    <n v="0"/>
    <n v="0"/>
    <n v="0"/>
    <n v="0"/>
    <n v="0"/>
    <n v="0"/>
    <n v="0"/>
    <n v="-321922.68999999994"/>
    <n v="0"/>
    <n v="0"/>
    <n v="0"/>
    <n v="-2214373.73"/>
    <n v="-2214373.73"/>
    <n v="0"/>
  </r>
  <r>
    <s v="Pasywa"/>
    <x v="3"/>
    <x v="8"/>
    <s v=""/>
    <m/>
    <m/>
    <n v="21500000"/>
    <s v="21500000 Profit of the period"/>
    <s v="Bilansowe"/>
    <n v="-337223.54"/>
    <n v="0"/>
    <n v="0"/>
    <n v="0"/>
    <n v="0"/>
    <n v="0"/>
    <n v="0"/>
    <n v="0"/>
    <n v="321922.69"/>
    <n v="0"/>
    <n v="0"/>
    <n v="0"/>
    <n v="-15300.849999999977"/>
    <n v="-15300.85"/>
    <n v="2.3646862246096134E-11"/>
  </r>
  <r>
    <s v="Pasywa"/>
    <x v="2"/>
    <x v="9"/>
    <s v="2. Rezerwa na świadczenia emerytalne i podobne "/>
    <s v="a) długoterminowe    "/>
    <m/>
    <n v="30500000"/>
    <s v="30500000 Rezerwa na odprawę emerytalną"/>
    <s v="Bilansowe"/>
    <n v="-515308"/>
    <n v="2375"/>
    <n v="-2375"/>
    <n v="0"/>
    <n v="0"/>
    <n v="0"/>
    <n v="0"/>
    <n v="0"/>
    <n v="0"/>
    <n v="0"/>
    <n v="0"/>
    <n v="16985"/>
    <n v="-498323"/>
    <n v="-498323"/>
    <n v="0"/>
  </r>
  <r>
    <s v="Pasywa"/>
    <x v="2"/>
    <x v="9"/>
    <s v="3. Pozostałe rezerwy "/>
    <s v="b) krótkoterminowe     "/>
    <m/>
    <n v="33506033"/>
    <s v="33506033 Rezerwa na premię roczną"/>
    <s v="Bilansowe"/>
    <n v="-1458033"/>
    <n v="0"/>
    <n v="0"/>
    <n v="1458033"/>
    <n v="0"/>
    <n v="0"/>
    <n v="0"/>
    <n v="0"/>
    <n v="0"/>
    <n v="0"/>
    <n v="0"/>
    <n v="-1452460.8"/>
    <n v="-1452460.8"/>
    <n v="-1452460.8"/>
    <n v="0"/>
  </r>
  <r>
    <s v="Pasywa"/>
    <x v="2"/>
    <x v="9"/>
    <s v="3. Pozostałe rezerwy "/>
    <s v="a) długoterminowe    "/>
    <m/>
    <n v="33506050"/>
    <s v="33506050 Rezerwa urlopowa"/>
    <s v="Bilansowe"/>
    <n v="-740835.59"/>
    <n v="0"/>
    <n v="0"/>
    <n v="0"/>
    <n v="0"/>
    <n v="0"/>
    <n v="0"/>
    <n v="0"/>
    <n v="0"/>
    <n v="0"/>
    <n v="0"/>
    <n v="-262148.30000000005"/>
    <n v="-1002983.89"/>
    <n v="-1002983.89"/>
    <n v="0"/>
  </r>
  <r>
    <s v="Pasywa"/>
    <x v="2"/>
    <x v="9"/>
    <s v="3. Pozostałe rezerwy "/>
    <s v="a) długoterminowe    "/>
    <m/>
    <n v="34014000"/>
    <s v="34014000 Inne rezerwy"/>
    <s v="Bilansowe"/>
    <n v="-27350"/>
    <n v="0"/>
    <n v="0"/>
    <n v="0"/>
    <n v="0"/>
    <n v="0"/>
    <n v="0"/>
    <n v="0"/>
    <n v="0"/>
    <n v="0"/>
    <n v="0"/>
    <n v="-24800"/>
    <n v="-52150"/>
    <n v="-52150"/>
    <n v="0"/>
  </r>
  <r>
    <s v="Pasywa"/>
    <x v="2"/>
    <x v="4"/>
    <s v="3. Zobowiązania wobec pozostałych jednostek "/>
    <s v="d) z tytułu dostaw i usług, o okresie wymagalności: "/>
    <s v="- do 12 miesięcy"/>
    <n v="34500000"/>
    <s v="34500000 Zobowiązania handlowe - podmioty niepowiązane"/>
    <s v="Bilansowe"/>
    <n v="-24764.080000000002"/>
    <n v="11201.760000000002"/>
    <n v="21140.87"/>
    <n v="-59545.15"/>
    <n v="47164.52"/>
    <n v="-28226.39"/>
    <n v="-85949.16"/>
    <n v="23709.11"/>
    <n v="61043.140000000007"/>
    <n v="-38598.830000000009"/>
    <n v="8398.4500000000044"/>
    <n v="18659.590000000004"/>
    <n v="-45766.17"/>
    <n v="-45766.17"/>
    <n v="0"/>
  </r>
  <r>
    <s v="Aktywa"/>
    <x v="1"/>
    <x v="3"/>
    <s v="1. Należności od jednostek powiązanych     "/>
    <s v="a) z tytułu dostaw i usług, o okresie spłaty: "/>
    <s v="- do 12 miesięcy"/>
    <n v="34550000"/>
    <s v="34550000 Zobowiązania handlowe - podmioty powiązane"/>
    <s v="Bilansowe"/>
    <n v="1877205"/>
    <n v="-1876903.45"/>
    <n v="1765359.8599999999"/>
    <n v="-335134.17999999993"/>
    <n v="312205"/>
    <n v="-56041.169999999925"/>
    <n v="47587.169999999925"/>
    <n v="246"/>
    <n v="30.270000000018626"/>
    <n v="-23112.629999999888"/>
    <n v="-38893.130000000121"/>
    <n v="1433122.26"/>
    <n v="3105671"/>
    <n v="3105671"/>
    <n v="0"/>
  </r>
  <r>
    <s v="Pasywa"/>
    <x v="2"/>
    <x v="4"/>
    <s v="3. Zobowiązania wobec pozostałych jednostek "/>
    <s v="d) z tytułu dostaw i usług, o okresie wymagalności: "/>
    <s v="- do 12 miesięcy"/>
    <n v="34550999"/>
    <s v="34550999 Zobowiąz handlowe podm powiąz - wycena bilansowa"/>
    <s v="Bilansowe"/>
    <n v="0"/>
    <n v="0"/>
    <n v="0"/>
    <n v="0"/>
    <n v="0"/>
    <n v="0"/>
    <n v="0"/>
    <n v="0"/>
    <n v="0"/>
    <n v="0"/>
    <n v="0"/>
    <n v="0"/>
    <n v="0"/>
    <n v="0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35002000"/>
    <s v="35002000 Zobowiązania wobec US - VAT"/>
    <s v="Bilansowe"/>
    <n v="584"/>
    <n v="0"/>
    <n v="0"/>
    <n v="0"/>
    <n v="0"/>
    <n v="0"/>
    <n v="0"/>
    <n v="0"/>
    <n v="0"/>
    <n v="0"/>
    <n v="0"/>
    <n v="0"/>
    <n v="584"/>
    <n v="584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2010"/>
    <s v="35002010 VAT Należny"/>
    <s v="Bilansowe"/>
    <n v="-87869.07"/>
    <n v="412.01000000000931"/>
    <n v="-12757.910000000003"/>
    <n v="570.99000000000524"/>
    <n v="-174.91000000000349"/>
    <n v="-84.930000000007567"/>
    <n v="-246.73999999999069"/>
    <n v="-465.57000000000698"/>
    <n v="-286.02999999999884"/>
    <n v="-815.59999999999127"/>
    <n v="-137.82000000000698"/>
    <n v="-3169.6999999999971"/>
    <n v="-105025.28"/>
    <n v="-105025.28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2100"/>
    <s v="35002100 VAT należny EU"/>
    <s v="Bilansowe"/>
    <n v="-236.89"/>
    <n v="0"/>
    <n v="0"/>
    <n v="0"/>
    <n v="0"/>
    <n v="-33.330000000000041"/>
    <n v="-25.859999999999957"/>
    <n v="0"/>
    <n v="0"/>
    <n v="0"/>
    <n v="0"/>
    <n v="0"/>
    <n v="-296.08"/>
    <n v="-296.08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4001"/>
    <s v="35004001 Zobowiązania wobec US - PIT"/>
    <s v="Bilansowe"/>
    <n v="-87880"/>
    <n v="1028"/>
    <n v="-9404"/>
    <n v="-118272"/>
    <n v="100726"/>
    <n v="-14087"/>
    <n v="6210"/>
    <n v="-9539"/>
    <n v="-3053"/>
    <n v="-8988"/>
    <n v="-13231"/>
    <n v="-6853"/>
    <n v="-163343"/>
    <n v="-163343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6000"/>
    <s v="35006000 Zobowiazania z tytułu ubezpieczeń społecznych"/>
    <s v="Bilansowe"/>
    <n v="-433622.1"/>
    <n v="10204.509999999951"/>
    <n v="1536.140000000014"/>
    <n v="-450774.19"/>
    <n v="492565.76000000001"/>
    <n v="-76065.37"/>
    <n v="90599.890000000014"/>
    <n v="-3886.9400000000023"/>
    <n v="7531.3999999999651"/>
    <n v="2597.1900000000023"/>
    <n v="1151.179999999993"/>
    <n v="358162.53"/>
    <n v="0"/>
    <n v="0"/>
    <n v="0"/>
  </r>
  <r>
    <s v="Aktywa"/>
    <x v="0"/>
    <x v="2"/>
    <s v="2. Inne rozliczenia międzyokresowe     "/>
    <m/>
    <m/>
    <n v="36500010"/>
    <s v="36500010 Przychody z frachtu powyżej lub ponizej manifestu"/>
    <s v="Bilansowe"/>
    <n v="121.1"/>
    <n v="3.0000000000001137E-2"/>
    <n v="0"/>
    <n v="-9.9999999999909051E-3"/>
    <n v="0"/>
    <n v="3.0000000000001137E-2"/>
    <n v="-2.0000000000010232E-2"/>
    <n v="-9.9999999999909051E-3"/>
    <n v="9.9999999999909051E-3"/>
    <n v="0"/>
    <n v="1"/>
    <n v="2.3100000000000023"/>
    <n v="124.44"/>
    <n v="124.44"/>
    <n v="0"/>
  </r>
  <r>
    <s v="Aktywa"/>
    <x v="0"/>
    <x v="2"/>
    <s v="1. Aktywa z tytułu odroczonego podatku dochodowego     "/>
    <m/>
    <m/>
    <n v="14502000"/>
    <s v="14502000 Aktywa z tytułu podatku odroczonego"/>
    <s v="Bilansowe"/>
    <n v="520903.26"/>
    <n v="-451.25"/>
    <n v="451.25"/>
    <n v="-277026.27"/>
    <n v="0"/>
    <n v="0"/>
    <n v="0"/>
    <n v="0"/>
    <n v="-243876.99"/>
    <n v="0"/>
    <n v="0"/>
    <n v="571149.07999999996"/>
    <n v="571149.07999999996"/>
    <n v="571149.07999999996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16500000"/>
    <s v="16500000 Podatek dochodowy - zaliczki i nadpłata"/>
    <s v="Bilansowe"/>
    <n v="717622"/>
    <n v="0"/>
    <n v="0"/>
    <n v="0"/>
    <n v="0"/>
    <n v="-728950"/>
    <n v="11328"/>
    <n v="0"/>
    <n v="0"/>
    <n v="0"/>
    <n v="0"/>
    <n v="315026"/>
    <n v="315026"/>
    <n v="315026"/>
    <n v="0"/>
  </r>
  <r>
    <s v="Pasywa"/>
    <x v="2"/>
    <x v="4"/>
    <s v="3. Zobowiązania wobec pozostałych jednostek"/>
    <s v="h) z tytułu wynagrodzeń "/>
    <m/>
    <n v="33506000"/>
    <s v="33506000 Krótkoterminowe zobowiązania wobec pracowników"/>
    <s v="Bilansowe"/>
    <n v="0"/>
    <n v="0"/>
    <n v="0"/>
    <n v="0"/>
    <n v="0"/>
    <n v="0"/>
    <n v="730.43"/>
    <n v="-730.43"/>
    <n v="29.56"/>
    <n v="-29.56"/>
    <n v="0"/>
    <n v="0"/>
    <n v="0"/>
    <n v="0"/>
    <n v="0"/>
  </r>
  <r>
    <s v="Aktywa"/>
    <x v="0"/>
    <x v="1"/>
    <s v="3. Zaliczki na środki trwałe"/>
    <m/>
    <m/>
    <n v="17006000"/>
    <s v="17006000 Zaliczki na środki trwałe"/>
    <s v="Bilansowe"/>
    <n v="0"/>
    <n v="0"/>
    <n v="0"/>
    <n v="0"/>
    <n v="0"/>
    <n v="0"/>
    <n v="0"/>
    <n v="0"/>
    <n v="0"/>
    <n v="0"/>
    <n v="0"/>
    <n v="0"/>
    <n v="0"/>
    <n v="0"/>
    <n v="0"/>
  </r>
  <r>
    <s v="Aktywa"/>
    <x v="1"/>
    <x v="3"/>
    <s v="3. Należności od pozostałych jednostek"/>
    <s v="c) inne"/>
    <m/>
    <n v="15560000"/>
    <s v="15560000 Faktury do wystawienia"/>
    <s v="Bilansowe"/>
    <n v="0"/>
    <n v="0"/>
    <n v="0"/>
    <n v="0"/>
    <n v="0"/>
    <n v="0"/>
    <n v="0"/>
    <n v="0"/>
    <n v="0"/>
    <n v="0"/>
    <n v="0"/>
    <n v="0"/>
    <n v="0"/>
    <n v="0"/>
    <n v="0"/>
  </r>
  <r>
    <s v="Aktywa"/>
    <x v="0"/>
    <x v="2"/>
    <s v="2. Inne rozliczenia międzyokresowe     "/>
    <m/>
    <m/>
    <n v="15514000"/>
    <s v="15514000 Przychody przyszłych okresów"/>
    <s v="Bilansowe"/>
    <n v="0"/>
    <n v="0"/>
    <n v="0"/>
    <n v="0"/>
    <n v="0"/>
    <n v="0"/>
    <n v="0"/>
    <n v="0"/>
    <n v="0"/>
    <n v="0"/>
    <n v="0"/>
    <n v="71754"/>
    <n v="71754"/>
    <n v="71754"/>
    <n v="0"/>
  </r>
  <r>
    <s v="Pasywa"/>
    <x v="2"/>
    <x v="4"/>
    <s v="3. Zobowiązania wobec pozostałych jednostek "/>
    <s v="d) z tytułu dostaw i usług, o okresie wymagalności: "/>
    <s v="- do 12 miesięcy"/>
    <n v="34504000"/>
    <s v="34504000 Dostawy niefakturowane - podmioty niepowiązane"/>
    <s v="Bilansowe"/>
    <n v="-35.57"/>
    <n v="35.57"/>
    <n v="0"/>
    <n v="0"/>
    <n v="0"/>
    <n v="0"/>
    <n v="0"/>
    <n v="0"/>
    <n v="0"/>
    <n v="0"/>
    <n v="0"/>
    <n v="-60834.03"/>
    <n v="-60834.03"/>
    <n v="-60834.03"/>
    <n v="0"/>
  </r>
  <r>
    <s v="Aktywa"/>
    <x v="1"/>
    <x v="3"/>
    <s v="3. Należności od pozostałych jednostek"/>
    <s v="c) inne"/>
    <m/>
    <n v="34515000"/>
    <s v="34515000 Faktura do przypisania (SD)"/>
    <s v="Bilansowe"/>
    <n v="0"/>
    <n v="0"/>
    <n v="0"/>
    <n v="0"/>
    <n v="0"/>
    <n v="0"/>
    <n v="0"/>
    <n v="0"/>
    <n v="0"/>
    <n v="0"/>
    <n v="0"/>
    <n v="0"/>
    <n v="0"/>
    <n v="0"/>
    <n v="0"/>
  </r>
  <r>
    <s v="Aktywa"/>
    <x v="1"/>
    <x v="6"/>
    <s v="3. Inne aktywa finansowe"/>
    <m/>
    <m/>
    <n v="65526100"/>
    <s v="65526100 Niezrealiz ujemne różnice kursowe od należ (TFx)"/>
    <s v="Bilansowe"/>
    <n v="0"/>
    <n v="0"/>
    <n v="0"/>
    <n v="0"/>
    <n v="0"/>
    <n v="0"/>
    <n v="0"/>
    <n v="0"/>
    <n v="0"/>
    <n v="0"/>
    <n v="27079.759999999998"/>
    <n v="-27079.759999999998"/>
    <n v="0"/>
    <n v="0"/>
    <n v="0"/>
  </r>
  <r>
    <s v="Pasywa"/>
    <x v="2"/>
    <x v="4"/>
    <s v="3. Należności od pozostałych jednostek"/>
    <m/>
    <m/>
    <n v="16000000"/>
    <s v="16000000 Other receivables"/>
    <s v="Bilansowe"/>
    <n v="0"/>
    <n v="0"/>
    <n v="0"/>
    <n v="0"/>
    <n v="0"/>
    <n v="0"/>
    <n v="0"/>
    <n v="0"/>
    <n v="0"/>
    <n v="0"/>
    <n v="0"/>
    <n v="0"/>
    <n v="0"/>
    <n v="0"/>
    <n v="0"/>
  </r>
  <r>
    <s v="Pasywa"/>
    <x v="2"/>
    <x v="9"/>
    <s v="1. Rezerwa z tytułu odroczonego podatku dochodowego"/>
    <s v="b) krótkoterminowe     "/>
    <m/>
    <n v="31500000"/>
    <s v="31500000 Rezerwa z tytułu podatku odroczonego"/>
    <s v="Bilansowe"/>
    <n v="0"/>
    <n v="0"/>
    <n v="0"/>
    <n v="0"/>
    <n v="0"/>
    <n v="0"/>
    <n v="0"/>
    <n v="0"/>
    <n v="0"/>
    <n v="0"/>
    <n v="0"/>
    <n v="-79.17"/>
    <n v="-79.17"/>
    <n v="-79.17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6000000"/>
    <s v="36000000 Podatek dochodowy - zobowiazania"/>
    <s v="Bilansowe"/>
    <n v="0"/>
    <n v="0"/>
    <n v="0"/>
    <n v="0"/>
    <n v="0"/>
    <n v="0"/>
    <n v="0"/>
    <n v="0"/>
    <n v="0"/>
    <n v="0"/>
    <n v="0"/>
    <n v="-43662"/>
    <n v="-43662"/>
    <n v="-43662"/>
    <n v="0"/>
  </r>
  <r>
    <s v="Pasywa"/>
    <x v="3"/>
    <x v="10"/>
    <m/>
    <m/>
    <m/>
    <m/>
    <s v="Zysk netto bieżącego okresu"/>
    <m/>
    <n v="-181516.08000000054"/>
    <n v="-161780.99"/>
    <n v="-54304.5699999996"/>
    <n v="575793.26000000047"/>
    <n v="-80904.459999999963"/>
    <n v="183603.59999999963"/>
    <n v="-21642.130000000587"/>
    <n v="-123113.26999999909"/>
    <n v="193925.26999999932"/>
    <n v="-8818.260000000475"/>
    <n v="-47007.4300000004"/>
    <n v="-598871.2799999998"/>
    <n v="-324636.34000000102"/>
    <n v="324636.3400000010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ktywa"/>
    <x v="0"/>
    <x v="0"/>
    <s v="3. Inne wartości niematerialne i prawne     "/>
    <m/>
    <m/>
    <n v="11000100"/>
    <s v="11000100 Oprogramowanie i licencje IT - Wartość nabycia"/>
    <s v="Bilansowe"/>
    <n v="-49668.01"/>
    <n v="0"/>
    <n v="-27794.999999999993"/>
    <n v="0"/>
    <n v="0"/>
    <n v="0"/>
    <n v="0"/>
    <n v="0"/>
    <n v="0"/>
    <n v="0"/>
    <n v="0"/>
    <n v="0"/>
    <n v="-77463.009999999995"/>
    <n v="-77463.009999999995"/>
    <n v="0"/>
  </r>
  <r>
    <s v="Aktywa"/>
    <x v="0"/>
    <x v="0"/>
    <s v="3. Inne wartości niematerialne i prawne     "/>
    <m/>
    <m/>
    <n v="11000400"/>
    <s v="11000400 Oprogramowanie i licencje IT - Umorzenie"/>
    <s v="Bilansowe"/>
    <n v="49668.01"/>
    <n v="0"/>
    <n v="0"/>
    <n v="0"/>
    <n v="0"/>
    <n v="0"/>
    <n v="0"/>
    <n v="0"/>
    <n v="0"/>
    <n v="0"/>
    <n v="8338.5"/>
    <n v="926.5"/>
    <n v="58933.01"/>
    <n v="58933.01"/>
    <n v="0"/>
  </r>
  <r>
    <s v="Aktywa"/>
    <x v="0"/>
    <x v="1"/>
    <s v="1. Środki trwałe     "/>
    <s v="b) budynki, lokale, prawa do lokali i obiekty inżynierii lądowej i wodnej"/>
    <m/>
    <n v="11502100"/>
    <s v="11502100 Budynki - Wartość nabycia"/>
    <s v="Bilansowe"/>
    <n v="-8316576.9500000002"/>
    <n v="0"/>
    <n v="0"/>
    <n v="0"/>
    <n v="0"/>
    <n v="0"/>
    <n v="0"/>
    <n v="0"/>
    <n v="0"/>
    <n v="0"/>
    <n v="0"/>
    <n v="0"/>
    <n v="-8316576.9500000002"/>
    <n v="-8316576.9500000002"/>
    <n v="0"/>
  </r>
  <r>
    <s v="Aktywa"/>
    <x v="0"/>
    <x v="1"/>
    <s v="1. Środki trwałe     "/>
    <s v="b) budynki, lokale, prawa do lokali i obiekty inżynierii lądowej i wodnej"/>
    <m/>
    <n v="11502400"/>
    <s v="11502400 Budynki - Umorzenie"/>
    <s v="Bilansowe"/>
    <n v="1472042.17"/>
    <n v="0"/>
    <n v="34652.410000000149"/>
    <n v="17326.199999999953"/>
    <n v="17326.199999999953"/>
    <n v="17326.209999999963"/>
    <n v="0"/>
    <n v="34652.410000000149"/>
    <n v="0"/>
    <n v="34652.419999999925"/>
    <n v="17326.2"/>
    <n v="17326.2"/>
    <n v="1662630.42"/>
    <n v="1662630.42"/>
    <n v="0"/>
  </r>
  <r>
    <s v="Aktywa"/>
    <x v="0"/>
    <x v="1"/>
    <s v="2. Środki trwałe w budowie     "/>
    <m/>
    <m/>
    <n v="11504100"/>
    <s v="11504100 Nakłady w obcych środkach trwał - Wartość nabycia"/>
    <s v="Bilansowe"/>
    <n v="-45961.56"/>
    <n v="0"/>
    <n v="0"/>
    <n v="0"/>
    <n v="-154941.42000000001"/>
    <n v="0"/>
    <n v="0"/>
    <n v="0"/>
    <n v="0"/>
    <n v="0"/>
    <n v="0"/>
    <n v="0"/>
    <n v="-200902.98"/>
    <n v="-200902.98"/>
    <n v="0"/>
  </r>
  <r>
    <s v="Aktywa"/>
    <x v="0"/>
    <x v="1"/>
    <s v="2. Środki trwałe w budowie     "/>
    <m/>
    <m/>
    <n v="11504400"/>
    <s v="11504400 Nakłady w obcych środkach trwał - Umorzenie"/>
    <s v="Bilansowe"/>
    <n v="30527.62"/>
    <n v="0"/>
    <n v="626.90999999999985"/>
    <n v="313.46000000000276"/>
    <n v="313.44999999999709"/>
    <n v="313.45000000000073"/>
    <n v="0"/>
    <n v="626.92000000000189"/>
    <n v="0"/>
    <n v="626.92000000000189"/>
    <n v="313.45"/>
    <n v="313.45999999999998"/>
    <n v="33975.64"/>
    <n v="33975.64"/>
    <n v="0"/>
  </r>
  <r>
    <s v="Aktywa"/>
    <x v="0"/>
    <x v="1"/>
    <s v="1. Środki trwałe     "/>
    <s v="c) urządzenia techniczne i maszyny "/>
    <m/>
    <n v="11508100"/>
    <s v="11508100 Komputery i sprzęt IT - Wartość nabycia"/>
    <s v="Bilansowe"/>
    <n v="-861732.19"/>
    <n v="-17038.540000000037"/>
    <n v="-16111.25"/>
    <n v="-2357.7199999999721"/>
    <n v="-90426.230000000098"/>
    <n v="-33306.219999999972"/>
    <n v="-30969.95000000007"/>
    <n v="-11382.719999999972"/>
    <n v="-5967.1699999999255"/>
    <n v="-43619.199999999953"/>
    <n v="-3289"/>
    <n v="-54044.920000000006"/>
    <n v="-1170245.1099999999"/>
    <n v="-1170245.1099999999"/>
    <n v="0"/>
  </r>
  <r>
    <s v="Aktywa"/>
    <x v="0"/>
    <x v="1"/>
    <s v="1. Środki trwałe     "/>
    <s v="c) urządzenia techniczne i maszyny "/>
    <m/>
    <n v="11508400"/>
    <s v="11508400 Komputery i sprzęt IT - Umorzenie"/>
    <s v="Bilansowe"/>
    <n v="839627.19"/>
    <n v="0"/>
    <n v="38074.310000000056"/>
    <n v="47300.479999999981"/>
    <n v="50435.969999999972"/>
    <n v="36086.980000000098"/>
    <n v="0"/>
    <n v="44473.069999999949"/>
    <n v="0"/>
    <n v="52577.820000000065"/>
    <n v="4082.85"/>
    <n v="36848.6"/>
    <n v="1149507.2700000003"/>
    <n v="1149507.2700000003"/>
    <n v="0"/>
  </r>
  <r>
    <s v="Aktywa"/>
    <x v="0"/>
    <x v="1"/>
    <s v="1. Środki trwałe     "/>
    <s v="e) inne środki trwałe"/>
    <m/>
    <n v="11514100"/>
    <s v="11514100 Meble i wyposażenie - Wartość nabycia"/>
    <s v="Bilansowe"/>
    <n v="-1024800.78"/>
    <n v="-598"/>
    <n v="-26000"/>
    <n v="0"/>
    <n v="-67007.260000000009"/>
    <n v="-8354"/>
    <n v="-553.65999999991618"/>
    <n v="0"/>
    <n v="0"/>
    <n v="-1137.4000000001397"/>
    <n v="0"/>
    <n v="0"/>
    <n v="-1128451.1000000001"/>
    <n v="-1128451.1000000001"/>
    <n v="0"/>
  </r>
  <r>
    <s v="Aktywa"/>
    <x v="0"/>
    <x v="1"/>
    <s v="1. Środki trwałe     "/>
    <s v="e) inne środki trwałe"/>
    <m/>
    <n v="11514400"/>
    <s v="11514400 Meble i wyposażenie - Umorzenie"/>
    <s v="Bilansowe"/>
    <n v="1014993.86"/>
    <n v="0"/>
    <n v="1663.7800000000279"/>
    <n v="966.20999999996275"/>
    <n v="704.71000000007916"/>
    <n v="10375.179999999935"/>
    <n v="0"/>
    <n v="4595.9699999999721"/>
    <n v="0"/>
    <n v="4042.3200000000652"/>
    <n v="2021.17"/>
    <n v="2021.14"/>
    <n v="1041384.3400000001"/>
    <n v="1041384.3400000001"/>
    <n v="0"/>
  </r>
  <r>
    <s v="Aktywa"/>
    <x v="0"/>
    <x v="1"/>
    <s v="1. Środki trwałe     "/>
    <s v="d) środki transportu"/>
    <m/>
    <n v="11518100"/>
    <s v="11518100 Samochody - Wartość nabycia"/>
    <s v="Bilansowe"/>
    <n v="-1391454.59"/>
    <n v="0"/>
    <n v="0"/>
    <n v="0"/>
    <n v="0"/>
    <n v="0"/>
    <n v="0"/>
    <n v="0"/>
    <n v="0"/>
    <n v="0"/>
    <n v="0"/>
    <n v="328972.15000000002"/>
    <n v="-1062482.44"/>
    <n v="-1062482.44"/>
    <n v="0"/>
  </r>
  <r>
    <s v="Aktywa"/>
    <x v="0"/>
    <x v="1"/>
    <s v="1. Środki trwałe     "/>
    <s v="d) środki transportu"/>
    <m/>
    <n v="11518400"/>
    <s v="11518400 Samochody - Umorzenie"/>
    <s v="Bilansowe"/>
    <n v="990571.85"/>
    <n v="0"/>
    <n v="45714.599999999977"/>
    <n v="22857.260000000009"/>
    <n v="19036.949999999953"/>
    <n v="19036.950000000186"/>
    <n v="0"/>
    <n v="38073.85999999987"/>
    <n v="0"/>
    <n v="36769.310000000056"/>
    <n v="16100.979999999998"/>
    <n v="-303097.44"/>
    <n v="885064.32000000007"/>
    <n v="885064.32000000007"/>
    <n v="0"/>
  </r>
  <r>
    <s v="Aktywa"/>
    <x v="0"/>
    <x v="2"/>
    <s v="2. Inne rozliczenia międzyokresowe     "/>
    <m/>
    <m/>
    <n v="13500000"/>
    <s v="13500000 Kaucje i depozyty"/>
    <s v="Bilansowe"/>
    <n v="-82626"/>
    <n v="-76602"/>
    <n v="0"/>
    <n v="0"/>
    <n v="0"/>
    <n v="0"/>
    <n v="0"/>
    <n v="0"/>
    <n v="0"/>
    <n v="0"/>
    <n v="0"/>
    <n v="0"/>
    <n v="-159228"/>
    <n v="-159228"/>
    <n v="0"/>
  </r>
  <r>
    <s v="Aktywa"/>
    <x v="0"/>
    <x v="2"/>
    <s v="1. Aktywa z tytułu odroczonego podatku dochodowego     "/>
    <m/>
    <m/>
    <n v="14502000"/>
    <s v="14502000 Aktywa z tytułu podatku odroczonego"/>
    <s v="Bilansowe"/>
    <n v="-619205.87"/>
    <n v="0"/>
    <n v="0"/>
    <n v="0"/>
    <n v="329020.75"/>
    <n v="0"/>
    <n v="0"/>
    <n v="0"/>
    <n v="0"/>
    <n v="290185.12"/>
    <n v="0"/>
    <n v="-520903.26000000007"/>
    <n v="-520903.26000000007"/>
    <n v="-520903.26000000007"/>
    <n v="0"/>
  </r>
  <r>
    <s v="Aktywa"/>
    <x v="1"/>
    <x v="3"/>
    <s v="3. Należności od pozostałych jednostek     "/>
    <s v="a) z tytułu dostaw i usług, o okresie spłaty: "/>
    <s v="- do 12 miesięcy"/>
    <n v="15500000"/>
    <s v="15500000 Należności handlowe - podmioty niepowiązane"/>
    <s v="Bilansowe"/>
    <n v="-134792.95999999999"/>
    <n v="5493.8799999999901"/>
    <n v="-31565.17"/>
    <n v="-13038.959999999992"/>
    <n v="44630.12999999999"/>
    <n v="-252417.22999999998"/>
    <n v="252461.22999999998"/>
    <n v="17131.869999999995"/>
    <n v="0"/>
    <n v="66732.63"/>
    <n v="27018.580000000005"/>
    <n v="3246"/>
    <n v="-15100.000000000011"/>
    <n v="-15100.000000000011"/>
    <n v="0"/>
  </r>
  <r>
    <s v="Aktywa"/>
    <x v="1"/>
    <x v="3"/>
    <s v="3. Należności od pozostałych jednostek"/>
    <s v="c) inne"/>
    <m/>
    <n v="15500800"/>
    <s v="15500800 Odpisy na należności handlowe - podm niepowiązane"/>
    <s v="Bilansowe"/>
    <n v="228599.86"/>
    <n v="0"/>
    <n v="0"/>
    <n v="0"/>
    <n v="0"/>
    <n v="0"/>
    <n v="0"/>
    <n v="0"/>
    <n v="0"/>
    <n v="-204362.27999999997"/>
    <n v="0"/>
    <n v="-24237.58"/>
    <n v="0"/>
    <n v="0"/>
    <n v="0"/>
  </r>
  <r>
    <s v="Aktywa"/>
    <x v="1"/>
    <x v="3"/>
    <s v="3. Należności od pozostałych jednostek     "/>
    <s v="a) z tytułu dostaw i usług, o okresie spłaty: "/>
    <s v="- do 12 miesięcy"/>
    <n v="15500999"/>
    <s v="15500999 Należności handlowe podm niepow - wycena bilansowa"/>
    <s v="Bilansowe"/>
    <n v="4003.23"/>
    <n v="0"/>
    <n v="0"/>
    <n v="0"/>
    <n v="0"/>
    <n v="0"/>
    <n v="0"/>
    <n v="0"/>
    <n v="0"/>
    <n v="0"/>
    <n v="0"/>
    <n v="-3933.7200000000003"/>
    <n v="69.509999999999764"/>
    <n v="69.509999999999764"/>
    <n v="0"/>
  </r>
  <r>
    <s v="Aktywa"/>
    <x v="1"/>
    <x v="3"/>
    <s v="3. Należności od pozostałych jednostek"/>
    <s v="c) inne"/>
    <m/>
    <n v="15560000"/>
    <s v="15560000 Faktury do wystawienia"/>
    <s v="Bilansowe"/>
    <n v="0"/>
    <n v="0"/>
    <n v="0"/>
    <n v="0"/>
    <n v="-4.32"/>
    <n v="4.32"/>
    <n v="0"/>
    <n v="0"/>
    <n v="0"/>
    <n v="0"/>
    <n v="0"/>
    <n v="0"/>
    <n v="0"/>
    <n v="0"/>
    <n v="0"/>
  </r>
  <r>
    <s v="Aktywa"/>
    <x v="0"/>
    <x v="2"/>
    <s v="2. Inne rozliczenia międzyokresowe     "/>
    <m/>
    <m/>
    <n v="15514000"/>
    <s v="15514000 Przychody przyszłych okresów"/>
    <s v="Bilansowe"/>
    <n v="-1850899"/>
    <n v="1850899"/>
    <n v="0"/>
    <n v="0"/>
    <n v="0"/>
    <n v="0"/>
    <n v="0"/>
    <n v="0"/>
    <n v="0"/>
    <n v="0"/>
    <n v="0"/>
    <n v="-1729855"/>
    <n v="-1729855"/>
    <n v="-1729855"/>
    <n v="0"/>
  </r>
  <r>
    <s v="Aktywa"/>
    <x v="1"/>
    <x v="3"/>
    <s v="1. Należności od jednostek powiązanych     "/>
    <s v="a) z tytułu dostaw i usług, o okresie spłaty: "/>
    <s v="- do 12 miesięcy"/>
    <n v="15540000"/>
    <s v="15540000 Należności handlowe - podmioty powiązane"/>
    <s v="Bilansowe"/>
    <n v="-929.04"/>
    <n v="0"/>
    <n v="0"/>
    <n v="0"/>
    <n v="-191641.94"/>
    <n v="35780.23000000001"/>
    <n v="137525.04"/>
    <n v="18336.669999999998"/>
    <n v="0"/>
    <n v="0"/>
    <n v="0"/>
    <n v="0"/>
    <n v="-929.0399999999936"/>
    <n v="-929.0399999999936"/>
    <n v="0"/>
  </r>
  <r>
    <s v="Aktywa"/>
    <x v="1"/>
    <x v="3"/>
    <s v="1. Należności od jednostek powiązanych     "/>
    <s v="a) z tytułu dostaw i usług, o okresie spłaty: "/>
    <s v="- do 12 miesięcy"/>
    <n v="15540999"/>
    <s v="15540999 Należności handlowe podm powiąz - wycena bilansowa"/>
    <s v="Bilansowe"/>
    <n v="26.04"/>
    <n v="0"/>
    <n v="0"/>
    <n v="0"/>
    <n v="0"/>
    <n v="0"/>
    <n v="0"/>
    <n v="0"/>
    <n v="0"/>
    <n v="0"/>
    <n v="0"/>
    <n v="-26.04"/>
    <n v="0"/>
    <n v="0"/>
    <n v="0"/>
  </r>
  <r>
    <s v="Aktywa"/>
    <x v="1"/>
    <x v="3"/>
    <s v="3. Należności od pozostałych jednostek     "/>
    <s v="c) inne"/>
    <m/>
    <n v="15550368"/>
    <s v="15550368 Bieżące rozrachunki z XYZ Principal"/>
    <s v="Bilansowe"/>
    <n v="-90991394.290000007"/>
    <n v="-25146.979999989271"/>
    <n v="-1131.3200000077486"/>
    <n v="0"/>
    <n v="1131.3200000077486"/>
    <n v="-4.3200000077486038"/>
    <n v="0"/>
    <n v="0"/>
    <n v="0"/>
    <n v="0"/>
    <n v="-4305.5700000000006"/>
    <n v="0"/>
    <n v="-91020851.159999996"/>
    <n v="-91020851.159999996"/>
    <n v="0"/>
  </r>
  <r>
    <s v="Pasywa"/>
    <x v="2"/>
    <x v="4"/>
    <s v="3. Zobowiązania wobec pozostałych jednostek "/>
    <s v="i) inne"/>
    <m/>
    <n v="15552000"/>
    <s v="15552000 Bieżące rozrachunki z XYZ S.A. Genewa"/>
    <s v="Bilansowe"/>
    <n v="96164743.209999993"/>
    <n v="-2200425"/>
    <n v="-353554"/>
    <n v="954250"/>
    <n v="1621954.9200000018"/>
    <n v="1344860"/>
    <n v="-1138638.6099999994"/>
    <n v="-11000"/>
    <n v="15000"/>
    <n v="59640"/>
    <n v="-57000"/>
    <n v="29000"/>
    <n v="96428830.519999996"/>
    <n v="96428830.519999996"/>
    <n v="0"/>
  </r>
  <r>
    <s v="Aktywa"/>
    <x v="1"/>
    <x v="3"/>
    <s v="2. Należności od jednostek powiązanych"/>
    <s v="b) inne"/>
    <m/>
    <n v="15562000"/>
    <s v="15562000 Faktury do wystawienia do właściciela"/>
    <s v="Bilansowe"/>
    <n v="-40034.51"/>
    <n v="-12603.71"/>
    <n v="21394.880000000001"/>
    <n v="18430.370000000003"/>
    <n v="21966.66"/>
    <n v="-35763.97"/>
    <n v="152.18000000000029"/>
    <n v="118.93999999999869"/>
    <n v="35000"/>
    <n v="12415.61"/>
    <n v="-7200"/>
    <n v="0"/>
    <n v="13876.45"/>
    <n v="13876.45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16004000"/>
    <s v="16004000 Należności od US - VAT"/>
    <s v="Bilansowe"/>
    <n v="-76353"/>
    <n v="36368"/>
    <n v="76547"/>
    <n v="66663"/>
    <n v="28240"/>
    <n v="33646"/>
    <n v="33173"/>
    <n v="54185"/>
    <n v="0"/>
    <n v="27847"/>
    <n v="31079"/>
    <n v="56644"/>
    <n v="368039"/>
    <n v="368039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16004010"/>
    <s v="16004010 VAT Naliczony"/>
    <s v="Bilansowe"/>
    <n v="-106017.54"/>
    <n v="-28754.150000000009"/>
    <n v="-40045.56"/>
    <n v="-33012.760000000009"/>
    <n v="-101028.85999999999"/>
    <n v="-32405.710000000021"/>
    <n v="-40330.159999999974"/>
    <n v="-25834.450000000012"/>
    <n v="-46879.289999999979"/>
    <n v="-49477.239999999991"/>
    <n v="-31843.95"/>
    <n v="-43551.129999999976"/>
    <n v="-579180.79999999993"/>
    <n v="-579180.79999999993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16004080"/>
    <s v="16004080 Input tax"/>
    <s v="Bilansowe"/>
    <n v="-325.05"/>
    <n v="0"/>
    <n v="0"/>
    <n v="0"/>
    <n v="95.81"/>
    <n v="0"/>
    <n v="-1673.61"/>
    <n v="0"/>
    <n v="4.3799999999998818"/>
    <n v="-65.200000000000045"/>
    <n v="-103.69"/>
    <n v="-68"/>
    <n v="-2135.36"/>
    <n v="-2135.36"/>
    <n v="0"/>
  </r>
  <r>
    <s v="Aktywa"/>
    <x v="1"/>
    <x v="3"/>
    <s v="3. Należności od pozostałych jednostek     "/>
    <s v="c) inne"/>
    <m/>
    <n v="16008000"/>
    <s v="16008000 Należności od pracowników"/>
    <s v="Bilansowe"/>
    <n v="17309.580000000002"/>
    <n v="-12901.170000000002"/>
    <n v="13104.29"/>
    <n v="-8588.4000000000015"/>
    <n v="727.52000000000044"/>
    <n v="-16950.95"/>
    <n v="6415.3"/>
    <n v="9894.4599999999991"/>
    <n v="2480.8500000000004"/>
    <n v="-9920.74"/>
    <n v="1472.9299999999998"/>
    <n v="6858.870000000009"/>
    <n v="9902.5400000000063"/>
    <n v="9902.5400000000063"/>
    <n v="0"/>
  </r>
  <r>
    <s v="Aktywa"/>
    <x v="1"/>
    <x v="3"/>
    <s v="3. Należności od pozostałych jednostek"/>
    <s v="c) inne"/>
    <m/>
    <n v="16008030"/>
    <s v="16008030 Zaliczki na wynagrodzenia"/>
    <s v="Bilansowe"/>
    <n v="-33680"/>
    <n v="8370"/>
    <n v="6470"/>
    <n v="-19100"/>
    <n v="22940"/>
    <n v="-20500"/>
    <n v="12331.09"/>
    <n v="-5100"/>
    <n v="-2131.09"/>
    <n v="26400"/>
    <n v="2000"/>
    <n v="2000"/>
    <n v="0"/>
    <n v="0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16500000"/>
    <s v="16500000 Podatek dochodowy - zaliczki i nadpłata"/>
    <s v="Bilansowe"/>
    <n v="-557949"/>
    <n v="0"/>
    <n v="0"/>
    <n v="0"/>
    <n v="0"/>
    <n v="557948"/>
    <n v="0"/>
    <n v="0"/>
    <n v="0"/>
    <n v="1"/>
    <n v="0"/>
    <n v="-728950"/>
    <n v="-728950"/>
    <n v="-728950"/>
    <n v="0"/>
  </r>
  <r>
    <s v="Aktywa"/>
    <x v="1"/>
    <x v="5"/>
    <s v=""/>
    <m/>
    <m/>
    <n v="17000000"/>
    <s v="17000000 Rozliczenia międzyokresowe kosztów"/>
    <s v="Bilansowe"/>
    <n v="-159844.67000000001"/>
    <n v="27941.100000000006"/>
    <n v="-17248.899999999994"/>
    <n v="6281.1000000000058"/>
    <n v="29811.099999999991"/>
    <n v="6281"/>
    <n v="26991.100000000006"/>
    <n v="6281.0999999999913"/>
    <n v="49601.100000000006"/>
    <n v="-57748.899999999994"/>
    <n v="6281.0999999999985"/>
    <n v="6281.1"/>
    <n v="-69092.669999999984"/>
    <n v="-69092.669999999984"/>
    <n v="0"/>
  </r>
  <r>
    <s v="Aktywa"/>
    <x v="1"/>
    <x v="5"/>
    <s v=""/>
    <m/>
    <m/>
    <n v="17000030"/>
    <s v="17000030 Rozliczenia międzyokresowe kosztów - ubezpiecz"/>
    <s v="Bilansowe"/>
    <n v="-23080.09"/>
    <n v="-3252.34"/>
    <n v="6768.4000000000015"/>
    <n v="127.93999999999869"/>
    <n v="-28478.579999999998"/>
    <n v="-9115.7900000000009"/>
    <n v="612.68000000000029"/>
    <n v="4514.43"/>
    <n v="6659.68"/>
    <n v="12008.919999999998"/>
    <n v="5719.68"/>
    <n v="5719.68"/>
    <n v="-21795.39"/>
    <n v="-21795.39"/>
    <n v="0"/>
  </r>
  <r>
    <s v="Aktywa"/>
    <x v="0"/>
    <x v="1"/>
    <s v="3. Zaliczki na środki trwałe"/>
    <m/>
    <m/>
    <n v="17006000"/>
    <s v="17006000 Zaliczki na środki trwałe"/>
    <s v="Bilansowe"/>
    <n v="0"/>
    <n v="0"/>
    <n v="0"/>
    <n v="-10000"/>
    <n v="0"/>
    <n v="0"/>
    <n v="0"/>
    <n v="10000"/>
    <n v="0"/>
    <n v="0"/>
    <n v="0"/>
    <n v="0"/>
    <n v="0"/>
    <n v="0"/>
    <n v="0"/>
  </r>
  <r>
    <s v="Aktywa"/>
    <x v="1"/>
    <x v="6"/>
    <s v="1. Krótkoterminowe aktywa finansowe"/>
    <s v="c) środki pieniężne i inne aktywa pieniężne"/>
    <s v="- środki pieniężne w kasie i na rachunkach"/>
    <n v="18579900"/>
    <s v="18579900 mBank PLN"/>
    <s v="Bilansowe"/>
    <n v="-118969.27"/>
    <n v="22664.33"/>
    <n v="8491.6199999999953"/>
    <n v="-1200077.02"/>
    <n v="1187917.9200000002"/>
    <n v="-574892.53999999992"/>
    <n v="420467.33999999997"/>
    <n v="-74535.700000000012"/>
    <n v="-84251.599999999977"/>
    <n v="-33433.010000000009"/>
    <n v="109214.94000000069"/>
    <n v="219483.51000000135"/>
    <n v="-117919.47999999783"/>
    <n v="-117919.47999999783"/>
    <n v="0"/>
  </r>
  <r>
    <s v="Aktywa"/>
    <x v="1"/>
    <x v="6"/>
    <s v="1. Krótkoterminowe aktywa finansowe"/>
    <s v="c) środki pieniężne i inne aktywa pieniężne"/>
    <s v="- środki pieniężne w kasie i na rachunkach"/>
    <n v="18580000"/>
    <s v="18580000 mBank USD"/>
    <s v="Bilansowe"/>
    <n v="0"/>
    <n v="0"/>
    <n v="0"/>
    <n v="-415.7"/>
    <n v="-4620.34"/>
    <n v="0"/>
    <n v="-15074.919999999998"/>
    <n v="4171.4199999999983"/>
    <n v="1225.4500000000007"/>
    <n v="580.75"/>
    <n v="106.19000000000005"/>
    <n v="14027.149999999996"/>
    <n v="0"/>
    <n v="0"/>
    <n v="0"/>
  </r>
  <r>
    <s v="Aktywa"/>
    <x v="1"/>
    <x v="6"/>
    <s v="1. Krótkoterminowe aktywa finansowe"/>
    <s v="c) środki pieniężne i inne aktywa pieniężne"/>
    <s v="- środki pieniężne w kasie i na rachunkach"/>
    <n v="18580100"/>
    <s v="18580100 mBank EUR"/>
    <s v="Bilansowe"/>
    <n v="-38867.72"/>
    <n v="19608.050000000003"/>
    <n v="-102444.52"/>
    <n v="94122.38"/>
    <n v="-19672.2"/>
    <n v="26029.72"/>
    <n v="-238837.21"/>
    <n v="-17259.719999999972"/>
    <n v="5321.4599999999627"/>
    <n v="16924.710000000021"/>
    <n v="-2774.9100000000039"/>
    <n v="257849.96"/>
    <n v="0"/>
    <n v="0"/>
    <n v="0"/>
  </r>
  <r>
    <s v="Aktywa"/>
    <x v="1"/>
    <x v="6"/>
    <s v="1. Krótkoterminowe aktywa finansowe"/>
    <s v="c) środki pieniężne i inne aktywa pieniężne"/>
    <s v="- środki pieniężne w kasie i na rachunkach"/>
    <n v="18580200"/>
    <s v="18580200 mBank PLN karty debetowe"/>
    <s v="Bilansowe"/>
    <n v="-10393.469999999999"/>
    <n v="3015.9999999999991"/>
    <n v="-4980.9999999999991"/>
    <n v="6021.9999999999991"/>
    <n v="10"/>
    <n v="3019.0000000000005"/>
    <n v="-4960"/>
    <n v="2015.9999999999991"/>
    <n v="3019.0000000000005"/>
    <n v="110"/>
    <n v="-469"/>
    <n v="537"/>
    <n v="-3054.47"/>
    <n v="-3054.47"/>
    <n v="0"/>
  </r>
  <r>
    <s v="Aktywa"/>
    <x v="1"/>
    <x v="6"/>
    <s v="1. Krótkoterminowe aktywa finansowe"/>
    <s v="c) środki pieniężne i inne aktywa pieniężne"/>
    <s v="- środki pieniężne w kasie i na rachunkach"/>
    <n v="19000000"/>
    <s v="19000000 Środki pienięzne w kasie"/>
    <s v="Bilansowe"/>
    <n v="-5799.08"/>
    <n v="2574.92"/>
    <n v="-916.40999999999985"/>
    <n v="-2583"/>
    <n v="2932.7999999999997"/>
    <n v="3000"/>
    <n v="-3834.6699999999996"/>
    <n v="815.11999999999944"/>
    <n v="-3112.4500000000003"/>
    <n v="6665.71"/>
    <n v="-389.7800000000002"/>
    <n v="-3477.44"/>
    <n v="-4124.2800000000007"/>
    <n v="-4124.2800000000007"/>
    <n v="0"/>
  </r>
  <r>
    <s v="Aktywa"/>
    <x v="1"/>
    <x v="6"/>
    <s v="1. Krótkoterminowe aktywa finansowe"/>
    <s v="c) środki pieniężne i inne aktywa pieniężne"/>
    <s v="- środki pieniężne w kasie i na rachunkach"/>
    <n v="19002000"/>
    <s v="19002000 Inne środki pieniężne"/>
    <s v="Bilansowe"/>
    <n v="-5000"/>
    <n v="-21476"/>
    <n v="9187.68"/>
    <n v="-6165.2200000000012"/>
    <n v="-21527.5"/>
    <n v="-532.72999999999593"/>
    <n v="6828.2799999999988"/>
    <n v="0"/>
    <n v="-2261.4700000000012"/>
    <n v="26046.239999999998"/>
    <n v="6917.82"/>
    <n v="7982.8999999904627"/>
    <n v="-9.5387804321944714E-9"/>
    <n v="-9.5387804321944714E-9"/>
    <n v="0"/>
  </r>
  <r>
    <s v="Pasywa"/>
    <x v="3"/>
    <x v="7"/>
    <s v=""/>
    <m/>
    <m/>
    <n v="20000000"/>
    <s v="20000000 Kapitał zakładowy"/>
    <s v="Bilansowe"/>
    <n v="50000"/>
    <n v="0"/>
    <n v="0"/>
    <n v="0"/>
    <n v="0"/>
    <n v="0"/>
    <n v="0"/>
    <n v="0"/>
    <n v="0"/>
    <n v="0"/>
    <n v="0"/>
    <n v="0"/>
    <n v="50000"/>
    <n v="50000"/>
    <n v="0"/>
  </r>
  <r>
    <s v="Pasywa"/>
    <x v="3"/>
    <x v="8"/>
    <s v=""/>
    <m/>
    <m/>
    <n v="21000000"/>
    <s v="21000000 Zysk zatrzymany"/>
    <s v="Bilansowe"/>
    <n v="1256953.78"/>
    <n v="0"/>
    <n v="0"/>
    <n v="0"/>
    <n v="0"/>
    <n v="0"/>
    <n v="635497.26"/>
    <n v="0"/>
    <n v="0"/>
    <n v="0"/>
    <n v="0"/>
    <n v="0"/>
    <n v="1892451.04"/>
    <n v="1892451.04"/>
    <n v="0"/>
  </r>
  <r>
    <s v="Pasywa"/>
    <x v="3"/>
    <x v="8"/>
    <s v=""/>
    <m/>
    <m/>
    <n v="21500000"/>
    <s v="21500000 Profit of the period"/>
    <s v="Bilansowe"/>
    <n v="650798.11"/>
    <n v="0"/>
    <n v="0"/>
    <n v="0"/>
    <n v="0"/>
    <n v="0"/>
    <n v="-635497.26"/>
    <n v="0"/>
    <n v="0"/>
    <n v="0"/>
    <n v="0"/>
    <n v="0"/>
    <n v="15300.849999999977"/>
    <n v="15300.849999999977"/>
    <n v="0"/>
  </r>
  <r>
    <s v="Pasywa"/>
    <x v="2"/>
    <x v="9"/>
    <s v="2. Rezerwa na świadczenia emerytalne i podobne "/>
    <s v="a) długoterminowe    "/>
    <m/>
    <n v="30500000"/>
    <s v="30500000 Rezerwa na odprawę emerytalną"/>
    <s v="Bilansowe"/>
    <n v="431910"/>
    <n v="0"/>
    <n v="0"/>
    <n v="0"/>
    <n v="0"/>
    <n v="0"/>
    <n v="0"/>
    <n v="0"/>
    <n v="0"/>
    <n v="0"/>
    <n v="0"/>
    <n v="83398"/>
    <n v="515308"/>
    <n v="515308"/>
    <n v="0"/>
  </r>
  <r>
    <s v="Pasywa"/>
    <x v="2"/>
    <x v="9"/>
    <s v="3. Pozostałe rezerwy "/>
    <s v="b) krótkoterminowe     "/>
    <m/>
    <n v="33506033"/>
    <s v="33506033 Rezerwa na premię roczną"/>
    <s v="Bilansowe"/>
    <n v="1731688"/>
    <n v="0"/>
    <n v="0"/>
    <n v="0"/>
    <n v="-1693374"/>
    <n v="0"/>
    <n v="0"/>
    <n v="0"/>
    <n v="0"/>
    <n v="0"/>
    <n v="0"/>
    <n v="1419719"/>
    <n v="1458033"/>
    <n v="1458033"/>
    <n v="0"/>
  </r>
  <r>
    <s v="Pasywa"/>
    <x v="2"/>
    <x v="9"/>
    <s v="3. Pozostałe rezerwy "/>
    <s v="a) długoterminowe    "/>
    <m/>
    <n v="33506050"/>
    <s v="33506050 Rezerwa urlopowa"/>
    <s v="Bilansowe"/>
    <n v="767709"/>
    <n v="0"/>
    <n v="0"/>
    <n v="0"/>
    <n v="0"/>
    <n v="0"/>
    <n v="0"/>
    <n v="0"/>
    <n v="0"/>
    <n v="0"/>
    <n v="0"/>
    <n v="-26873.41"/>
    <n v="740835.59"/>
    <n v="740835.59"/>
    <n v="0"/>
  </r>
  <r>
    <s v="Pasywa"/>
    <x v="2"/>
    <x v="4"/>
    <s v="3. Zobowiązania wobec pozostałych jednostek"/>
    <s v="h) z tytułu wynagrodzeń "/>
    <m/>
    <n v="33506000"/>
    <s v="33506000 Krótkoterminowe zobowiązania wobec pracowników"/>
    <s v="Bilansowe"/>
    <n v="53"/>
    <n v="3382.66"/>
    <n v="106"/>
    <n v="-682197.48"/>
    <n v="682234.17999999993"/>
    <n v="123.42000000000007"/>
    <n v="-2706.67"/>
    <n v="-754052.84"/>
    <n v="748405.94"/>
    <n v="4651.79"/>
    <n v="-12.410000000183913"/>
    <n v="12.409999999887077"/>
    <n v="-3.3412561606382951E-10"/>
    <n v="-3.3412561606382951E-10"/>
    <n v="0"/>
  </r>
  <r>
    <s v="Pasywa"/>
    <x v="2"/>
    <x v="9"/>
    <s v="3. Pozostałe rezerwy "/>
    <s v="a) długoterminowe    "/>
    <m/>
    <n v="34014000"/>
    <s v="34014000 Inne rezerwy"/>
    <s v="Bilansowe"/>
    <n v="17750"/>
    <n v="0"/>
    <n v="0"/>
    <n v="0"/>
    <n v="0"/>
    <n v="0"/>
    <n v="0"/>
    <n v="0"/>
    <n v="0"/>
    <n v="0"/>
    <n v="0"/>
    <n v="9600"/>
    <n v="27350"/>
    <n v="27350"/>
    <n v="0"/>
  </r>
  <r>
    <s v="Pasywa"/>
    <x v="2"/>
    <x v="4"/>
    <s v="3. Zobowiązania wobec pozostałych jednostek "/>
    <s v="d) z tytułu dostaw i usług, o okresie wymagalności: "/>
    <s v="- do 12 miesięcy"/>
    <n v="34500000"/>
    <s v="34500000 Zobowiązania handlowe - podmioty niepowiązane"/>
    <s v="Bilansowe"/>
    <n v="58587.33"/>
    <n v="-75500.95"/>
    <n v="27423.46"/>
    <n v="-47190.7"/>
    <n v="276719.25"/>
    <n v="-158920.88"/>
    <n v="-60292.429999999993"/>
    <n v="-33969.5"/>
    <n v="29761.68"/>
    <n v="-12177.21"/>
    <n v="-24530.399999999958"/>
    <n v="107090.49000000002"/>
    <n v="87000.140000000072"/>
    <n v="87000.140000000072"/>
    <n v="0"/>
  </r>
  <r>
    <s v="Pasywa"/>
    <x v="2"/>
    <x v="4"/>
    <s v="3. Zobowiązania wobec pozostałych jednostek "/>
    <s v="d) z tytułu dostaw i usług, o okresie wymagalności: "/>
    <s v="- do 12 miesięcy"/>
    <n v="34504000"/>
    <s v="34504000 Dostawy niefakturowane - podmioty niepowiązane"/>
    <s v="Bilansowe"/>
    <n v="38051.43"/>
    <n v="-38051.43"/>
    <n v="0"/>
    <n v="0"/>
    <n v="0"/>
    <n v="0"/>
    <n v="0"/>
    <n v="0"/>
    <n v="0"/>
    <n v="0"/>
    <n v="0"/>
    <n v="56387.399999999994"/>
    <n v="56387.399999999994"/>
    <n v="56387.399999999994"/>
    <n v="0"/>
  </r>
  <r>
    <s v="Aktywa"/>
    <x v="1"/>
    <x v="3"/>
    <s v="3. Należności od pozostałych jednostek"/>
    <s v="c) inne"/>
    <m/>
    <n v="34515000"/>
    <s v="34515000 Faktura do przypisania (SD)"/>
    <s v="Bilansowe"/>
    <n v="-93807.9"/>
    <n v="93807.9"/>
    <n v="0"/>
    <n v="0"/>
    <n v="0"/>
    <n v="0"/>
    <n v="0"/>
    <n v="0"/>
    <n v="0"/>
    <n v="0"/>
    <n v="0"/>
    <n v="0"/>
    <n v="0"/>
    <n v="0"/>
    <n v="0"/>
  </r>
  <r>
    <s v="Aktywa"/>
    <x v="1"/>
    <x v="3"/>
    <s v="1. Należności od jednostek powiązanych     "/>
    <s v="a) z tytułu dostaw i usług, o okresie spłaty: "/>
    <s v="- do 12 miesięcy"/>
    <n v="34550000"/>
    <s v="34550000 Zobowiązania handlowe - podmioty powiązane"/>
    <s v="Bilansowe"/>
    <n v="0"/>
    <n v="0"/>
    <n v="107503.79"/>
    <n v="1231452.96"/>
    <n v="-1338956.75"/>
    <n v="0"/>
    <n v="23375.94"/>
    <n v="-13421.14"/>
    <n v="-9954.7999999999993"/>
    <n v="66921.679999999993"/>
    <n v="-64469.849999999933"/>
    <n v="-2451.8299999999908"/>
    <n v="6.9121597334742546E-11"/>
    <n v="6.9121597334742546E-11"/>
    <n v="0"/>
  </r>
  <r>
    <s v="Pasywa"/>
    <x v="2"/>
    <x v="4"/>
    <s v="3. Zobowiązania wobec pozostałych jednostek "/>
    <s v="d) z tytułu dostaw i usług, o okresie wymagalności: "/>
    <s v="- do 12 miesięcy"/>
    <n v="34550999"/>
    <s v="34550999 Zobowiąz handlowe podm powiąz - wycena bilansowa"/>
    <s v="Bilansowe"/>
    <n v="29.08"/>
    <n v="0"/>
    <n v="0"/>
    <n v="0"/>
    <n v="0"/>
    <n v="0"/>
    <n v="0"/>
    <n v="0"/>
    <n v="0"/>
    <n v="0"/>
    <n v="0"/>
    <n v="-29.08"/>
    <n v="0"/>
    <n v="0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2010"/>
    <s v="35002010 VAT Należny"/>
    <s v="Bilansowe"/>
    <n v="1102.78"/>
    <n v="256.48"/>
    <n v="325.18000000000006"/>
    <n v="512.96"/>
    <n v="-93.180000000000291"/>
    <n v="47461.02"/>
    <n v="13678.480000000003"/>
    <n v="822.97000000000116"/>
    <n v="22266.729999999996"/>
    <n v="258.27999999999884"/>
    <n v="258.12"/>
    <n v="272.02"/>
    <n v="87121.84"/>
    <n v="87121.84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2100"/>
    <s v="35002100 VAT należny EU"/>
    <s v="Bilansowe"/>
    <n v="0"/>
    <n v="0"/>
    <n v="0"/>
    <n v="0"/>
    <n v="0"/>
    <n v="0"/>
    <n v="0"/>
    <n v="0"/>
    <n v="0"/>
    <n v="65.2"/>
    <n v="103.69"/>
    <n v="68"/>
    <n v="236.89"/>
    <n v="236.89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4001"/>
    <s v="35004001 Zobowiązania wobec US - PIT"/>
    <s v="Bilansowe"/>
    <n v="90737"/>
    <n v="-1448"/>
    <n v="1816"/>
    <n v="-91105"/>
    <n v="267860"/>
    <n v="-131887"/>
    <n v="-15065"/>
    <n v="-120908"/>
    <n v="115651"/>
    <n v="-159"/>
    <n v="13827"/>
    <n v="-129319"/>
    <n v="0"/>
    <n v="0"/>
    <n v="0"/>
  </r>
  <r>
    <s v="Pasywa"/>
    <x v="2"/>
    <x v="4"/>
    <s v="3. Zobowiązania wobec pozostałych jednostek "/>
    <s v="g) z tytułu podatków, ceł, ubezpieczeń społecznych i zdrowotnych oraz innych tytułów publicznoprawnych"/>
    <m/>
    <n v="35006000"/>
    <s v="35006000 Zobowiazania z tytułu ubezpieczeń społecznych"/>
    <s v="Bilansowe"/>
    <n v="352824.99"/>
    <n v="-1026.289999999979"/>
    <n v="-7579.2000000000116"/>
    <n v="-344219.5"/>
    <n v="892880.01"/>
    <n v="-491438.28"/>
    <n v="-81610.909999999974"/>
    <n v="-319830.82"/>
    <n v="331739.46000000002"/>
    <n v="-33984.48000000004"/>
    <n v="-3757.6800000001376"/>
    <n v="-293997.30000000045"/>
    <n v="-5.8207660913467407E-10"/>
    <n v="-5.8207660913467407E-10"/>
    <n v="0"/>
  </r>
  <r>
    <s v="Aktywa"/>
    <x v="0"/>
    <x v="2"/>
    <s v="2. Inne rozliczenia międzyokresowe     "/>
    <m/>
    <m/>
    <n v="36500010"/>
    <s v="36500010 Przychody z frachtu powyżej lub ponizej manifestu"/>
    <s v="Bilansowe"/>
    <n v="-122.99"/>
    <n v="0"/>
    <n v="-2.0000000000010232E-2"/>
    <n v="0.15000000000000568"/>
    <n v="0"/>
    <n v="-7.9999999999998295E-2"/>
    <n v="0.50999999999999091"/>
    <n v="-1.9999999999996021E-2"/>
    <n v="0"/>
    <n v="1.230000000000004"/>
    <n v="-2.9999999999998438E-2"/>
    <n v="0.04"/>
    <n v="-121.21"/>
    <n v="-121.21"/>
    <n v="0"/>
  </r>
  <r>
    <s v="Pasywa"/>
    <x v="2"/>
    <x v="4"/>
    <s v="3. Należności od pozostałych jednostek"/>
    <m/>
    <m/>
    <n v="16000000"/>
    <s v="16000000 Other receivables"/>
    <s v="Bilansowe"/>
    <m/>
    <m/>
    <m/>
    <m/>
    <m/>
    <m/>
    <m/>
    <m/>
    <m/>
    <m/>
    <n v="0"/>
    <n v="5419"/>
    <n v="5419"/>
    <n v="5419"/>
    <n v="0"/>
  </r>
  <r>
    <s v="Aktywa"/>
    <x v="1"/>
    <x v="3"/>
    <s v="3. Należności od pozostałych jednostek     "/>
    <s v="b) z tytułu podatków, dotacji, ceł, ubezpieczeń społecznych _x000a_     i zdrowotnych oraz innych tytułów publicznoprawnych"/>
    <m/>
    <n v="35002000"/>
    <s v="35002000 Zobowiązania wobec US - VAT"/>
    <s v="Bilansowe"/>
    <m/>
    <m/>
    <m/>
    <m/>
    <m/>
    <m/>
    <m/>
    <m/>
    <m/>
    <m/>
    <n v="-584"/>
    <n v="0"/>
    <n v="-584"/>
    <n v="-584"/>
    <n v="0"/>
  </r>
  <r>
    <s v="Pasywa"/>
    <x v="3"/>
    <x v="10"/>
    <m/>
    <m/>
    <m/>
    <m/>
    <s v="Zysk netto bieżącego okresu"/>
    <m/>
    <n v="379978.41000000015"/>
    <n v="440442.24000000022"/>
    <n v="229502.0399999998"/>
    <n v="-6575.0100000000093"/>
    <n v="-1787117.0700000005"/>
    <n v="-374801.78000000026"/>
    <n v="700535.62999999989"/>
    <n v="1136584.7000000002"/>
    <n v="-1211578.8599999999"/>
    <n v="-300040.00000000047"/>
    <n v="-51451.929999999935"/>
    <n v="1186810.5700000012"/>
    <n v="342288.94000000041"/>
    <n v="342288.9400000004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ktywa"/>
    <x v="0"/>
    <x v="0"/>
    <x v="0"/>
    <x v="0"/>
    <m/>
    <n v="11000100"/>
    <s v="11000100 Oprogramowanie i licencje IT - Wartość nabycia"/>
    <s v="Bilansowe"/>
    <n v="49668.01"/>
    <n v="0"/>
    <n v="27794.999999999993"/>
    <n v="0"/>
    <n v="0"/>
    <n v="0"/>
    <n v="0"/>
    <n v="0"/>
    <n v="0"/>
    <n v="0"/>
    <n v="0"/>
    <n v="0"/>
    <n v="77463.009999999995"/>
    <n v="77463.009999999995"/>
    <n v="0"/>
  </r>
  <r>
    <s v="Aktywa"/>
    <x v="0"/>
    <x v="0"/>
    <x v="0"/>
    <x v="0"/>
    <m/>
    <n v="11000400"/>
    <s v="11000400 Oprogramowanie i licencje IT - Umorzenie"/>
    <s v="Bilansowe"/>
    <n v="-49668.01"/>
    <n v="0"/>
    <n v="0"/>
    <n v="0"/>
    <n v="0"/>
    <n v="0"/>
    <n v="0"/>
    <n v="0"/>
    <n v="0"/>
    <n v="0"/>
    <n v="-8338.5"/>
    <n v="-926.5"/>
    <n v="-58933.01"/>
    <n v="-58933.01"/>
    <n v="0"/>
  </r>
  <r>
    <s v="Aktywa"/>
    <x v="0"/>
    <x v="1"/>
    <x v="1"/>
    <x v="1"/>
    <m/>
    <n v="11502100"/>
    <s v="11502100 Budynki - Wartość nabycia"/>
    <s v="Bilansowe"/>
    <n v="8316576.9500000002"/>
    <n v="0"/>
    <n v="0"/>
    <n v="0"/>
    <n v="0"/>
    <n v="0"/>
    <n v="0"/>
    <n v="0"/>
    <n v="0"/>
    <n v="0"/>
    <n v="0"/>
    <n v="0"/>
    <n v="8316576.9500000002"/>
    <n v="8316576.9500000002"/>
    <n v="0"/>
  </r>
  <r>
    <s v="Aktywa"/>
    <x v="0"/>
    <x v="1"/>
    <x v="1"/>
    <x v="1"/>
    <m/>
    <n v="11502400"/>
    <s v="11502400 Budynki - Umorzenie"/>
    <s v="Bilansowe"/>
    <n v="-1472042.17"/>
    <n v="0"/>
    <n v="-34652.410000000149"/>
    <n v="-17326.199999999953"/>
    <n v="-17326.199999999953"/>
    <n v="-17326.209999999963"/>
    <n v="0"/>
    <n v="-34652.410000000149"/>
    <n v="0"/>
    <n v="-34652.419999999925"/>
    <n v="-17326.2"/>
    <n v="-17326.2"/>
    <n v="-1662630.42"/>
    <n v="-1662630.42"/>
    <n v="0"/>
  </r>
  <r>
    <s v="Aktywa"/>
    <x v="0"/>
    <x v="1"/>
    <x v="2"/>
    <x v="0"/>
    <m/>
    <n v="11504100"/>
    <s v="11504100 Nakłady w obcych środkach trwał - Wartość nabycia"/>
    <s v="Bilansowe"/>
    <n v="45961.56"/>
    <n v="0"/>
    <n v="0"/>
    <n v="0"/>
    <n v="154941.42000000001"/>
    <n v="0"/>
    <n v="0"/>
    <n v="0"/>
    <n v="0"/>
    <n v="0"/>
    <n v="0"/>
    <n v="0"/>
    <n v="200902.98"/>
    <n v="200902.98"/>
    <n v="0"/>
  </r>
  <r>
    <s v="Aktywa"/>
    <x v="0"/>
    <x v="1"/>
    <x v="2"/>
    <x v="0"/>
    <m/>
    <n v="11504400"/>
    <s v="11504400 Nakłady w obcych środkach trwał - Umorzenie"/>
    <s v="Bilansowe"/>
    <n v="-30527.62"/>
    <n v="0"/>
    <n v="-626.90999999999985"/>
    <n v="-313.46000000000276"/>
    <n v="-313.44999999999709"/>
    <n v="-313.45000000000073"/>
    <n v="0"/>
    <n v="-626.92000000000189"/>
    <n v="0"/>
    <n v="-626.92000000000189"/>
    <n v="-313.45"/>
    <n v="-313.45999999999998"/>
    <n v="-33975.64"/>
    <n v="-33975.64"/>
    <n v="0"/>
  </r>
  <r>
    <s v="Aktywa"/>
    <x v="0"/>
    <x v="1"/>
    <x v="1"/>
    <x v="2"/>
    <m/>
    <n v="11508100"/>
    <s v="11508100 Komputery i sprzęt IT - Wartość nabycia"/>
    <s v="Bilansowe"/>
    <n v="861732.19"/>
    <n v="17038.540000000037"/>
    <n v="16111.25"/>
    <n v="2357.7199999999721"/>
    <n v="90426.230000000098"/>
    <n v="33306.219999999972"/>
    <n v="30969.95000000007"/>
    <n v="11382.719999999972"/>
    <n v="5967.1699999999255"/>
    <n v="43619.199999999953"/>
    <n v="3289"/>
    <n v="54044.920000000006"/>
    <n v="1170245.1099999999"/>
    <n v="1170245.1099999999"/>
    <n v="0"/>
  </r>
  <r>
    <s v="Aktywa"/>
    <x v="0"/>
    <x v="1"/>
    <x v="1"/>
    <x v="2"/>
    <m/>
    <n v="11508400"/>
    <s v="11508400 Komputery i sprzęt IT - Umorzenie"/>
    <s v="Bilansowe"/>
    <n v="-839627.19"/>
    <n v="0"/>
    <n v="-38074.310000000056"/>
    <n v="-47300.479999999981"/>
    <n v="-50435.969999999972"/>
    <n v="-36086.980000000098"/>
    <n v="0"/>
    <n v="-44473.069999999949"/>
    <n v="0"/>
    <n v="-52577.820000000065"/>
    <n v="-4082.85"/>
    <n v="-36848.6"/>
    <n v="-1149507.2700000003"/>
    <n v="-1149507.2700000003"/>
    <n v="0"/>
  </r>
  <r>
    <s v="Aktywa"/>
    <x v="0"/>
    <x v="1"/>
    <x v="1"/>
    <x v="3"/>
    <m/>
    <n v="11514100"/>
    <s v="11514100 Meble i wyposażenie - Wartość nabycia"/>
    <s v="Bilansowe"/>
    <n v="1024800.78"/>
    <n v="598"/>
    <n v="26000"/>
    <n v="0"/>
    <n v="67007.260000000009"/>
    <n v="8354"/>
    <n v="553.65999999991618"/>
    <n v="0"/>
    <n v="0"/>
    <n v="1137.4000000001397"/>
    <n v="0"/>
    <n v="0"/>
    <n v="1128451.1000000001"/>
    <n v="1128451.1000000001"/>
    <n v="0"/>
  </r>
  <r>
    <s v="Aktywa"/>
    <x v="0"/>
    <x v="1"/>
    <x v="1"/>
    <x v="3"/>
    <m/>
    <n v="11514400"/>
    <s v="11514400 Meble i wyposażenie - Umorzenie"/>
    <s v="Bilansowe"/>
    <n v="-1014993.86"/>
    <n v="0"/>
    <n v="-1663.7800000000279"/>
    <n v="-966.20999999996275"/>
    <n v="-704.71000000007916"/>
    <n v="-10375.179999999935"/>
    <n v="0"/>
    <n v="-4595.9699999999721"/>
    <n v="0"/>
    <n v="-4042.3200000000652"/>
    <n v="-2021.17"/>
    <n v="-2021.14"/>
    <n v="-1041384.3400000001"/>
    <n v="-1041384.3400000001"/>
    <n v="0"/>
  </r>
  <r>
    <s v="Aktywa"/>
    <x v="0"/>
    <x v="1"/>
    <x v="1"/>
    <x v="4"/>
    <m/>
    <n v="11518100"/>
    <s v="11518100 Samochody - Wartość nabycia"/>
    <s v="Bilansowe"/>
    <n v="1391454.59"/>
    <n v="0"/>
    <n v="0"/>
    <n v="0"/>
    <n v="0"/>
    <n v="0"/>
    <n v="0"/>
    <n v="0"/>
    <n v="0"/>
    <n v="0"/>
    <n v="0"/>
    <n v="-328972.15000000002"/>
    <n v="1062482.44"/>
    <n v="1062482.44"/>
    <n v="0"/>
  </r>
  <r>
    <s v="Aktywa"/>
    <x v="0"/>
    <x v="1"/>
    <x v="1"/>
    <x v="4"/>
    <m/>
    <n v="11518400"/>
    <s v="11518400 Samochody - Umorzenie"/>
    <s v="Bilansowe"/>
    <n v="-990571.85"/>
    <n v="0"/>
    <n v="-45714.599999999977"/>
    <n v="-22857.260000000009"/>
    <n v="-19036.949999999953"/>
    <n v="-19036.950000000186"/>
    <n v="0"/>
    <n v="-38073.85999999987"/>
    <n v="0"/>
    <n v="-36769.310000000056"/>
    <n v="-16100.979999999998"/>
    <n v="303097.44"/>
    <n v="-885064.32000000007"/>
    <n v="-885064.32000000007"/>
    <n v="0"/>
  </r>
  <r>
    <s v="Aktywa"/>
    <x v="0"/>
    <x v="2"/>
    <x v="3"/>
    <x v="0"/>
    <m/>
    <n v="13500000"/>
    <s v="13500000 Kaucje i depozyty"/>
    <s v="Bilansowe"/>
    <n v="82626"/>
    <n v="76602"/>
    <n v="0"/>
    <n v="0"/>
    <n v="0"/>
    <n v="0"/>
    <n v="0"/>
    <n v="0"/>
    <n v="0"/>
    <n v="0"/>
    <n v="0"/>
    <n v="0"/>
    <n v="159228"/>
    <n v="159228"/>
    <n v="0"/>
  </r>
  <r>
    <s v="Aktywa"/>
    <x v="0"/>
    <x v="2"/>
    <x v="4"/>
    <x v="0"/>
    <m/>
    <n v="14502000"/>
    <s v="14502000 Aktywa z tytułu podatku odroczonego"/>
    <s v="Bilansowe"/>
    <n v="619205.87"/>
    <n v="0"/>
    <n v="0"/>
    <n v="0"/>
    <n v="-329020.75"/>
    <n v="0"/>
    <n v="0"/>
    <n v="0"/>
    <n v="0"/>
    <n v="-290185.12"/>
    <n v="0"/>
    <n v="520903.26000000007"/>
    <n v="520903.26000000007"/>
    <n v="520903.26000000007"/>
    <n v="0"/>
  </r>
  <r>
    <s v="Aktywa"/>
    <x v="1"/>
    <x v="3"/>
    <x v="5"/>
    <x v="5"/>
    <s v="- do 12 miesięcy"/>
    <n v="15500000"/>
    <s v="15500000 Należności handlowe - podmioty niepowiązane"/>
    <s v="Bilansowe"/>
    <n v="134792.95999999999"/>
    <n v="-5493.8799999999901"/>
    <n v="31565.17"/>
    <n v="13038.959999999992"/>
    <n v="-44630.12999999999"/>
    <n v="252417.22999999998"/>
    <n v="-252461.22999999998"/>
    <n v="-17131.869999999995"/>
    <n v="0"/>
    <n v="-66732.63"/>
    <n v="-27018.580000000005"/>
    <n v="-3246"/>
    <n v="15100.000000000011"/>
    <n v="15100.000000000011"/>
    <n v="0"/>
  </r>
  <r>
    <s v="Aktywa"/>
    <x v="1"/>
    <x v="3"/>
    <x v="6"/>
    <x v="6"/>
    <m/>
    <n v="15500800"/>
    <s v="15500800 Odpisy na należności handlowe - podm niepowiązane"/>
    <s v="Bilansowe"/>
    <n v="-228599.86"/>
    <n v="0"/>
    <n v="0"/>
    <n v="0"/>
    <n v="0"/>
    <n v="0"/>
    <n v="0"/>
    <n v="0"/>
    <n v="0"/>
    <n v="204362.27999999997"/>
    <n v="0"/>
    <n v="24237.58"/>
    <n v="0"/>
    <n v="0"/>
    <n v="0"/>
  </r>
  <r>
    <s v="Aktywa"/>
    <x v="1"/>
    <x v="3"/>
    <x v="5"/>
    <x v="5"/>
    <s v="- do 12 miesięcy"/>
    <n v="15500999"/>
    <s v="15500999 Należności handlowe podm niepow - wycena bilansowa"/>
    <s v="Bilansowe"/>
    <n v="-4003.23"/>
    <n v="0"/>
    <n v="0"/>
    <n v="0"/>
    <n v="0"/>
    <n v="0"/>
    <n v="0"/>
    <n v="0"/>
    <n v="0"/>
    <n v="0"/>
    <n v="0"/>
    <n v="3933.7200000000003"/>
    <n v="-69.509999999999764"/>
    <n v="-69.509999999999764"/>
    <n v="0"/>
  </r>
  <r>
    <s v="Aktywa"/>
    <x v="1"/>
    <x v="3"/>
    <x v="6"/>
    <x v="6"/>
    <m/>
    <n v="15560000"/>
    <s v="15560000 Faktury do wystawienia"/>
    <s v="Bilansowe"/>
    <n v="0"/>
    <n v="0"/>
    <n v="0"/>
    <n v="0"/>
    <n v="4.32"/>
    <n v="-4.32"/>
    <n v="0"/>
    <n v="0"/>
    <n v="0"/>
    <n v="0"/>
    <n v="0"/>
    <n v="0"/>
    <n v="0"/>
    <n v="0"/>
    <n v="0"/>
  </r>
  <r>
    <s v="Aktywa"/>
    <x v="0"/>
    <x v="2"/>
    <x v="3"/>
    <x v="0"/>
    <m/>
    <n v="15514000"/>
    <s v="15514000 Przychody przyszłych okresów"/>
    <s v="Bilansowe"/>
    <n v="1850899"/>
    <n v="-1850899"/>
    <n v="0"/>
    <n v="0"/>
    <n v="0"/>
    <n v="0"/>
    <n v="0"/>
    <n v="0"/>
    <n v="0"/>
    <n v="0"/>
    <n v="0"/>
    <n v="1729855"/>
    <n v="1729855"/>
    <n v="1729855"/>
    <n v="0"/>
  </r>
  <r>
    <s v="Aktywa"/>
    <x v="1"/>
    <x v="3"/>
    <x v="7"/>
    <x v="5"/>
    <s v="- do 12 miesięcy"/>
    <n v="15540000"/>
    <s v="15540000 Należności handlowe - podmioty powiązane"/>
    <s v="Bilansowe"/>
    <n v="929.04"/>
    <n v="0"/>
    <n v="0"/>
    <n v="0"/>
    <n v="191641.94"/>
    <n v="-35780.23000000001"/>
    <n v="-137525.04"/>
    <n v="-18336.669999999998"/>
    <n v="0"/>
    <n v="0"/>
    <n v="0"/>
    <n v="0"/>
    <n v="929.0399999999936"/>
    <n v="929.0399999999936"/>
    <n v="0"/>
  </r>
  <r>
    <s v="Aktywa"/>
    <x v="1"/>
    <x v="3"/>
    <x v="7"/>
    <x v="5"/>
    <s v="- do 12 miesięcy"/>
    <n v="15540999"/>
    <s v="15540999 Należności handlowe podm powiąz - wycena bilansowa"/>
    <s v="Bilansowe"/>
    <n v="-26.04"/>
    <n v="0"/>
    <n v="0"/>
    <n v="0"/>
    <n v="0"/>
    <n v="0"/>
    <n v="0"/>
    <n v="0"/>
    <n v="0"/>
    <n v="0"/>
    <n v="0"/>
    <n v="26.04"/>
    <n v="0"/>
    <n v="0"/>
    <n v="0"/>
  </r>
  <r>
    <s v="Aktywa"/>
    <x v="1"/>
    <x v="3"/>
    <x v="5"/>
    <x v="6"/>
    <m/>
    <n v="15550368"/>
    <s v="15550368 Bieżące rozrachunki z XYZ Principal"/>
    <s v="Bilansowe"/>
    <n v="90991394.290000007"/>
    <n v="25146.979999989271"/>
    <n v="1131.3200000077486"/>
    <n v="0"/>
    <n v="-1131.3200000077486"/>
    <n v="4.3200000077486038"/>
    <n v="0"/>
    <n v="0"/>
    <n v="0"/>
    <n v="0"/>
    <n v="4305.5700000000006"/>
    <n v="0"/>
    <n v="91020851.159999996"/>
    <n v="91020851.159999996"/>
    <n v="0"/>
  </r>
  <r>
    <s v="Pasywa"/>
    <x v="2"/>
    <x v="4"/>
    <x v="8"/>
    <x v="7"/>
    <m/>
    <n v="15552000"/>
    <s v="15552000 Bieżące rozrachunki z XYZ S.A. Genewa"/>
    <s v="Bilansowe"/>
    <n v="96164743.209999993"/>
    <n v="-2200425"/>
    <n v="-353554"/>
    <n v="954250"/>
    <n v="1621954.9200000018"/>
    <n v="1344860"/>
    <n v="-1138638.6099999994"/>
    <n v="-11000"/>
    <n v="15000"/>
    <n v="59640"/>
    <n v="-57000"/>
    <n v="29000"/>
    <n v="96428830.519999996"/>
    <n v="96428830.519999996"/>
    <n v="0"/>
  </r>
  <r>
    <s v="Aktywa"/>
    <x v="1"/>
    <x v="3"/>
    <x v="9"/>
    <x v="8"/>
    <m/>
    <n v="15562000"/>
    <s v="15562000 Faktury do wystawienia do właściciela"/>
    <s v="Bilansowe"/>
    <n v="40034.51"/>
    <n v="12603.71"/>
    <n v="-21394.880000000001"/>
    <n v="-18430.370000000003"/>
    <n v="-21966.66"/>
    <n v="35763.97"/>
    <n v="-152.18000000000029"/>
    <n v="-118.93999999999869"/>
    <n v="-35000"/>
    <n v="-12415.61"/>
    <n v="7200"/>
    <n v="0"/>
    <n v="-13876.45"/>
    <n v="-13876.45"/>
    <n v="0"/>
  </r>
  <r>
    <s v="Pasywa"/>
    <x v="2"/>
    <x v="4"/>
    <x v="8"/>
    <x v="9"/>
    <m/>
    <n v="16004000"/>
    <s v="16004000 Należności od US - VAT"/>
    <s v="Bilansowe"/>
    <n v="-76353"/>
    <n v="36368"/>
    <n v="76547"/>
    <n v="66663"/>
    <n v="28240"/>
    <n v="33646"/>
    <n v="33173"/>
    <n v="54185"/>
    <n v="0"/>
    <n v="27847"/>
    <n v="31079"/>
    <n v="56644"/>
    <n v="368039"/>
    <n v="368039"/>
    <n v="0"/>
  </r>
  <r>
    <s v="Aktywa"/>
    <x v="1"/>
    <x v="3"/>
    <x v="5"/>
    <x v="10"/>
    <m/>
    <n v="16004010"/>
    <s v="16004010 VAT Naliczony"/>
    <s v="Bilansowe"/>
    <n v="106017.54"/>
    <n v="28754.150000000009"/>
    <n v="40045.56"/>
    <n v="33012.760000000009"/>
    <n v="101028.85999999999"/>
    <n v="32405.710000000021"/>
    <n v="40330.159999999974"/>
    <n v="25834.450000000012"/>
    <n v="46879.289999999979"/>
    <n v="49477.239999999991"/>
    <n v="31843.95"/>
    <n v="43551.129999999976"/>
    <n v="579180.79999999993"/>
    <n v="579180.79999999993"/>
    <n v="0"/>
  </r>
  <r>
    <s v="Aktywa"/>
    <x v="1"/>
    <x v="3"/>
    <x v="5"/>
    <x v="10"/>
    <m/>
    <n v="16004080"/>
    <s v="16004080 Input tax"/>
    <s v="Bilansowe"/>
    <n v="325.05"/>
    <n v="0"/>
    <n v="0"/>
    <n v="0"/>
    <n v="-95.81"/>
    <n v="0"/>
    <n v="1673.61"/>
    <n v="0"/>
    <n v="-4.3799999999998818"/>
    <n v="65.200000000000045"/>
    <n v="103.69"/>
    <n v="68"/>
    <n v="2135.36"/>
    <n v="2135.36"/>
    <n v="0"/>
  </r>
  <r>
    <s v="Aktywa"/>
    <x v="1"/>
    <x v="3"/>
    <x v="5"/>
    <x v="6"/>
    <m/>
    <n v="16008000"/>
    <s v="16008000 Należności od pracowników"/>
    <s v="Bilansowe"/>
    <n v="-17309.580000000002"/>
    <n v="12901.170000000002"/>
    <n v="-13104.29"/>
    <n v="8588.4000000000015"/>
    <n v="-727.52000000000044"/>
    <n v="16950.95"/>
    <n v="-6415.3"/>
    <n v="-9894.4599999999991"/>
    <n v="-2480.8500000000004"/>
    <n v="9920.74"/>
    <n v="-1472.9299999999998"/>
    <n v="-6858.870000000009"/>
    <n v="-9902.5400000000063"/>
    <n v="-9902.5400000000063"/>
    <n v="0"/>
  </r>
  <r>
    <s v="Aktywa"/>
    <x v="1"/>
    <x v="3"/>
    <x v="6"/>
    <x v="6"/>
    <m/>
    <n v="16008030"/>
    <s v="16008030 Zaliczki na wynagrodzenia"/>
    <s v="Bilansowe"/>
    <n v="33680"/>
    <n v="-8370"/>
    <n v="-6470"/>
    <n v="19100"/>
    <n v="-22940"/>
    <n v="20500"/>
    <n v="-12331.09"/>
    <n v="5100"/>
    <n v="2131.09"/>
    <n v="-26400"/>
    <n v="-2000"/>
    <n v="-2000"/>
    <n v="0"/>
    <n v="0"/>
    <n v="0"/>
  </r>
  <r>
    <s v="Aktywa"/>
    <x v="1"/>
    <x v="3"/>
    <x v="5"/>
    <x v="10"/>
    <m/>
    <n v="16500000"/>
    <s v="16500000 Podatek dochodowy - zaliczki i nadpłata"/>
    <s v="Bilansowe"/>
    <n v="557949"/>
    <n v="0"/>
    <n v="0"/>
    <n v="0"/>
    <n v="0"/>
    <n v="-557948"/>
    <n v="0"/>
    <n v="0"/>
    <n v="0"/>
    <n v="-1"/>
    <n v="0"/>
    <n v="728950"/>
    <n v="728950"/>
    <n v="728950"/>
    <n v="0"/>
  </r>
  <r>
    <s v="Aktywa"/>
    <x v="1"/>
    <x v="5"/>
    <x v="10"/>
    <x v="0"/>
    <m/>
    <n v="17000000"/>
    <s v="17000000 Rozliczenia międzyokresowe kosztów"/>
    <s v="Bilansowe"/>
    <n v="159844.67000000001"/>
    <n v="-27941.100000000006"/>
    <n v="17248.899999999994"/>
    <n v="-6281.1000000000058"/>
    <n v="-29811.099999999991"/>
    <n v="-6281"/>
    <n v="-26991.100000000006"/>
    <n v="-6281.0999999999913"/>
    <n v="-49601.100000000006"/>
    <n v="57748.899999999994"/>
    <n v="-6281.0999999999985"/>
    <n v="-6281.1"/>
    <n v="69092.669999999984"/>
    <n v="69092.669999999984"/>
    <n v="0"/>
  </r>
  <r>
    <s v="Aktywa"/>
    <x v="1"/>
    <x v="5"/>
    <x v="10"/>
    <x v="0"/>
    <m/>
    <n v="17000030"/>
    <s v="17000030 Rozliczenia międzyokresowe kosztów - ubezpiecz"/>
    <s v="Bilansowe"/>
    <n v="23080.09"/>
    <n v="3252.34"/>
    <n v="-6768.4000000000015"/>
    <n v="-127.93999999999869"/>
    <n v="28478.579999999998"/>
    <n v="9115.7900000000009"/>
    <n v="-612.68000000000029"/>
    <n v="-4514.43"/>
    <n v="-6659.68"/>
    <n v="-12008.919999999998"/>
    <n v="-5719.68"/>
    <n v="-5719.68"/>
    <n v="21795.39"/>
    <n v="21795.39"/>
    <n v="0"/>
  </r>
  <r>
    <s v="Aktywa"/>
    <x v="0"/>
    <x v="1"/>
    <x v="11"/>
    <x v="0"/>
    <m/>
    <n v="17006000"/>
    <s v="17006000 Zaliczki na środki trwałe"/>
    <s v="Bilansowe"/>
    <n v="0"/>
    <n v="0"/>
    <n v="0"/>
    <n v="10000"/>
    <n v="0"/>
    <n v="0"/>
    <n v="0"/>
    <n v="-10000"/>
    <n v="0"/>
    <n v="0"/>
    <n v="0"/>
    <n v="0"/>
    <n v="0"/>
    <n v="0"/>
    <n v="0"/>
  </r>
  <r>
    <s v="Aktywa"/>
    <x v="1"/>
    <x v="6"/>
    <x v="12"/>
    <x v="11"/>
    <s v="- środki pieniężne w kasie i na rachunkach"/>
    <n v="18579900"/>
    <s v="18579900 mBank PLN"/>
    <s v="Bilansowe"/>
    <n v="118969.27"/>
    <n v="-22664.33"/>
    <n v="-8491.6199999999953"/>
    <n v="1200077.02"/>
    <n v="-1187917.9200000002"/>
    <n v="574892.53999999992"/>
    <n v="-420467.33999999997"/>
    <n v="74535.700000000012"/>
    <n v="84251.599999999977"/>
    <n v="33433.010000000009"/>
    <n v="-109214.94000000069"/>
    <n v="-219483.51000000135"/>
    <n v="117919.47999999783"/>
    <n v="117919.47999999783"/>
    <n v="0"/>
  </r>
  <r>
    <s v="Aktywa"/>
    <x v="1"/>
    <x v="6"/>
    <x v="12"/>
    <x v="11"/>
    <s v="- środki pieniężne w kasie i na rachunkach"/>
    <n v="18580000"/>
    <s v="18580000 mBank USD"/>
    <s v="Bilansowe"/>
    <n v="0"/>
    <n v="0"/>
    <n v="0"/>
    <n v="415.7"/>
    <n v="4620.34"/>
    <n v="0"/>
    <n v="15074.919999999998"/>
    <n v="-4171.4199999999983"/>
    <n v="-1225.4500000000007"/>
    <n v="-580.75"/>
    <n v="-106.19000000000005"/>
    <n v="-14027.149999999996"/>
    <n v="0"/>
    <n v="0"/>
    <n v="0"/>
  </r>
  <r>
    <s v="Aktywa"/>
    <x v="1"/>
    <x v="6"/>
    <x v="12"/>
    <x v="11"/>
    <s v="- środki pieniężne w kasie i na rachunkach"/>
    <n v="18580100"/>
    <s v="18580100 mBank EUR"/>
    <s v="Bilansowe"/>
    <n v="38867.72"/>
    <n v="-19608.050000000003"/>
    <n v="102444.52"/>
    <n v="-94122.38"/>
    <n v="19672.2"/>
    <n v="-26029.72"/>
    <n v="238837.21"/>
    <n v="17259.719999999972"/>
    <n v="-5321.4599999999627"/>
    <n v="-16924.710000000021"/>
    <n v="2774.9100000000039"/>
    <n v="-257849.96"/>
    <n v="0"/>
    <n v="0"/>
    <n v="0"/>
  </r>
  <r>
    <s v="Aktywa"/>
    <x v="1"/>
    <x v="6"/>
    <x v="12"/>
    <x v="11"/>
    <s v="- środki pieniężne w kasie i na rachunkach"/>
    <n v="18580200"/>
    <s v="18580200 mBank PLN karty debetowe"/>
    <s v="Bilansowe"/>
    <n v="10393.469999999999"/>
    <n v="-3015.9999999999991"/>
    <n v="4980.9999999999991"/>
    <n v="-6021.9999999999991"/>
    <n v="-10"/>
    <n v="-3019.0000000000005"/>
    <n v="4960"/>
    <n v="-2015.9999999999991"/>
    <n v="-3019.0000000000005"/>
    <n v="-110"/>
    <n v="469"/>
    <n v="-537"/>
    <n v="3054.47"/>
    <n v="3054.47"/>
    <n v="0"/>
  </r>
  <r>
    <s v="Aktywa"/>
    <x v="1"/>
    <x v="6"/>
    <x v="12"/>
    <x v="11"/>
    <s v="- środki pieniężne w kasie i na rachunkach"/>
    <n v="19000000"/>
    <s v="19000000 Środki pienięzne w kasie"/>
    <s v="Bilansowe"/>
    <n v="5799.08"/>
    <n v="-2574.92"/>
    <n v="916.40999999999985"/>
    <n v="2583"/>
    <n v="-2932.7999999999997"/>
    <n v="-3000"/>
    <n v="3834.6699999999996"/>
    <n v="-815.11999999999944"/>
    <n v="3112.4500000000003"/>
    <n v="-6665.71"/>
    <n v="389.7800000000002"/>
    <n v="3477.44"/>
    <n v="4124.2800000000007"/>
    <n v="4124.2800000000007"/>
    <n v="0"/>
  </r>
  <r>
    <s v="Aktywa"/>
    <x v="1"/>
    <x v="6"/>
    <x v="12"/>
    <x v="11"/>
    <s v="- środki pieniężne w kasie i na rachunkach"/>
    <n v="19002000"/>
    <s v="19002000 Inne środki pieniężne"/>
    <s v="Bilansowe"/>
    <n v="5000"/>
    <n v="21476"/>
    <n v="-9187.68"/>
    <n v="6165.2200000000012"/>
    <n v="21527.5"/>
    <n v="532.72999999999593"/>
    <n v="-6828.2799999999988"/>
    <n v="0"/>
    <n v="2261.4700000000012"/>
    <n v="-26046.239999999998"/>
    <n v="-6917.82"/>
    <n v="-7982.8999999904627"/>
    <n v="9.5387804321944714E-9"/>
    <n v="9.5387804321944714E-9"/>
    <n v="0"/>
  </r>
  <r>
    <s v="Pasywa"/>
    <x v="3"/>
    <x v="7"/>
    <x v="10"/>
    <x v="0"/>
    <m/>
    <n v="20000000"/>
    <s v="20000000 Kapitał zakładowy"/>
    <s v="Bilansowe"/>
    <n v="50000"/>
    <n v="0"/>
    <n v="0"/>
    <n v="0"/>
    <n v="0"/>
    <n v="0"/>
    <n v="0"/>
    <n v="0"/>
    <n v="0"/>
    <n v="0"/>
    <n v="0"/>
    <n v="0"/>
    <n v="50000"/>
    <n v="50000"/>
    <n v="0"/>
  </r>
  <r>
    <s v="Pasywa"/>
    <x v="3"/>
    <x v="8"/>
    <x v="10"/>
    <x v="0"/>
    <m/>
    <n v="21000000"/>
    <s v="21000000 Zysk zatrzymany"/>
    <s v="Bilansowe"/>
    <n v="1256953.78"/>
    <n v="0"/>
    <n v="0"/>
    <n v="0"/>
    <n v="0"/>
    <n v="0"/>
    <n v="635497.26"/>
    <n v="0"/>
    <n v="0"/>
    <n v="0"/>
    <n v="0"/>
    <n v="0"/>
    <n v="1892451.04"/>
    <n v="1892451.04"/>
    <n v="0"/>
  </r>
  <r>
    <s v="Pasywa"/>
    <x v="3"/>
    <x v="8"/>
    <x v="10"/>
    <x v="0"/>
    <m/>
    <n v="21500000"/>
    <s v="21500000 Profit of the period"/>
    <s v="Bilansowe"/>
    <n v="650798.11"/>
    <n v="0"/>
    <n v="0"/>
    <n v="0"/>
    <n v="0"/>
    <n v="0"/>
    <n v="-635497.26"/>
    <n v="0"/>
    <n v="0"/>
    <n v="0"/>
    <n v="0"/>
    <n v="0"/>
    <n v="15300.849999999977"/>
    <n v="15300.849999999977"/>
    <n v="0"/>
  </r>
  <r>
    <s v="Pasywa"/>
    <x v="2"/>
    <x v="9"/>
    <x v="13"/>
    <x v="12"/>
    <m/>
    <n v="30500000"/>
    <s v="30500000 Rezerwa na odprawę emerytalną"/>
    <s v="Bilansowe"/>
    <n v="431910"/>
    <n v="0"/>
    <n v="0"/>
    <n v="0"/>
    <n v="0"/>
    <n v="0"/>
    <n v="0"/>
    <n v="0"/>
    <n v="0"/>
    <n v="0"/>
    <n v="0"/>
    <n v="83398"/>
    <n v="515308"/>
    <n v="515308"/>
    <n v="0"/>
  </r>
  <r>
    <s v="Pasywa"/>
    <x v="2"/>
    <x v="9"/>
    <x v="14"/>
    <x v="13"/>
    <m/>
    <n v="33506033"/>
    <s v="33506033 Rezerwa na premię roczną"/>
    <s v="Bilansowe"/>
    <n v="1731688"/>
    <n v="0"/>
    <n v="0"/>
    <n v="0"/>
    <n v="-1693374"/>
    <n v="0"/>
    <n v="0"/>
    <n v="0"/>
    <n v="0"/>
    <n v="0"/>
    <n v="0"/>
    <n v="1419719"/>
    <n v="1458033"/>
    <n v="1458033"/>
    <n v="0"/>
  </r>
  <r>
    <s v="Pasywa"/>
    <x v="2"/>
    <x v="9"/>
    <x v="14"/>
    <x v="12"/>
    <m/>
    <n v="33506050"/>
    <s v="33506050 Rezerwa urlopowa"/>
    <s v="Bilansowe"/>
    <n v="767709"/>
    <n v="0"/>
    <n v="0"/>
    <n v="0"/>
    <n v="0"/>
    <n v="0"/>
    <n v="0"/>
    <n v="0"/>
    <n v="0"/>
    <n v="0"/>
    <n v="0"/>
    <n v="-26873.41"/>
    <n v="740835.59"/>
    <n v="740835.59"/>
    <n v="0"/>
  </r>
  <r>
    <s v="Pasywa"/>
    <x v="2"/>
    <x v="4"/>
    <x v="15"/>
    <x v="14"/>
    <m/>
    <n v="33506000"/>
    <s v="33506000 Krótkoterminowe zobowiązania wobec pracowników"/>
    <s v="Bilansowe"/>
    <n v="53"/>
    <n v="3382.66"/>
    <n v="106"/>
    <n v="-682197.48"/>
    <n v="682234.17999999993"/>
    <n v="123.42000000000007"/>
    <n v="-2706.67"/>
    <n v="-754052.84"/>
    <n v="748405.94"/>
    <n v="4651.79"/>
    <n v="-12.410000000183913"/>
    <n v="12.409999999887077"/>
    <n v="-3.3412561606382951E-10"/>
    <n v="-3.3412561606382951E-10"/>
    <n v="0"/>
  </r>
  <r>
    <s v="Pasywa"/>
    <x v="2"/>
    <x v="9"/>
    <x v="14"/>
    <x v="12"/>
    <m/>
    <n v="34014000"/>
    <s v="34014000 Inne rezerwy"/>
    <s v="Bilansowe"/>
    <n v="17750"/>
    <n v="0"/>
    <n v="0"/>
    <n v="0"/>
    <n v="0"/>
    <n v="0"/>
    <n v="0"/>
    <n v="0"/>
    <n v="0"/>
    <n v="0"/>
    <n v="0"/>
    <n v="9600"/>
    <n v="27350"/>
    <n v="27350"/>
    <n v="0"/>
  </r>
  <r>
    <s v="Pasywa"/>
    <x v="2"/>
    <x v="4"/>
    <x v="8"/>
    <x v="15"/>
    <s v="- do 12 miesięcy"/>
    <n v="34500000"/>
    <s v="34500000 Zobowiązania handlowe - podmioty niepowiązane"/>
    <s v="Bilansowe"/>
    <n v="58587.33"/>
    <n v="-75500.95"/>
    <n v="27423.46"/>
    <n v="-47190.7"/>
    <n v="276719.25"/>
    <n v="-158920.88"/>
    <n v="-60292.429999999993"/>
    <n v="-33969.5"/>
    <n v="29761.68"/>
    <n v="-12177.21"/>
    <n v="-24530.399999999958"/>
    <n v="107090.49000000002"/>
    <n v="87000.140000000072"/>
    <n v="87000.140000000072"/>
    <n v="0"/>
  </r>
  <r>
    <s v="Pasywa"/>
    <x v="2"/>
    <x v="4"/>
    <x v="8"/>
    <x v="15"/>
    <s v="- do 12 miesięcy"/>
    <n v="34504000"/>
    <s v="34504000 Dostawy niefakturowane - podmioty niepowiązane"/>
    <s v="Bilansowe"/>
    <n v="38051.43"/>
    <n v="-38051.43"/>
    <n v="0"/>
    <n v="0"/>
    <n v="0"/>
    <n v="0"/>
    <n v="0"/>
    <n v="0"/>
    <n v="0"/>
    <n v="0"/>
    <n v="0"/>
    <n v="56387.399999999994"/>
    <n v="56387.399999999994"/>
    <n v="56387.399999999994"/>
    <n v="0"/>
  </r>
  <r>
    <s v="Aktywa"/>
    <x v="1"/>
    <x v="3"/>
    <x v="6"/>
    <x v="6"/>
    <m/>
    <n v="34515000"/>
    <s v="34515000 Faktura do przypisania (SD)"/>
    <s v="Bilansowe"/>
    <n v="93807.9"/>
    <n v="-93807.9"/>
    <n v="0"/>
    <n v="0"/>
    <n v="0"/>
    <n v="0"/>
    <n v="0"/>
    <n v="0"/>
    <n v="0"/>
    <n v="0"/>
    <n v="0"/>
    <n v="0"/>
    <n v="0"/>
    <n v="0"/>
    <n v="0"/>
  </r>
  <r>
    <s v="Aktywa"/>
    <x v="1"/>
    <x v="3"/>
    <x v="7"/>
    <x v="5"/>
    <s v="- do 12 miesięcy"/>
    <n v="34550000"/>
    <s v="34550000 Zobowiązania handlowe - podmioty powiązane"/>
    <s v="Bilansowe"/>
    <n v="0"/>
    <n v="0"/>
    <n v="-107503.79"/>
    <n v="-1231452.96"/>
    <n v="1338956.75"/>
    <n v="0"/>
    <n v="-23375.94"/>
    <n v="13421.14"/>
    <n v="9954.7999999999993"/>
    <n v="-66921.679999999993"/>
    <n v="64469.849999999933"/>
    <n v="2451.8299999999908"/>
    <n v="-6.9121597334742546E-11"/>
    <n v="-6.9121597334742546E-11"/>
    <n v="0"/>
  </r>
  <r>
    <s v="Pasywa"/>
    <x v="2"/>
    <x v="4"/>
    <x v="8"/>
    <x v="15"/>
    <s v="- do 12 miesięcy"/>
    <n v="34550999"/>
    <s v="34550999 Zobowiąz handlowe podm powiąz - wycena bilansowa"/>
    <s v="Bilansowe"/>
    <n v="29.08"/>
    <n v="0"/>
    <n v="0"/>
    <n v="0"/>
    <n v="0"/>
    <n v="0"/>
    <n v="0"/>
    <n v="0"/>
    <n v="0"/>
    <n v="0"/>
    <n v="0"/>
    <n v="-29.08"/>
    <n v="0"/>
    <n v="0"/>
    <n v="0"/>
  </r>
  <r>
    <s v="Pasywa"/>
    <x v="2"/>
    <x v="4"/>
    <x v="8"/>
    <x v="9"/>
    <m/>
    <n v="35002010"/>
    <s v="35002010 VAT Należny"/>
    <s v="Bilansowe"/>
    <n v="1102.78"/>
    <n v="256.48"/>
    <n v="325.18000000000006"/>
    <n v="512.96"/>
    <n v="-93.180000000000291"/>
    <n v="47461.02"/>
    <n v="13678.480000000003"/>
    <n v="822.97000000000116"/>
    <n v="22266.729999999996"/>
    <n v="258.27999999999884"/>
    <n v="258.12"/>
    <n v="272.02"/>
    <n v="87121.84"/>
    <n v="87121.84"/>
    <n v="0"/>
  </r>
  <r>
    <s v="Pasywa"/>
    <x v="2"/>
    <x v="4"/>
    <x v="8"/>
    <x v="9"/>
    <m/>
    <n v="35002100"/>
    <s v="35002100 VAT należny EU"/>
    <s v="Bilansowe"/>
    <n v="0"/>
    <n v="0"/>
    <n v="0"/>
    <n v="0"/>
    <n v="0"/>
    <n v="0"/>
    <n v="0"/>
    <n v="0"/>
    <n v="0"/>
    <n v="65.2"/>
    <n v="103.69"/>
    <n v="68"/>
    <n v="236.89"/>
    <n v="236.89"/>
    <n v="0"/>
  </r>
  <r>
    <s v="Pasywa"/>
    <x v="2"/>
    <x v="4"/>
    <x v="8"/>
    <x v="9"/>
    <m/>
    <n v="35004001"/>
    <s v="35004001 Zobowiązania wobec US - PIT"/>
    <s v="Bilansowe"/>
    <n v="90737"/>
    <n v="-1448"/>
    <n v="1816"/>
    <n v="-91105"/>
    <n v="267860"/>
    <n v="-131887"/>
    <n v="-15065"/>
    <n v="-120908"/>
    <n v="115651"/>
    <n v="-159"/>
    <n v="13827"/>
    <n v="-129319"/>
    <n v="0"/>
    <n v="0"/>
    <n v="0"/>
  </r>
  <r>
    <s v="Pasywa"/>
    <x v="2"/>
    <x v="4"/>
    <x v="8"/>
    <x v="9"/>
    <m/>
    <n v="35006000"/>
    <s v="35006000 Zobowiazania z tytułu ubezpieczeń społecznych"/>
    <s v="Bilansowe"/>
    <n v="352824.99"/>
    <n v="-1026.289999999979"/>
    <n v="-7579.2000000000116"/>
    <n v="-344219.5"/>
    <n v="892880.01"/>
    <n v="-491438.28"/>
    <n v="-81610.909999999974"/>
    <n v="-319830.82"/>
    <n v="331739.46000000002"/>
    <n v="-33984.48000000004"/>
    <n v="-3757.6800000001376"/>
    <n v="-293997.30000000045"/>
    <n v="-5.8207660913467407E-10"/>
    <n v="-5.8207660913467407E-10"/>
    <n v="0"/>
  </r>
  <r>
    <s v="Aktywa"/>
    <x v="0"/>
    <x v="2"/>
    <x v="3"/>
    <x v="0"/>
    <m/>
    <n v="36500010"/>
    <s v="36500010 Przychody z frachtu powyżej lub ponizej manifestu"/>
    <s v="Bilansowe"/>
    <n v="122.99"/>
    <n v="0"/>
    <n v="2.0000000000010232E-2"/>
    <n v="-0.15000000000000568"/>
    <n v="0"/>
    <n v="7.9999999999998295E-2"/>
    <n v="-0.50999999999999091"/>
    <n v="1.9999999999996021E-2"/>
    <n v="0"/>
    <n v="-1.230000000000004"/>
    <n v="2.9999999999998438E-2"/>
    <n v="-0.04"/>
    <n v="121.21"/>
    <n v="121.21"/>
    <n v="0"/>
  </r>
  <r>
    <s v="Pasywa"/>
    <x v="2"/>
    <x v="4"/>
    <x v="6"/>
    <x v="0"/>
    <m/>
    <n v="16000000"/>
    <s v="16000000 Other receivables"/>
    <s v="Bilansowe"/>
    <m/>
    <m/>
    <m/>
    <m/>
    <m/>
    <m/>
    <m/>
    <m/>
    <m/>
    <m/>
    <n v="0"/>
    <n v="5419"/>
    <n v="5419"/>
    <n v="5419"/>
    <n v="0"/>
  </r>
  <r>
    <s v="Aktywa"/>
    <x v="1"/>
    <x v="3"/>
    <x v="5"/>
    <x v="10"/>
    <m/>
    <n v="35002000"/>
    <s v="35002000 Zobowiązania wobec US - VAT"/>
    <s v="Bilansowe"/>
    <n v="0"/>
    <n v="0"/>
    <n v="0"/>
    <n v="0"/>
    <n v="0"/>
    <n v="0"/>
    <n v="0"/>
    <n v="0"/>
    <n v="0"/>
    <n v="0"/>
    <n v="584"/>
    <n v="0"/>
    <n v="584"/>
    <n v="584"/>
    <n v="0"/>
  </r>
  <r>
    <s v="Pasywa"/>
    <x v="3"/>
    <x v="10"/>
    <x v="16"/>
    <x v="0"/>
    <m/>
    <m/>
    <s v="Zysk netto bieżącego okresu"/>
    <m/>
    <n v="379978.41000000015"/>
    <n v="440442.24000000022"/>
    <n v="229502.0399999998"/>
    <n v="-6575.0100000000093"/>
    <n v="-1787117.0700000005"/>
    <n v="-374801.78000000026"/>
    <n v="700535.62999999989"/>
    <n v="1136584.7000000002"/>
    <n v="-1211578.8599999999"/>
    <n v="-300040.00000000047"/>
    <n v="-51451.929999999935"/>
    <n v="1186810.5700000012"/>
    <n v="342288.94000000041"/>
    <n v="342288.9400000004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Aktywa"/>
    <x v="0"/>
    <x v="0"/>
    <x v="0"/>
    <x v="0"/>
    <x v="0"/>
    <n v="11000100"/>
    <s v="11000100 Oprogramowanie i licencje IT - Wartość nabycia"/>
    <s v="Bilansowe"/>
    <x v="0"/>
    <x v="0"/>
    <n v="0"/>
    <n v="0"/>
    <n v="0"/>
    <n v="0"/>
    <n v="0"/>
    <n v="0"/>
    <n v="0"/>
    <n v="0"/>
    <n v="0"/>
    <n v="0"/>
    <n v="77463.009999999995"/>
    <n v="77463.009999999995"/>
    <n v="0"/>
  </r>
  <r>
    <s v="Aktywa"/>
    <x v="0"/>
    <x v="0"/>
    <x v="0"/>
    <x v="0"/>
    <x v="0"/>
    <n v="11000400"/>
    <s v="11000400 Oprogramowanie i licencje IT - Umorzenie"/>
    <s v="Bilansowe"/>
    <x v="1"/>
    <x v="1"/>
    <n v="-926.5"/>
    <n v="-926.5"/>
    <n v="-926.5"/>
    <n v="-926.5"/>
    <n v="-926.5"/>
    <n v="-926.49999999999272"/>
    <n v="-926.5"/>
    <n v="-926.5"/>
    <n v="-926.5"/>
    <n v="-926.5"/>
    <n v="-70051.009999999995"/>
    <n v="-70051.009999999995"/>
    <n v="0"/>
  </r>
  <r>
    <s v="Aktywa"/>
    <x v="0"/>
    <x v="1"/>
    <x v="1"/>
    <x v="1"/>
    <x v="0"/>
    <n v="11502100"/>
    <s v="11502100 Budynki - Wartość nabycia"/>
    <s v="Bilansowe"/>
    <x v="2"/>
    <x v="0"/>
    <n v="0"/>
    <n v="0"/>
    <n v="0"/>
    <n v="0"/>
    <n v="0"/>
    <n v="0"/>
    <n v="0"/>
    <n v="0"/>
    <n v="0"/>
    <n v="0"/>
    <n v="8316576.9500000002"/>
    <n v="8316576.9500000002"/>
    <n v="0"/>
  </r>
  <r>
    <s v="Aktywa"/>
    <x v="0"/>
    <x v="1"/>
    <x v="1"/>
    <x v="1"/>
    <x v="0"/>
    <n v="11502400"/>
    <s v="11502400 Budynki - Umorzenie"/>
    <s v="Bilansowe"/>
    <x v="3"/>
    <x v="2"/>
    <n v="-17326.209999999963"/>
    <n v="-17326.199999999953"/>
    <n v="-17326.199999999953"/>
    <n v="-17326.199999999953"/>
    <n v="-17326.200000000186"/>
    <n v="-17326.199999999953"/>
    <n v="-17326.209999999963"/>
    <n v="-17326.199999999953"/>
    <n v="-17326.199999999953"/>
    <n v="-17326.200000000186"/>
    <n v="-1870544.84"/>
    <n v="-1870544.84"/>
    <n v="0"/>
  </r>
  <r>
    <s v="Aktywa"/>
    <x v="0"/>
    <x v="1"/>
    <x v="2"/>
    <x v="0"/>
    <x v="0"/>
    <n v="11504100"/>
    <s v="11504100 Nakłady w obcych środkach trwał - Wartość nabycia"/>
    <s v="Bilansowe"/>
    <x v="4"/>
    <x v="0"/>
    <n v="0"/>
    <n v="0"/>
    <n v="0"/>
    <n v="0"/>
    <n v="0"/>
    <n v="0"/>
    <n v="0"/>
    <n v="0"/>
    <n v="0"/>
    <n v="0"/>
    <n v="204102.98"/>
    <n v="204102.98"/>
    <n v="0"/>
  </r>
  <r>
    <s v="Aktywa"/>
    <x v="0"/>
    <x v="1"/>
    <x v="2"/>
    <x v="0"/>
    <x v="0"/>
    <n v="11504400"/>
    <s v="11504400 Nakłady w obcych środkach trwał - Umorzenie"/>
    <s v="Bilansowe"/>
    <x v="5"/>
    <x v="3"/>
    <n v="-313.45999999999913"/>
    <n v="-313.45999999999913"/>
    <n v="-6769.3399999999965"/>
    <n v="-1604.6399999999994"/>
    <n v="-1604.6399999999994"/>
    <n v="-1604.6300000000047"/>
    <n v="-1604.6399999999994"/>
    <n v="-1604.6299999999974"/>
    <n v="-1604.6300000000047"/>
    <n v="-1604.6399999999994"/>
    <n v="-62269.51"/>
    <n v="-62269.51"/>
    <n v="0"/>
  </r>
  <r>
    <s v="Aktywa"/>
    <x v="0"/>
    <x v="1"/>
    <x v="1"/>
    <x v="2"/>
    <x v="0"/>
    <n v="11508100"/>
    <s v="11508100 Komputery i sprzęt IT - Wartość nabycia"/>
    <s v="Bilansowe"/>
    <x v="6"/>
    <x v="4"/>
    <n v="-2240.0699999999488"/>
    <n v="22451.589999999967"/>
    <n v="459"/>
    <n v="0"/>
    <n v="13387.330000000075"/>
    <n v="-1499.0600000000559"/>
    <n v="157.43999999994412"/>
    <n v="9879.5400000000373"/>
    <n v="2065.0400000000373"/>
    <n v="6725.9299999999348"/>
    <n v="1080141.49"/>
    <n v="1080141.49"/>
    <n v="0"/>
  </r>
  <r>
    <s v="Aktywa"/>
    <x v="0"/>
    <x v="1"/>
    <x v="1"/>
    <x v="2"/>
    <x v="0"/>
    <n v="11508400"/>
    <s v="11508400 Komputery i sprzęt IT - Umorzenie"/>
    <s v="Bilansowe"/>
    <x v="7"/>
    <x v="5"/>
    <n v="-3035.4200000000419"/>
    <n v="-22451.589999999967"/>
    <n v="-459"/>
    <n v="0"/>
    <n v="-13387.329999999958"/>
    <n v="920.06000000005588"/>
    <n v="421.55999999982305"/>
    <n v="-9879.5400000000373"/>
    <n v="-2065.0399999998044"/>
    <n v="-6725.9300000001676"/>
    <n v="-1069368.08"/>
    <n v="-1069368.08"/>
    <n v="0"/>
  </r>
  <r>
    <s v="Aktywa"/>
    <x v="0"/>
    <x v="1"/>
    <x v="1"/>
    <x v="3"/>
    <x v="0"/>
    <n v="11514100"/>
    <s v="11514100 Meble i wyposażenie - Wartość nabycia"/>
    <s v="Bilansowe"/>
    <x v="8"/>
    <x v="6"/>
    <n v="0"/>
    <n v="16465.40000000014"/>
    <n v="0"/>
    <n v="0"/>
    <n v="1998.7199999999721"/>
    <n v="0"/>
    <n v="0"/>
    <n v="2900"/>
    <n v="0"/>
    <n v="0"/>
    <n v="1092813.08"/>
    <n v="1092813.08"/>
    <n v="0"/>
  </r>
  <r>
    <s v="Aktywa"/>
    <x v="0"/>
    <x v="1"/>
    <x v="1"/>
    <x v="3"/>
    <x v="0"/>
    <n v="11514400"/>
    <s v="11514400 Meble i wyposażenie - Umorzenie"/>
    <s v="Bilansowe"/>
    <x v="9"/>
    <x v="7"/>
    <n v="-3421.140000000014"/>
    <n v="-18409.020000000019"/>
    <n v="-1749.8100000000559"/>
    <n v="-1749.7999999999302"/>
    <n v="-3748.5100000000093"/>
    <n v="-1749.8100000000559"/>
    <n v="-1749.7999999999302"/>
    <n v="-4649.8000000000466"/>
    <n v="-1749.7999999999302"/>
    <n v="-816.98000000009779"/>
    <n v="-1025376.81"/>
    <n v="-1025376.81"/>
    <n v="0"/>
  </r>
  <r>
    <s v="Aktywa"/>
    <x v="0"/>
    <x v="1"/>
    <x v="1"/>
    <x v="4"/>
    <x v="0"/>
    <n v="11518100"/>
    <s v="11518100 Samochody - Wartość nabycia"/>
    <s v="Bilansowe"/>
    <x v="10"/>
    <x v="0"/>
    <n v="-152490.18999999994"/>
    <n v="0"/>
    <n v="0"/>
    <n v="0"/>
    <n v="0"/>
    <n v="0"/>
    <n v="0"/>
    <n v="0"/>
    <n v="0"/>
    <n v="0"/>
    <n v="889992.25"/>
    <n v="889992.25"/>
    <n v="0"/>
  </r>
  <r>
    <s v="Aktywa"/>
    <x v="0"/>
    <x v="1"/>
    <x v="1"/>
    <x v="4"/>
    <x v="0"/>
    <n v="11518400"/>
    <s v="11518400 Samochody - Umorzenie"/>
    <s v="Bilansowe"/>
    <x v="11"/>
    <x v="8"/>
    <n v="133847.71000000008"/>
    <n v="-13559.440000000061"/>
    <n v="-8113.5200000000186"/>
    <n v="-6162.7699999999022"/>
    <n v="-6162.4500000000698"/>
    <n v="-6162.4599999999627"/>
    <n v="-6162.4799999999814"/>
    <n v="-6162.4700000000885"/>
    <n v="-6162.4599999999627"/>
    <n v="-6162.4599999999627"/>
    <n v="-828229.1"/>
    <n v="-828229.1"/>
    <n v="0"/>
  </r>
  <r>
    <s v="Aktywa"/>
    <x v="0"/>
    <x v="2"/>
    <x v="3"/>
    <x v="0"/>
    <x v="0"/>
    <n v="13500000"/>
    <s v="13500000 Kaucje i depozyty"/>
    <s v="Bilansowe"/>
    <x v="12"/>
    <x v="0"/>
    <n v="0"/>
    <n v="0"/>
    <n v="0"/>
    <n v="0"/>
    <n v="0"/>
    <n v="0"/>
    <n v="0"/>
    <n v="0"/>
    <n v="0"/>
    <n v="0"/>
    <n v="159228"/>
    <n v="159228"/>
    <n v="0"/>
  </r>
  <r>
    <s v="Aktywa"/>
    <x v="1"/>
    <x v="3"/>
    <x v="4"/>
    <x v="5"/>
    <x v="1"/>
    <n v="15500000"/>
    <s v="15500000 Należności handlowe - podmioty niepowiązane"/>
    <s v="Bilansowe"/>
    <x v="13"/>
    <x v="9"/>
    <n v="-2600"/>
    <n v="-2600"/>
    <n v="-2600"/>
    <n v="-2600"/>
    <n v="-516.68000000000029"/>
    <n v="173.75"/>
    <n v="36.899999999999636"/>
    <n v="19365.650000000001"/>
    <n v="-5000"/>
    <n v="26568.670000000002"/>
    <n v="46144.97"/>
    <n v="46144.97"/>
    <n v="0"/>
  </r>
  <r>
    <s v="Aktywa"/>
    <x v="1"/>
    <x v="3"/>
    <x v="5"/>
    <x v="6"/>
    <x v="0"/>
    <n v="15500800"/>
    <s v="15500800 Odpisy na należności handlowe - podm niepowiązane"/>
    <s v="Bilansowe"/>
    <x v="14"/>
    <x v="0"/>
    <n v="0"/>
    <n v="0"/>
    <n v="0"/>
    <n v="0"/>
    <n v="0"/>
    <n v="0"/>
    <n v="0"/>
    <n v="0"/>
    <n v="0"/>
    <n v="0"/>
    <n v="0"/>
    <n v="0"/>
    <n v="0"/>
  </r>
  <r>
    <s v="Aktywa"/>
    <x v="1"/>
    <x v="3"/>
    <x v="4"/>
    <x v="5"/>
    <x v="1"/>
    <n v="15500999"/>
    <s v="15500999 Należności handlowe podm niepow - wycena bilansowa"/>
    <s v="Bilansowe"/>
    <x v="14"/>
    <x v="0"/>
    <n v="0"/>
    <n v="0"/>
    <n v="0"/>
    <n v="0"/>
    <n v="0"/>
    <n v="0"/>
    <n v="0"/>
    <n v="0"/>
    <n v="0"/>
    <n v="319.97000000000003"/>
    <n v="319.97000000000003"/>
    <n v="319.97000000000003"/>
    <n v="0"/>
  </r>
  <r>
    <s v="Aktywa"/>
    <x v="1"/>
    <x v="3"/>
    <x v="6"/>
    <x v="5"/>
    <x v="1"/>
    <n v="15540000"/>
    <s v="15540000 Należności handlowe - podmioty powiązane"/>
    <s v="Bilansowe"/>
    <x v="15"/>
    <x v="10"/>
    <n v="799.5"/>
    <n v="676.5"/>
    <n v="753.5"/>
    <n v="676.5"/>
    <n v="676.5"/>
    <n v="1722"/>
    <n v="1275.1100000000001"/>
    <n v="4097.3700000000008"/>
    <n v="-7162.9800000000005"/>
    <n v="3344.88"/>
    <n v="3064.92"/>
    <n v="3064.92"/>
    <n v="0"/>
  </r>
  <r>
    <s v="Aktywa"/>
    <x v="1"/>
    <x v="3"/>
    <x v="6"/>
    <x v="5"/>
    <x v="1"/>
    <n v="15540999"/>
    <s v="15540999 Należności handlowe podm powiąz - wycena bilansowa"/>
    <s v="Bilansowe"/>
    <x v="14"/>
    <x v="0"/>
    <n v="0"/>
    <n v="0"/>
    <n v="0"/>
    <n v="0"/>
    <n v="0"/>
    <n v="0"/>
    <n v="0"/>
    <n v="0"/>
    <n v="0"/>
    <n v="-33.42"/>
    <n v="-33.42"/>
    <n v="-33.42"/>
    <n v="0"/>
  </r>
  <r>
    <s v="Aktywa"/>
    <x v="1"/>
    <x v="3"/>
    <x v="4"/>
    <x v="6"/>
    <x v="0"/>
    <n v="15550368"/>
    <s v="15550368 Bieżące rozrachunki z XYZ Principal"/>
    <s v="Bilansowe"/>
    <x v="16"/>
    <x v="0"/>
    <n v="0"/>
    <n v="0"/>
    <n v="0"/>
    <n v="0"/>
    <n v="-4.3199999928474426"/>
    <n v="0"/>
    <n v="0"/>
    <n v="0"/>
    <n v="0"/>
    <n v="0"/>
    <n v="91020846.840000004"/>
    <n v="91020846.840000004"/>
    <n v="0"/>
  </r>
  <r>
    <s v="Pasywa"/>
    <x v="2"/>
    <x v="4"/>
    <x v="7"/>
    <x v="7"/>
    <x v="0"/>
    <n v="15552000"/>
    <s v="15552000 Bieżące rozrachunki z XYZ S.A. Genewa"/>
    <s v="Bilansowe"/>
    <x v="17"/>
    <x v="11"/>
    <n v="1795000"/>
    <n v="407621"/>
    <n v="955819"/>
    <n v="-170817"/>
    <n v="-633951.25999999046"/>
    <n v="-88363"/>
    <n v="-70812"/>
    <n v="-129897.99000000954"/>
    <n v="-23495.09999999404"/>
    <n v="170886.92999999225"/>
    <n v="96359139.099999994"/>
    <n v="96359139.099999994"/>
    <n v="0"/>
  </r>
  <r>
    <s v="Aktywa"/>
    <x v="1"/>
    <x v="3"/>
    <x v="8"/>
    <x v="8"/>
    <x v="0"/>
    <n v="15562000"/>
    <s v="15562000 Faktury do wystawienia do właściciela"/>
    <s v="Bilansowe"/>
    <x v="18"/>
    <x v="12"/>
    <n v="875.11999999999898"/>
    <n v="988.93000000000029"/>
    <n v="-324.45999999999913"/>
    <n v="435.82999999999993"/>
    <n v="1608.0900000000001"/>
    <n v="-246"/>
    <n v="9758.4"/>
    <n v="-19799.13"/>
    <n v="13981.350000000002"/>
    <n v="-12687.910000000002"/>
    <n v="6455.15"/>
    <n v="6455.15"/>
    <n v="0"/>
  </r>
  <r>
    <s v="Pasywa"/>
    <x v="2"/>
    <x v="4"/>
    <x v="7"/>
    <x v="9"/>
    <x v="0"/>
    <n v="16004000"/>
    <s v="16004000 Należności od US - VAT"/>
    <s v="Bilansowe"/>
    <x v="19"/>
    <x v="13"/>
    <n v="86089"/>
    <n v="42215"/>
    <n v="27515"/>
    <n v="34074"/>
    <n v="52694"/>
    <n v="30222"/>
    <n v="29072"/>
    <n v="53572"/>
    <n v="28170"/>
    <n v="32801"/>
    <n v="819527"/>
    <n v="819527"/>
    <n v="0"/>
  </r>
  <r>
    <s v="Aktywa"/>
    <x v="1"/>
    <x v="3"/>
    <x v="4"/>
    <x v="10"/>
    <x v="0"/>
    <n v="16004010"/>
    <s v="16004010 VAT Naliczony"/>
    <s v="Bilansowe"/>
    <x v="20"/>
    <x v="14"/>
    <n v="46832.219999999972"/>
    <n v="52825.969999999972"/>
    <n v="30515.75"/>
    <n v="30174.689999999944"/>
    <n v="55004.170000000042"/>
    <n v="26251.760000000009"/>
    <n v="36588.369999999995"/>
    <n v="35269.570000000065"/>
    <n v="37089.089999999967"/>
    <n v="36210.020000000019"/>
    <n v="1033731.42"/>
    <n v="1033731.42"/>
    <n v="0"/>
  </r>
  <r>
    <s v="Aktywa"/>
    <x v="1"/>
    <x v="3"/>
    <x v="4"/>
    <x v="10"/>
    <x v="0"/>
    <n v="16004080"/>
    <s v="16004080 Input tax"/>
    <s v="Bilansowe"/>
    <x v="21"/>
    <x v="15"/>
    <n v="0"/>
    <n v="-703.09999999999991"/>
    <n v="0"/>
    <n v="-97.539999999999964"/>
    <n v="25.8599999999999"/>
    <n v="0"/>
    <n v="-56.579999999999927"/>
    <n v="-100.61000000000001"/>
    <n v="-66.699999999999989"/>
    <n v="2814.63"/>
    <n v="3272.55"/>
    <n v="3272.55"/>
    <n v="0"/>
  </r>
  <r>
    <s v="Aktywa"/>
    <x v="1"/>
    <x v="3"/>
    <x v="4"/>
    <x v="6"/>
    <x v="0"/>
    <n v="16008000"/>
    <s v="16008000 Należności od pracowników"/>
    <s v="Bilansowe"/>
    <x v="22"/>
    <x v="16"/>
    <n v="29514.709999999995"/>
    <n v="797.4600000000064"/>
    <n v="634.95999999999913"/>
    <n v="-11740.310000000001"/>
    <n v="-4282.4000000000015"/>
    <n v="-1439.3299999999981"/>
    <n v="3647.59"/>
    <n v="-9211.8000000000011"/>
    <n v="8169.7499999999982"/>
    <n v="-12518.919999999998"/>
    <n v="6947.02"/>
    <n v="6947.02"/>
    <n v="0"/>
  </r>
  <r>
    <s v="Aktywa"/>
    <x v="1"/>
    <x v="3"/>
    <x v="5"/>
    <x v="6"/>
    <x v="0"/>
    <n v="16008030"/>
    <s v="16008030 Zaliczki na wynagrodzenia"/>
    <s v="Bilansowe"/>
    <x v="14"/>
    <x v="17"/>
    <n v="0"/>
    <n v="0"/>
    <n v="-10000"/>
    <n v="0"/>
    <n v="0"/>
    <n v="0"/>
    <n v="0"/>
    <n v="0"/>
    <n v="0"/>
    <n v="0"/>
    <n v="0"/>
    <n v="0"/>
    <n v="0"/>
  </r>
  <r>
    <s v="Aktywa"/>
    <x v="1"/>
    <x v="5"/>
    <x v="9"/>
    <x v="0"/>
    <x v="0"/>
    <n v="17000000"/>
    <s v="17000000 Rozliczenia międzyokresowe kosztów"/>
    <s v="Bilansowe"/>
    <x v="23"/>
    <x v="18"/>
    <n v="-6281.0999999999985"/>
    <n v="-6281.1000000000058"/>
    <n v="-6281.0999999999985"/>
    <n v="-6281.0999999999985"/>
    <n v="-6281.0999999999985"/>
    <n v="-6281.1000000000022"/>
    <n v="-6281.0999999999985"/>
    <n v="-6281.1"/>
    <n v="-6281.67"/>
    <n v="0"/>
    <n v="0"/>
    <n v="0"/>
    <n v="0"/>
  </r>
  <r>
    <s v="Aktywa"/>
    <x v="1"/>
    <x v="5"/>
    <x v="9"/>
    <x v="0"/>
    <x v="0"/>
    <n v="17000030"/>
    <s v="17000030 Rozliczenia międzyokresowe kosztów - ubezpiecz"/>
    <s v="Bilansowe"/>
    <x v="24"/>
    <x v="19"/>
    <n v="1370.2899999999991"/>
    <n v="24187.9"/>
    <n v="-5296.1100000000006"/>
    <n v="8255.8299999999945"/>
    <n v="2916.4500000000044"/>
    <n v="-5329.6300000000047"/>
    <n v="-3381.0899999999965"/>
    <n v="-5329.09"/>
    <n v="-5329.09"/>
    <n v="-1444.2000000000007"/>
    <n v="25470.62"/>
    <n v="25470.62"/>
    <n v="0"/>
  </r>
  <r>
    <s v="Aktywa"/>
    <x v="1"/>
    <x v="6"/>
    <x v="10"/>
    <x v="11"/>
    <x v="2"/>
    <n v="18579900"/>
    <s v="18579900 mBank PLN"/>
    <s v="Bilansowe"/>
    <x v="25"/>
    <x v="20"/>
    <n v="116172.51000000001"/>
    <n v="-342155.16000000003"/>
    <n v="140378.92000000001"/>
    <n v="589860.22"/>
    <n v="-655795.8899999999"/>
    <n v="67057.490000000005"/>
    <n v="-68231.48000000001"/>
    <n v="15997.279999999999"/>
    <n v="69099.47"/>
    <n v="-91363.78"/>
    <n v="94401.780000000028"/>
    <n v="94401.78"/>
    <n v="0"/>
  </r>
  <r>
    <s v="Aktywa"/>
    <x v="1"/>
    <x v="6"/>
    <x v="10"/>
    <x v="11"/>
    <x v="2"/>
    <n v="18580000"/>
    <s v="18580000 mBank USD"/>
    <s v="Bilansowe"/>
    <x v="26"/>
    <x v="21"/>
    <n v="34678.03"/>
    <n v="-37467.629999999997"/>
    <n v="0"/>
    <n v="2883.2999999999993"/>
    <n v="265.61000000000058"/>
    <n v="88.960000000000036"/>
    <n v="-972.0600000000004"/>
    <n v="-7325.44"/>
    <n v="-964.54"/>
    <n v="1758.03"/>
    <n v="0"/>
    <n v="0"/>
    <n v="0"/>
  </r>
  <r>
    <s v="Aktywa"/>
    <x v="1"/>
    <x v="6"/>
    <x v="10"/>
    <x v="11"/>
    <x v="2"/>
    <n v="18580100"/>
    <s v="18580100 mBank EUR"/>
    <s v="Bilansowe"/>
    <x v="27"/>
    <x v="22"/>
    <n v="-8823.61"/>
    <n v="0"/>
    <n v="0"/>
    <n v="-145.95000000000073"/>
    <n v="3288.4500000000007"/>
    <n v="-0.19000000000050932"/>
    <n v="0"/>
    <n v="2496.6000000000004"/>
    <n v="13199.93"/>
    <n v="-28946.34"/>
    <n v="0"/>
    <n v="0"/>
    <n v="0"/>
  </r>
  <r>
    <s v="Aktywa"/>
    <x v="1"/>
    <x v="6"/>
    <x v="10"/>
    <x v="11"/>
    <x v="2"/>
    <n v="18580200"/>
    <s v="18580200 mBank PLN karty debetowe"/>
    <s v="Bilansowe"/>
    <x v="28"/>
    <x v="23"/>
    <n v="4487"/>
    <n v="-10"/>
    <n v="-10"/>
    <n v="-10"/>
    <n v="-16"/>
    <n v="-10"/>
    <n v="-1019.0000000000005"/>
    <n v="973.36000000000013"/>
    <n v="-10"/>
    <n v="-10"/>
    <n v="4878.83"/>
    <n v="4878.83"/>
    <n v="0"/>
  </r>
  <r>
    <s v="Aktywa"/>
    <x v="1"/>
    <x v="6"/>
    <x v="10"/>
    <x v="11"/>
    <x v="2"/>
    <n v="19000000"/>
    <s v="19000000 Środki pienięzne w kasie"/>
    <s v="Bilansowe"/>
    <x v="29"/>
    <x v="24"/>
    <n v="322.96999999999935"/>
    <n v="0"/>
    <n v="-1133.9999999999995"/>
    <n v="-500"/>
    <n v="1031.9999999999995"/>
    <n v="0"/>
    <n v="-1258.0599999999995"/>
    <n v="1056.6400000000003"/>
    <n v="-998.70000000000027"/>
    <n v="500"/>
    <n v="3612.86"/>
    <n v="3612.86"/>
    <n v="0"/>
  </r>
  <r>
    <s v="Aktywa"/>
    <x v="1"/>
    <x v="6"/>
    <x v="10"/>
    <x v="11"/>
    <x v="2"/>
    <n v="19002000"/>
    <s v="19002000 Inne środki pieniężne"/>
    <s v="Bilansowe"/>
    <x v="30"/>
    <x v="0"/>
    <n v="0"/>
    <n v="0"/>
    <n v="0"/>
    <n v="0"/>
    <n v="0"/>
    <n v="2000"/>
    <n v="0"/>
    <n v="-2000"/>
    <n v="-20642.43"/>
    <n v="1110.3499999999999"/>
    <n v="0"/>
    <n v="0"/>
    <n v="0"/>
  </r>
  <r>
    <s v="Pasywa"/>
    <x v="3"/>
    <x v="7"/>
    <x v="9"/>
    <x v="0"/>
    <x v="0"/>
    <n v="20000000"/>
    <s v="20000000 Kapitał zakładowy"/>
    <s v="Bilansowe"/>
    <x v="31"/>
    <x v="0"/>
    <n v="0"/>
    <n v="0"/>
    <n v="0"/>
    <n v="0"/>
    <n v="0"/>
    <n v="0"/>
    <n v="0"/>
    <n v="0"/>
    <n v="0"/>
    <n v="0"/>
    <n v="50000"/>
    <n v="50000"/>
    <n v="0"/>
  </r>
  <r>
    <s v="Pasywa"/>
    <x v="3"/>
    <x v="8"/>
    <x v="9"/>
    <x v="0"/>
    <x v="0"/>
    <n v="21000000"/>
    <s v="21000000 Zysk zatrzymany"/>
    <s v="Bilansowe"/>
    <x v="32"/>
    <x v="0"/>
    <n v="0"/>
    <n v="0"/>
    <n v="0"/>
    <n v="0"/>
    <n v="0"/>
    <n v="0"/>
    <n v="321922.68999999994"/>
    <n v="0"/>
    <n v="0"/>
    <n v="0"/>
    <n v="2214373.73"/>
    <n v="2214373.73"/>
    <n v="0"/>
  </r>
  <r>
    <s v="Pasywa"/>
    <x v="3"/>
    <x v="8"/>
    <x v="9"/>
    <x v="0"/>
    <x v="0"/>
    <n v="21500000"/>
    <s v="21500000 Profit of the period"/>
    <s v="Bilansowe"/>
    <x v="33"/>
    <x v="0"/>
    <n v="0"/>
    <n v="0"/>
    <n v="0"/>
    <n v="0"/>
    <n v="0"/>
    <n v="0"/>
    <n v="-321922.69"/>
    <n v="0"/>
    <n v="0"/>
    <n v="0"/>
    <n v="15300.849999999977"/>
    <n v="15300.85"/>
    <n v="-2.3646862246096134E-11"/>
  </r>
  <r>
    <s v="Pasywa"/>
    <x v="2"/>
    <x v="9"/>
    <x v="11"/>
    <x v="12"/>
    <x v="0"/>
    <n v="30500000"/>
    <s v="30500000 Rezerwa na odprawę emerytalną"/>
    <s v="Bilansowe"/>
    <x v="34"/>
    <x v="25"/>
    <n v="2375"/>
    <n v="0"/>
    <n v="0"/>
    <n v="0"/>
    <n v="0"/>
    <n v="0"/>
    <n v="0"/>
    <n v="0"/>
    <n v="0"/>
    <n v="-16985"/>
    <n v="498323"/>
    <n v="498323"/>
    <n v="0"/>
  </r>
  <r>
    <s v="Pasywa"/>
    <x v="2"/>
    <x v="9"/>
    <x v="12"/>
    <x v="13"/>
    <x v="0"/>
    <n v="33506033"/>
    <s v="33506033 Rezerwa na premię roczną"/>
    <s v="Bilansowe"/>
    <x v="35"/>
    <x v="0"/>
    <n v="0"/>
    <n v="-1458033"/>
    <n v="0"/>
    <n v="0"/>
    <n v="0"/>
    <n v="0"/>
    <n v="0"/>
    <n v="0"/>
    <n v="0"/>
    <n v="1452460.8"/>
    <n v="1452460.8"/>
    <n v="1452460.8"/>
    <n v="0"/>
  </r>
  <r>
    <s v="Pasywa"/>
    <x v="2"/>
    <x v="9"/>
    <x v="12"/>
    <x v="12"/>
    <x v="0"/>
    <n v="33506050"/>
    <s v="33506050 Rezerwa urlopowa"/>
    <s v="Bilansowe"/>
    <x v="36"/>
    <x v="0"/>
    <n v="0"/>
    <n v="0"/>
    <n v="0"/>
    <n v="0"/>
    <n v="0"/>
    <n v="0"/>
    <n v="0"/>
    <n v="0"/>
    <n v="0"/>
    <n v="262148.30000000005"/>
    <n v="1002983.89"/>
    <n v="1002983.89"/>
    <n v="0"/>
  </r>
  <r>
    <s v="Pasywa"/>
    <x v="2"/>
    <x v="9"/>
    <x v="12"/>
    <x v="12"/>
    <x v="0"/>
    <n v="34014000"/>
    <s v="34014000 Inne rezerwy"/>
    <s v="Bilansowe"/>
    <x v="37"/>
    <x v="0"/>
    <n v="0"/>
    <n v="0"/>
    <n v="0"/>
    <n v="0"/>
    <n v="0"/>
    <n v="0"/>
    <n v="0"/>
    <n v="0"/>
    <n v="0"/>
    <n v="24800"/>
    <n v="52150"/>
    <n v="52150"/>
    <n v="0"/>
  </r>
  <r>
    <s v="Pasywa"/>
    <x v="2"/>
    <x v="4"/>
    <x v="7"/>
    <x v="14"/>
    <x v="1"/>
    <n v="34500000"/>
    <s v="34500000 Zobowiązania handlowe - podmioty niepowiązane"/>
    <s v="Bilansowe"/>
    <x v="38"/>
    <x v="26"/>
    <n v="-21140.87"/>
    <n v="59545.15"/>
    <n v="-47164.52"/>
    <n v="28226.39"/>
    <n v="85949.16"/>
    <n v="-23709.11"/>
    <n v="-61043.140000000007"/>
    <n v="38598.830000000009"/>
    <n v="-8398.4500000000044"/>
    <n v="-18659.590000000004"/>
    <n v="45766.17"/>
    <n v="45766.17"/>
    <n v="0"/>
  </r>
  <r>
    <s v="Aktywa"/>
    <x v="1"/>
    <x v="3"/>
    <x v="6"/>
    <x v="5"/>
    <x v="1"/>
    <n v="34550000"/>
    <s v="34550000 Zobowiązania handlowe - podmioty powiązane"/>
    <s v="Bilansowe"/>
    <x v="39"/>
    <x v="27"/>
    <n v="1765359.8599999999"/>
    <n v="-335134.17999999993"/>
    <n v="312205"/>
    <n v="-56041.169999999925"/>
    <n v="47587.169999999925"/>
    <n v="246"/>
    <n v="30.270000000018626"/>
    <n v="-23112.629999999888"/>
    <n v="-38893.130000000121"/>
    <n v="1433122.26"/>
    <n v="3105671"/>
    <n v="3105671"/>
    <n v="0"/>
  </r>
  <r>
    <s v="Pasywa"/>
    <x v="2"/>
    <x v="4"/>
    <x v="7"/>
    <x v="14"/>
    <x v="1"/>
    <n v="34550999"/>
    <s v="34550999 Zobowiąz handlowe podm powiąz - wycena bilansowa"/>
    <s v="Bilansowe"/>
    <x v="14"/>
    <x v="0"/>
    <n v="0"/>
    <n v="0"/>
    <n v="0"/>
    <n v="0"/>
    <n v="0"/>
    <n v="0"/>
    <n v="0"/>
    <n v="0"/>
    <n v="0"/>
    <n v="0"/>
    <n v="0"/>
    <n v="0"/>
    <n v="0"/>
  </r>
  <r>
    <s v="Aktywa"/>
    <x v="1"/>
    <x v="3"/>
    <x v="4"/>
    <x v="10"/>
    <x v="0"/>
    <n v="35002000"/>
    <s v="35002000 Zobowiązania wobec US - VAT"/>
    <s v="Bilansowe"/>
    <x v="40"/>
    <x v="0"/>
    <n v="0"/>
    <n v="0"/>
    <n v="0"/>
    <n v="0"/>
    <n v="0"/>
    <n v="0"/>
    <n v="0"/>
    <n v="0"/>
    <n v="0"/>
    <n v="0"/>
    <n v="584"/>
    <n v="584"/>
    <n v="0"/>
  </r>
  <r>
    <s v="Pasywa"/>
    <x v="2"/>
    <x v="4"/>
    <x v="7"/>
    <x v="9"/>
    <x v="0"/>
    <n v="35002010"/>
    <s v="35002010 VAT Należny"/>
    <s v="Bilansowe"/>
    <x v="41"/>
    <x v="28"/>
    <n v="12757.910000000003"/>
    <n v="-570.99000000000524"/>
    <n v="174.91000000000349"/>
    <n v="84.930000000007567"/>
    <n v="246.73999999999069"/>
    <n v="465.57000000000698"/>
    <n v="286.02999999999884"/>
    <n v="815.59999999999127"/>
    <n v="137.82000000000698"/>
    <n v="3169.6999999999971"/>
    <n v="105025.28"/>
    <n v="105025.28"/>
    <n v="0"/>
  </r>
  <r>
    <s v="Pasywa"/>
    <x v="2"/>
    <x v="4"/>
    <x v="7"/>
    <x v="9"/>
    <x v="0"/>
    <n v="35002100"/>
    <s v="35002100 VAT należny EU"/>
    <s v="Bilansowe"/>
    <x v="42"/>
    <x v="0"/>
    <n v="0"/>
    <n v="0"/>
    <n v="0"/>
    <n v="33.330000000000041"/>
    <n v="25.859999999999957"/>
    <n v="0"/>
    <n v="0"/>
    <n v="0"/>
    <n v="0"/>
    <n v="0"/>
    <n v="296.08"/>
    <n v="296.08"/>
    <n v="0"/>
  </r>
  <r>
    <s v="Pasywa"/>
    <x v="2"/>
    <x v="4"/>
    <x v="7"/>
    <x v="9"/>
    <x v="0"/>
    <n v="35004001"/>
    <s v="35004001 Zobowiązania wobec US - PIT"/>
    <s v="Bilansowe"/>
    <x v="43"/>
    <x v="29"/>
    <n v="9404"/>
    <n v="118272"/>
    <n v="-100726"/>
    <n v="14087"/>
    <n v="-6210"/>
    <n v="9539"/>
    <n v="3053"/>
    <n v="8988"/>
    <n v="13231"/>
    <n v="6853"/>
    <n v="163343"/>
    <n v="163343"/>
    <n v="0"/>
  </r>
  <r>
    <s v="Pasywa"/>
    <x v="2"/>
    <x v="4"/>
    <x v="7"/>
    <x v="9"/>
    <x v="0"/>
    <n v="35006000"/>
    <s v="35006000 Zobowiazania z tytułu ubezpieczeń społecznych"/>
    <s v="Bilansowe"/>
    <x v="44"/>
    <x v="30"/>
    <n v="-1536.140000000014"/>
    <n v="450774.19"/>
    <n v="-492565.76000000001"/>
    <n v="76065.37"/>
    <n v="-90599.890000000014"/>
    <n v="3886.9400000000023"/>
    <n v="-7531.3999999999651"/>
    <n v="-2597.1900000000023"/>
    <n v="-1151.179999999993"/>
    <n v="-358162.53"/>
    <n v="0"/>
    <n v="0"/>
    <n v="0"/>
  </r>
  <r>
    <s v="Aktywa"/>
    <x v="0"/>
    <x v="2"/>
    <x v="3"/>
    <x v="0"/>
    <x v="0"/>
    <n v="36500010"/>
    <s v="36500010 Przychody z frachtu powyżej lub ponizej manifestu"/>
    <s v="Bilansowe"/>
    <x v="45"/>
    <x v="31"/>
    <n v="0"/>
    <n v="-9.9999999999909051E-3"/>
    <n v="0"/>
    <n v="3.0000000000001137E-2"/>
    <n v="-2.0000000000010232E-2"/>
    <n v="-9.9999999999909051E-3"/>
    <n v="9.9999999999909051E-3"/>
    <n v="0"/>
    <n v="1"/>
    <n v="2.3100000000000023"/>
    <n v="124.44"/>
    <n v="124.44"/>
    <n v="0"/>
  </r>
  <r>
    <s v="Aktywa"/>
    <x v="0"/>
    <x v="2"/>
    <x v="13"/>
    <x v="0"/>
    <x v="0"/>
    <n v="14502000"/>
    <s v="14502000 Aktywa z tytułu podatku odroczonego"/>
    <s v="Bilansowe"/>
    <x v="46"/>
    <x v="32"/>
    <n v="451.25"/>
    <n v="-277026.27"/>
    <n v="0"/>
    <n v="0"/>
    <n v="0"/>
    <n v="0"/>
    <n v="-243876.99"/>
    <n v="0"/>
    <n v="0"/>
    <n v="571149.07999999996"/>
    <n v="571149.07999999996"/>
    <n v="571149.07999999996"/>
    <n v="0"/>
  </r>
  <r>
    <s v="Aktywa"/>
    <x v="1"/>
    <x v="3"/>
    <x v="4"/>
    <x v="10"/>
    <x v="0"/>
    <n v="16500000"/>
    <s v="16500000 Podatek dochodowy - zaliczki i nadpłata"/>
    <s v="Bilansowe"/>
    <x v="47"/>
    <x v="0"/>
    <n v="0"/>
    <n v="0"/>
    <n v="0"/>
    <n v="-728950"/>
    <n v="11328"/>
    <n v="0"/>
    <n v="0"/>
    <n v="0"/>
    <n v="0"/>
    <n v="315026"/>
    <n v="315026"/>
    <n v="315026"/>
    <n v="0"/>
  </r>
  <r>
    <s v="Pasywa"/>
    <x v="2"/>
    <x v="4"/>
    <x v="14"/>
    <x v="15"/>
    <x v="0"/>
    <n v="33506000"/>
    <s v="33506000 Krótkoterminowe zobowiązania wobec pracowników"/>
    <s v="Bilansowe"/>
    <x v="14"/>
    <x v="0"/>
    <n v="0"/>
    <n v="0"/>
    <n v="0"/>
    <n v="0"/>
    <n v="-730.43"/>
    <n v="730.43"/>
    <n v="-29.56"/>
    <n v="29.56"/>
    <n v="0"/>
    <n v="0"/>
    <n v="0"/>
    <n v="0"/>
    <n v="0"/>
  </r>
  <r>
    <s v="Aktywa"/>
    <x v="0"/>
    <x v="1"/>
    <x v="15"/>
    <x v="0"/>
    <x v="0"/>
    <n v="17006000"/>
    <s v="17006000 Zaliczki na środki trwałe"/>
    <s v="Bilansowe"/>
    <x v="14"/>
    <x v="0"/>
    <n v="0"/>
    <n v="0"/>
    <n v="0"/>
    <n v="0"/>
    <n v="0"/>
    <n v="0"/>
    <n v="0"/>
    <n v="0"/>
    <n v="0"/>
    <n v="0"/>
    <n v="0"/>
    <n v="0"/>
    <n v="0"/>
  </r>
  <r>
    <s v="Aktywa"/>
    <x v="1"/>
    <x v="3"/>
    <x v="5"/>
    <x v="6"/>
    <x v="0"/>
    <n v="15560000"/>
    <s v="15560000 Faktury do wystawienia"/>
    <s v="Bilansowe"/>
    <x v="14"/>
    <x v="0"/>
    <n v="0"/>
    <n v="0"/>
    <n v="0"/>
    <n v="0"/>
    <n v="0"/>
    <n v="0"/>
    <n v="0"/>
    <n v="0"/>
    <n v="0"/>
    <n v="0"/>
    <n v="0"/>
    <n v="0"/>
    <n v="0"/>
  </r>
  <r>
    <s v="Aktywa"/>
    <x v="0"/>
    <x v="2"/>
    <x v="3"/>
    <x v="0"/>
    <x v="0"/>
    <n v="15514000"/>
    <s v="15514000 Przychody przyszłych okresów"/>
    <s v="Bilansowe"/>
    <x v="14"/>
    <x v="0"/>
    <n v="0"/>
    <n v="0"/>
    <n v="0"/>
    <n v="0"/>
    <n v="0"/>
    <n v="0"/>
    <n v="0"/>
    <n v="0"/>
    <n v="0"/>
    <n v="71754"/>
    <n v="71754"/>
    <n v="71754"/>
    <n v="0"/>
  </r>
  <r>
    <s v="Pasywa"/>
    <x v="2"/>
    <x v="4"/>
    <x v="7"/>
    <x v="14"/>
    <x v="1"/>
    <n v="34504000"/>
    <s v="34504000 Dostawy niefakturowane - podmioty niepowiązane"/>
    <s v="Bilansowe"/>
    <x v="48"/>
    <x v="33"/>
    <n v="0"/>
    <n v="0"/>
    <n v="0"/>
    <n v="0"/>
    <n v="0"/>
    <n v="0"/>
    <n v="0"/>
    <n v="0"/>
    <n v="0"/>
    <n v="60834.03"/>
    <n v="60834.03"/>
    <n v="60834.03"/>
    <n v="0"/>
  </r>
  <r>
    <s v="Aktywa"/>
    <x v="1"/>
    <x v="3"/>
    <x v="5"/>
    <x v="6"/>
    <x v="0"/>
    <n v="34515000"/>
    <s v="34515000 Faktura do przypisania (SD)"/>
    <s v="Bilansowe"/>
    <x v="14"/>
    <x v="0"/>
    <n v="0"/>
    <n v="0"/>
    <n v="0"/>
    <n v="0"/>
    <n v="0"/>
    <n v="0"/>
    <n v="0"/>
    <n v="0"/>
    <n v="0"/>
    <n v="0"/>
    <n v="0"/>
    <n v="0"/>
    <n v="0"/>
  </r>
  <r>
    <s v="Aktywa"/>
    <x v="1"/>
    <x v="6"/>
    <x v="16"/>
    <x v="0"/>
    <x v="0"/>
    <n v="65526100"/>
    <s v="65526100 Niezrealiz ujemne różnice kursowe od należ (TFx)"/>
    <s v="Bilansowe"/>
    <x v="14"/>
    <x v="0"/>
    <n v="0"/>
    <n v="0"/>
    <n v="0"/>
    <n v="0"/>
    <n v="0"/>
    <n v="0"/>
    <n v="0"/>
    <n v="0"/>
    <n v="27079.759999999998"/>
    <n v="-27079.759999999998"/>
    <n v="0"/>
    <n v="0"/>
    <n v="0"/>
  </r>
  <r>
    <s v="Pasywa"/>
    <x v="2"/>
    <x v="4"/>
    <x v="5"/>
    <x v="0"/>
    <x v="0"/>
    <n v="16000000"/>
    <s v="16000000 Other receivables"/>
    <s v="Bilansowe"/>
    <x v="14"/>
    <x v="0"/>
    <n v="0"/>
    <n v="0"/>
    <n v="0"/>
    <n v="0"/>
    <n v="0"/>
    <n v="0"/>
    <n v="0"/>
    <n v="0"/>
    <n v="0"/>
    <n v="0"/>
    <n v="0"/>
    <n v="0"/>
    <n v="0"/>
  </r>
  <r>
    <s v="Pasywa"/>
    <x v="2"/>
    <x v="9"/>
    <x v="17"/>
    <x v="13"/>
    <x v="0"/>
    <n v="31500000"/>
    <s v="31500000 Rezerwa z tytułu podatku odroczonego"/>
    <s v="Bilansowe"/>
    <x v="14"/>
    <x v="0"/>
    <n v="0"/>
    <n v="0"/>
    <n v="0"/>
    <n v="0"/>
    <n v="0"/>
    <n v="0"/>
    <n v="0"/>
    <n v="0"/>
    <n v="0"/>
    <n v="79.17"/>
    <n v="79.17"/>
    <n v="79.17"/>
    <n v="0"/>
  </r>
  <r>
    <s v="Pasywa"/>
    <x v="2"/>
    <x v="4"/>
    <x v="7"/>
    <x v="9"/>
    <x v="0"/>
    <n v="36000000"/>
    <s v="36000000 Podatek dochodowy - zobowiazania"/>
    <s v="Bilansowe"/>
    <x v="14"/>
    <x v="0"/>
    <n v="0"/>
    <n v="0"/>
    <n v="0"/>
    <n v="0"/>
    <n v="0"/>
    <n v="0"/>
    <n v="0"/>
    <n v="0"/>
    <n v="0"/>
    <n v="43662"/>
    <n v="43662"/>
    <n v="43662"/>
    <n v="0"/>
  </r>
  <r>
    <s v="Pasywa"/>
    <x v="3"/>
    <x v="10"/>
    <x v="18"/>
    <x v="0"/>
    <x v="0"/>
    <m/>
    <s v="Zysk netto bieżącego okresu"/>
    <m/>
    <x v="49"/>
    <x v="34"/>
    <n v="54304.5699999996"/>
    <n v="-575793.26000000047"/>
    <n v="80904.459999999963"/>
    <n v="-183603.59999999963"/>
    <n v="21642.130000000587"/>
    <n v="123113.26999999909"/>
    <n v="-193925.26999999932"/>
    <n v="8818.260000000475"/>
    <n v="47007.4300000004"/>
    <n v="598871.2799999998"/>
    <n v="324636.34000000102"/>
    <n v="-324636.34000000102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Przychody"/>
    <x v="0"/>
    <s v="I. Przychody netto ze sprzedaży produktów"/>
    <n v="44000000"/>
    <s v="44000000 Przychód operacyjny - opłata za konosament"/>
    <s v="Wynikowe"/>
    <n v="0"/>
    <n v="0"/>
    <n v="0"/>
    <n v="0"/>
    <n v="0"/>
    <n v="0"/>
    <n v="0"/>
    <n v="0"/>
    <n v="0"/>
    <n v="0"/>
    <n v="-112.36000000000001"/>
    <n v="0"/>
    <n v="-112.36000000000001"/>
  </r>
  <r>
    <s v="Przychody"/>
    <x v="0"/>
    <s v="I. Przychody netto ze sprzedaży produktów"/>
    <n v="44000005"/>
    <s v="44000005 Przychód operacyjny - opłata dokumentacyjna EXP"/>
    <s v="Wynikowe"/>
    <n v="0"/>
    <n v="0"/>
    <n v="0"/>
    <n v="0"/>
    <n v="0"/>
    <n v="0"/>
    <n v="0"/>
    <n v="0"/>
    <n v="0"/>
    <n v="0"/>
    <n v="-153.29"/>
    <n v="0"/>
    <n v="-153.29"/>
  </r>
  <r>
    <s v="Przychody"/>
    <x v="0"/>
    <s v="I. Przychody netto ze sprzedaży produktów"/>
    <n v="45510000"/>
    <s v="45510000 Prowizja Cost+"/>
    <s v="Wynikowe"/>
    <n v="1850899"/>
    <n v="1937526"/>
    <n v="1838554"/>
    <n v="453584"/>
    <n v="1520140"/>
    <n v="1520140"/>
    <n v="2331123"/>
    <n v="1636000"/>
    <n v="1636000"/>
    <n v="1635000"/>
    <n v="1635000"/>
    <n v="3364855"/>
    <n v="21358821"/>
  </r>
  <r>
    <s v="Przychody"/>
    <x v="1"/>
    <s v="IV. Inne przychody operacyjne"/>
    <n v="46012000"/>
    <s v="46012000 Przychód operacyjny - nadpłaty"/>
    <s v="Wynikowe"/>
    <n v="0"/>
    <n v="-4"/>
    <n v="-0.49000000000000021"/>
    <n v="0"/>
    <n v="0"/>
    <n v="0"/>
    <n v="0"/>
    <n v="0"/>
    <n v="0"/>
    <n v="-10.34"/>
    <n v="0"/>
    <n v="-20.51"/>
    <n v="-35.340000000000003"/>
  </r>
  <r>
    <s v="Przychody"/>
    <x v="1"/>
    <s v="IV. Inne przychody operacyjne"/>
    <n v="46050000"/>
    <s v="46050000 Przychód operacyjny - pozostałe"/>
    <s v="Wynikowe"/>
    <n v="6616.25"/>
    <n v="3474.0499999999993"/>
    <n v="274"/>
    <n v="6412.1000000000022"/>
    <n v="1093"/>
    <n v="207524.53"/>
    <n v="364"/>
    <n v="9190.5800000000163"/>
    <n v="3890.9700000000012"/>
    <n v="3517.9400000000023"/>
    <n v="3606.16"/>
    <n v="3656.6"/>
    <n v="249620.18000000002"/>
  </r>
  <r>
    <s v="Koszty"/>
    <x v="2"/>
    <s v="III. Usługi obce"/>
    <n v="53080000"/>
    <s v="53080000 Koszt operacyjny - pozostałe koszty na termin mors"/>
    <s v="Wynikowe"/>
    <n v="0"/>
    <n v="0"/>
    <n v="0"/>
    <n v="0"/>
    <n v="55401"/>
    <n v="0"/>
    <n v="0"/>
    <n v="0"/>
    <n v="0"/>
    <n v="0"/>
    <n v="0"/>
    <n v="0"/>
    <n v="55401"/>
  </r>
  <r>
    <s v="Koszty"/>
    <x v="2"/>
    <s v="III. Usługi obce"/>
    <n v="58500000"/>
    <s v="58500000 Wynajęcie biura"/>
    <s v="Wynikowe"/>
    <n v="21406.78"/>
    <n v="5626.48"/>
    <n v="21751.66"/>
    <n v="21750.820000000007"/>
    <n v="3801.6899999999878"/>
    <n v="4420.1300000000047"/>
    <n v="28762.070000000007"/>
    <n v="7652.2599999999948"/>
    <n v="7683.6699999999983"/>
    <n v="7680.0299999999988"/>
    <n v="26297.01"/>
    <n v="26647.1"/>
    <n v="183479.7"/>
  </r>
  <r>
    <s v="Koszty"/>
    <x v="2"/>
    <s v="III. Usługi obce"/>
    <n v="58500010"/>
    <s v="58500010 Wynajecie parkingu"/>
    <s v="Wynikowe"/>
    <n v="8307.36"/>
    <n v="4965.2099999999991"/>
    <n v="8420.3499999999985"/>
    <n v="8757.84"/>
    <n v="3524.3900000000031"/>
    <n v="7557.760000000002"/>
    <n v="15464.409999999996"/>
    <n v="8034.57"/>
    <n v="8125.6800000000076"/>
    <n v="9291.9099999999889"/>
    <n v="8402.33"/>
    <n v="10303.66"/>
    <n v="101155.47"/>
  </r>
  <r>
    <s v="Koszty"/>
    <x v="2"/>
    <s v="II. Zużycie materiałów i energii"/>
    <n v="58502000"/>
    <s v="58502000 Energia cieplna"/>
    <s v="Wynikowe"/>
    <n v="4208.2299999999996"/>
    <n v="4306.92"/>
    <n v="4073.16"/>
    <n v="2428.7200000000012"/>
    <n v="3835.33"/>
    <n v="3948.4300000000003"/>
    <n v="5932.8999999999978"/>
    <n v="4848.09"/>
    <n v="3860.7300000000032"/>
    <n v="5514.7099999999991"/>
    <n v="3978.47"/>
    <n v="4531.3899999999994"/>
    <n v="51467.08"/>
  </r>
  <r>
    <s v="Koszty"/>
    <x v="2"/>
    <s v="II. Zużycie materiałów i energii"/>
    <n v="58502001"/>
    <s v="58502001 Woda"/>
    <s v="Wynikowe"/>
    <n v="1388.54"/>
    <n v="1792.0700000000002"/>
    <n v="915.63999999999987"/>
    <n v="1569.0299999999997"/>
    <n v="1028.1400000000003"/>
    <n v="1995.7399999999998"/>
    <n v="1561.3600000000006"/>
    <n v="695.43000000000029"/>
    <n v="1698.2199999999993"/>
    <n v="2170.34"/>
    <n v="1855.96"/>
    <n v="2455.9"/>
    <n v="19126.370000000003"/>
  </r>
  <r>
    <s v="Koszty"/>
    <x v="2"/>
    <s v="II. Zużycie materiałów i energii"/>
    <n v="58502002"/>
    <s v="58502002 Energia elektryczna"/>
    <s v="Wynikowe"/>
    <n v="1390.06"/>
    <n v="7690.8100000000013"/>
    <n v="4594.5299999999988"/>
    <n v="3320.83"/>
    <n v="3873.3100000000013"/>
    <n v="3981.5400000000009"/>
    <n v="5362.4299999999967"/>
    <n v="1794.2100000000028"/>
    <n v="7569.7200000000012"/>
    <n v="5345.239999999998"/>
    <n v="4732.72"/>
    <n v="8656.65"/>
    <n v="58312.05"/>
  </r>
  <r>
    <s v="Koszty"/>
    <x v="2"/>
    <s v="III. Usługi obce"/>
    <n v="58502003"/>
    <s v="58502003 Ubezpieczenie biura"/>
    <s v="Wynikowe"/>
    <n v="1794.99"/>
    <n v="1796.99"/>
    <n v="1796.9900000000002"/>
    <n v="2185.0299999999997"/>
    <n v="1876.6800000000003"/>
    <n v="1876.6800000000003"/>
    <n v="1876.6800000000003"/>
    <n v="1876.6799999999985"/>
    <n v="1876.6800000000021"/>
    <n v="1876.6800000000003"/>
    <n v="1876.68"/>
    <n v="1876.68"/>
    <n v="22587.440000000002"/>
  </r>
  <r>
    <s v="Koszty"/>
    <x v="2"/>
    <s v="III. Usługi obce"/>
    <n v="58504000"/>
    <s v="58504000 Naprawa biura"/>
    <s v="Wynikowe"/>
    <n v="10988.68"/>
    <n v="-2700.1499999999996"/>
    <n v="3337.6799999999985"/>
    <n v="970.61000000000058"/>
    <n v="2338.6800000000003"/>
    <n v="3038.6800000000003"/>
    <n v="1538.6800000000003"/>
    <n v="1438.6800000000003"/>
    <n v="2176.6800000000003"/>
    <n v="1805.6699999999983"/>
    <n v="1438.68"/>
    <n v="1438.68"/>
    <n v="27811.25"/>
  </r>
  <r>
    <s v="Koszty"/>
    <x v="2"/>
    <s v="III. Usługi obce"/>
    <n v="58504001"/>
    <s v="58504001 Eksploatacja biura"/>
    <s v="Wynikowe"/>
    <n v="9718.15"/>
    <n v="2836.7900000000009"/>
    <n v="10549.92"/>
    <n v="4896.880000000001"/>
    <n v="19531.13"/>
    <n v="11441.339999999997"/>
    <n v="15716.079999999994"/>
    <n v="14136.840000000011"/>
    <n v="12752.580000000002"/>
    <n v="12285.229999999996"/>
    <n v="12625.46"/>
    <n v="11810.800000000001"/>
    <n v="138301.19999999998"/>
  </r>
  <r>
    <s v="Koszty"/>
    <x v="2"/>
    <s v="III. Usługi obce"/>
    <n v="58504002"/>
    <s v="58504002 Sprzątanie biura"/>
    <s v="Wynikowe"/>
    <n v="7733.75"/>
    <n v="4099.2700000000004"/>
    <n v="8007.380000000001"/>
    <n v="6845.0799999999981"/>
    <n v="12116.969999999998"/>
    <n v="8918.86"/>
    <n v="3068.8600000000006"/>
    <n v="8070.75"/>
    <n v="8608.86"/>
    <n v="8568.86"/>
    <n v="8368.86"/>
    <n v="15816.970000000001"/>
    <n v="100224.47"/>
  </r>
  <r>
    <s v="Koszty"/>
    <x v="2"/>
    <s v="IV. Podatki i opłaty"/>
    <n v="58506000"/>
    <s v="58506000 Opłaty prawne"/>
    <s v="Wynikowe"/>
    <n v="383.6"/>
    <n v="-38.600000000000023"/>
    <n v="0"/>
    <n v="0"/>
    <n v="43.199999999999989"/>
    <n v="18899.8"/>
    <n v="32.900000000001455"/>
    <n v="0"/>
    <n v="9.8999999999978172"/>
    <n v="14.600000000002183"/>
    <n v="37.200000000000003"/>
    <n v="2407.6"/>
    <n v="21790.2"/>
  </r>
  <r>
    <s v="Koszty"/>
    <x v="2"/>
    <s v="III. Usługi obce"/>
    <n v="58506001"/>
    <s v="58506001 Usługi prawnicze"/>
    <s v="Wynikowe"/>
    <n v="3500"/>
    <n v="3500"/>
    <n v="3500"/>
    <n v="9020"/>
    <n v="31350.550000000003"/>
    <n v="3500"/>
    <n v="7835"/>
    <n v="3500"/>
    <n v="3500"/>
    <n v="990"/>
    <n v="7120"/>
    <n v="3800"/>
    <n v="81115.55"/>
  </r>
  <r>
    <s v="Koszty"/>
    <x v="2"/>
    <s v="III. Usługi obce"/>
    <n v="58506003"/>
    <s v="58506003 Usługi audytorskie"/>
    <s v="Wynikowe"/>
    <n v="0"/>
    <n v="12130.07"/>
    <n v="0"/>
    <n v="0"/>
    <n v="0"/>
    <n v="0"/>
    <n v="7156.07"/>
    <n v="0"/>
    <n v="0"/>
    <n v="0"/>
    <n v="0"/>
    <n v="9600"/>
    <n v="28886.14"/>
  </r>
  <r>
    <s v="Koszty"/>
    <x v="2"/>
    <s v="III. Usługi obce"/>
    <n v="58506006"/>
    <s v="58506006 Usługi rekrutacyjne"/>
    <s v="Wynikowe"/>
    <n v="0"/>
    <n v="499"/>
    <n v="0"/>
    <n v="499"/>
    <n v="0"/>
    <n v="0"/>
    <n v="499"/>
    <n v="0"/>
    <n v="699"/>
    <n v="1198"/>
    <n v="1950.21"/>
    <n v="0"/>
    <n v="5344.21"/>
  </r>
  <r>
    <s v="Koszty"/>
    <x v="2"/>
    <s v="III. Usługi obce"/>
    <n v="58507000"/>
    <s v="58507000 Pozostałe usługi"/>
    <s v="Wynikowe"/>
    <n v="2552.31"/>
    <n v="5925.0400000000009"/>
    <n v="3499.3899999999994"/>
    <n v="1247.2399999999998"/>
    <n v="6187.8300000000017"/>
    <n v="6269.8999999999978"/>
    <n v="1624.4000000000015"/>
    <n v="1695.1899999999987"/>
    <n v="4214.3999999999978"/>
    <n v="2981.9500000000044"/>
    <n v="4690.6499999999996"/>
    <n v="1144.42"/>
    <n v="42032.72"/>
  </r>
  <r>
    <s v="Koszty"/>
    <x v="2"/>
    <s v="III. Usługi obce"/>
    <n v="58507001"/>
    <s v="58507001 Archiwizacja"/>
    <s v="Wynikowe"/>
    <n v="150"/>
    <n v="0"/>
    <n v="0"/>
    <n v="0"/>
    <n v="416"/>
    <n v="150"/>
    <n v="873"/>
    <n v="0"/>
    <n v="468"/>
    <n v="405"/>
    <n v="0"/>
    <n v="0"/>
    <n v="2462"/>
  </r>
  <r>
    <s v="Koszty"/>
    <x v="2"/>
    <s v="VI. Ubezpieczenia społeczne i inne świadczenia, w tym:"/>
    <n v="58507002"/>
    <s v="58507002 Szkolenia"/>
    <s v="Wynikowe"/>
    <n v="1463.48"/>
    <n v="1648.1799999999998"/>
    <n v="3279.24"/>
    <n v="18774.160000000003"/>
    <n v="34062.759999999995"/>
    <n v="30369.560000000005"/>
    <n v="348.17999999999302"/>
    <n v="900"/>
    <n v="1890"/>
    <n v="32388.479999999996"/>
    <n v="19272.740000000002"/>
    <n v="12218.18"/>
    <n v="156614.96"/>
  </r>
  <r>
    <s v="Koszty"/>
    <x v="2"/>
    <s v="VI. Ubezpieczenia społeczne i inne świadczenia, w tym:"/>
    <n v="58507006"/>
    <s v="58507006 Bezpieczeństwo i higiena pracy"/>
    <s v="Wynikowe"/>
    <n v="0"/>
    <n v="1525.93"/>
    <n v="2345.8199999999997"/>
    <n v="1416.13"/>
    <n v="1844.4399999999996"/>
    <n v="1600.92"/>
    <n v="0"/>
    <n v="0"/>
    <n v="1793.9600000000009"/>
    <n v="3026.59"/>
    <n v="2000"/>
    <n v="4415.29"/>
    <n v="19969.080000000002"/>
  </r>
  <r>
    <s v="Koszty"/>
    <x v="2"/>
    <s v="II. Zużycie materiałów i energii"/>
    <n v="58508000"/>
    <s v="58508000 Materiały biurowe"/>
    <s v="Wynikowe"/>
    <n v="12615.83"/>
    <n v="10215.949999999999"/>
    <n v="7618.9200000000019"/>
    <n v="13377.2"/>
    <n v="6591.2999999999956"/>
    <n v="6656.0900000000038"/>
    <n v="35893.700000000004"/>
    <n v="4503.7999999999884"/>
    <n v="5080.5300000000134"/>
    <n v="10902.319999999992"/>
    <n v="7506.8999999999978"/>
    <n v="39400.360000000008"/>
    <n v="160362.9"/>
  </r>
  <r>
    <s v="Koszty"/>
    <x v="2"/>
    <s v="III. Usługi obce"/>
    <n v="58521000"/>
    <s v="58521000 Telefony stacjonarne"/>
    <s v="Wynikowe"/>
    <n v="2998.38"/>
    <n v="2492.2600000000002"/>
    <n v="2637.5"/>
    <n v="3288.05"/>
    <n v="2549.7199999999993"/>
    <n v="3498.4399999999987"/>
    <n v="3467.0699999999997"/>
    <n v="2767.7400000000016"/>
    <n v="6409.66"/>
    <n v="1778.3300000000017"/>
    <n v="2934.2200000000003"/>
    <n v="3047.5"/>
    <n v="37868.870000000003"/>
  </r>
  <r>
    <s v="Koszty"/>
    <x v="2"/>
    <s v="III. Usługi obce"/>
    <n v="58522000"/>
    <s v="58522000 Telefony komórkowe"/>
    <s v="Wynikowe"/>
    <n v="6518.59"/>
    <n v="4120.0599999999995"/>
    <n v="2967.4799999999996"/>
    <n v="7447.5599999999995"/>
    <n v="4682.5800000000017"/>
    <n v="2182.9599999999991"/>
    <n v="6127.9300000000039"/>
    <n v="4185.679999999993"/>
    <n v="3016.9900000000052"/>
    <n v="2869.2299999999959"/>
    <n v="2796.71"/>
    <n v="5446.9699999999993"/>
    <n v="52362.74"/>
  </r>
  <r>
    <s v="Koszty"/>
    <x v="2"/>
    <s v="III. Usługi obce"/>
    <n v="58525000"/>
    <s v="58525000 Internet"/>
    <s v="Wynikowe"/>
    <n v="3900"/>
    <n v="480"/>
    <n v="2190"/>
    <n v="2190"/>
    <n v="2680"/>
    <n v="3040"/>
    <n v="2430"/>
    <n v="2190"/>
    <n v="2190"/>
    <n v="1228"/>
    <n v="5128"/>
    <n v="2430"/>
    <n v="30076"/>
  </r>
  <r>
    <s v="Koszty"/>
    <x v="2"/>
    <s v="III. Usługi obce"/>
    <n v="58527000"/>
    <s v="58527000 Usługi pocztowe i kurierskie"/>
    <s v="Wynikowe"/>
    <n v="4271.3500000000004"/>
    <n v="3903.0499999999993"/>
    <n v="3989.380000000001"/>
    <n v="4747.8500000000004"/>
    <n v="1745.2599999999984"/>
    <n v="3972.3300000000017"/>
    <n v="5320.5999999999985"/>
    <n v="2568.2900000000009"/>
    <n v="2738.1399999999994"/>
    <n v="3492.3499999999985"/>
    <n v="3455.3500000000004"/>
    <n v="6447.61"/>
    <n v="46651.56"/>
  </r>
  <r>
    <s v="Koszty"/>
    <x v="2"/>
    <s v="III. Usługi obce"/>
    <n v="58530200"/>
    <s v="58530200 Koszty oprogramowania"/>
    <s v="Wynikowe"/>
    <n v="6323.42"/>
    <n v="6281.1"/>
    <n v="10272.32"/>
    <n v="13890.039999999997"/>
    <n v="6396.1000000000058"/>
    <n v="6971"/>
    <n v="7766.1899999999951"/>
    <n v="6281.0999999999985"/>
    <n v="10369.099999999999"/>
    <n v="6871.1000000000058"/>
    <n v="8728.08"/>
    <n v="6881.1"/>
    <n v="97030.650000000009"/>
  </r>
  <r>
    <s v="Koszty"/>
    <x v="2"/>
    <s v="III. Usługi obce"/>
    <n v="58530500"/>
    <s v="58530500 Usługi konsultingowe IT"/>
    <s v="Wynikowe"/>
    <n v="3650"/>
    <n v="8967"/>
    <n v="7600"/>
    <n v="7150.5600000000013"/>
    <n v="6559.9999999999964"/>
    <n v="7890"/>
    <n v="6680"/>
    <n v="6070"/>
    <n v="7744.7400000000052"/>
    <n v="8460"/>
    <n v="5760"/>
    <n v="5400"/>
    <n v="81932.3"/>
  </r>
  <r>
    <s v="Koszty"/>
    <x v="2"/>
    <s v="III. Usługi obce"/>
    <n v="58530700"/>
    <s v="58530700 Pozostałe koszty IT"/>
    <s v="Wynikowe"/>
    <n v="355.19"/>
    <n v="731.8599999999999"/>
    <n v="0"/>
    <n v="2059.1000000000004"/>
    <n v="0"/>
    <n v="0"/>
    <n v="0"/>
    <n v="112.44999999999982"/>
    <n v="712.01000000000022"/>
    <n v="1174.0300000000002"/>
    <n v="4492.6400000000003"/>
    <n v="0"/>
    <n v="9637.2800000000025"/>
  </r>
  <r>
    <s v="Koszty"/>
    <x v="2"/>
    <s v="VII. Pozostałe koszty rodzajowe"/>
    <n v="58540000"/>
    <s v="58540000 Bilety inne"/>
    <s v="Wynikowe"/>
    <n v="0"/>
    <n v="1344.89"/>
    <n v="138.88999999999987"/>
    <n v="0"/>
    <n v="0"/>
    <n v="0"/>
    <n v="0"/>
    <n v="0"/>
    <n v="0"/>
    <n v="0"/>
    <n v="0"/>
    <n v="138.88999999999999"/>
    <n v="1622.67"/>
  </r>
  <r>
    <s v="Koszty"/>
    <x v="2"/>
    <s v="VII. Pozostałe koszty rodzajowe"/>
    <n v="58540100"/>
    <s v="58540100 Bilety lotnicze zagraniczne"/>
    <s v="Wynikowe"/>
    <n v="4111.3999999999996"/>
    <n v="2670.2800000000007"/>
    <n v="22176.52"/>
    <n v="15682.98"/>
    <n v="13415.050000000003"/>
    <n v="8716.0299999999916"/>
    <n v="6790.0299999999988"/>
    <n v="25897.200000000012"/>
    <n v="6860.7299999999959"/>
    <n v="30789.489999999991"/>
    <n v="18617.479999999992"/>
    <n v="3976.5299999999993"/>
    <n v="159703.71999999997"/>
  </r>
  <r>
    <s v="Koszty"/>
    <x v="2"/>
    <s v="VII. Pozostałe koszty rodzajowe"/>
    <n v="58540111"/>
    <s v="58540111 Delegacje zagraniczne"/>
    <s v="Wynikowe"/>
    <n v="2967.08"/>
    <n v="30.130000000000109"/>
    <n v="5434.71"/>
    <n v="1261.2000000000007"/>
    <n v="947.42000000000007"/>
    <n v="2294.2199999999993"/>
    <n v="14880.85"/>
    <n v="6367.7900000000009"/>
    <n v="38.669999999998254"/>
    <n v="27393.620000000003"/>
    <n v="12478.199999999999"/>
    <n v="7189.82"/>
    <n v="81283.709999999992"/>
  </r>
  <r>
    <s v="Koszty"/>
    <x v="2"/>
    <s v="VII. Pozostałe koszty rodzajowe"/>
    <n v="58540200"/>
    <s v="58540200 Bilety lotnicze krajowe"/>
    <s v="Wynikowe"/>
    <n v="657.38"/>
    <n v="359.24"/>
    <n v="-234.37"/>
    <n v="0"/>
    <n v="1543.62"/>
    <n v="0"/>
    <n v="1176.3800000000001"/>
    <n v="787.38000000000011"/>
    <n v="1773.9700000000003"/>
    <n v="894.57999999999993"/>
    <n v="0"/>
    <n v="688.58"/>
    <n v="7646.76"/>
  </r>
  <r>
    <s v="Koszty"/>
    <x v="2"/>
    <s v="VII. Pozostałe koszty rodzajowe"/>
    <n v="58540201"/>
    <s v="58540201 Kilometrówka"/>
    <s v="Wynikowe"/>
    <n v="0"/>
    <n v="1614.61"/>
    <n v="1671.6000000000001"/>
    <n v="0"/>
    <n v="2811.3100000000004"/>
    <n v="1424.6399999999994"/>
    <n v="0"/>
    <n v="0"/>
    <n v="0"/>
    <n v="0"/>
    <n v="0"/>
    <n v="0"/>
    <n v="7522.16"/>
  </r>
  <r>
    <s v="Koszty"/>
    <x v="2"/>
    <s v="VII. Pozostałe koszty rodzajowe"/>
    <n v="58540211"/>
    <s v="58540211 Delegacje krajowe"/>
    <s v="Wynikowe"/>
    <n v="2379.0700000000002"/>
    <n v="185.38999999999987"/>
    <n v="4230.45"/>
    <n v="2582.6499999999996"/>
    <n v="1689.33"/>
    <n v="2413.4400000000005"/>
    <n v="5392.0599999999995"/>
    <n v="3245.3100000000013"/>
    <n v="2515.84"/>
    <n v="-5796.7800000000025"/>
    <n v="671.67"/>
    <n v="906.94999999999993"/>
    <n v="20415.379999999997"/>
  </r>
  <r>
    <s v="Koszty"/>
    <x v="2"/>
    <s v="VII. Pozostałe koszty rodzajowe"/>
    <n v="58540300"/>
    <s v="58540300 Zakwaterowanie"/>
    <s v="Wynikowe"/>
    <n v="6217.56"/>
    <n v="2349.9999999999991"/>
    <n v="8383.67"/>
    <n v="9130.7099999999991"/>
    <n v="7135.4900000000016"/>
    <n v="14278.120000000003"/>
    <n v="10247.43"/>
    <n v="25212.959999999999"/>
    <n v="6966.25"/>
    <n v="31063.959999999992"/>
    <n v="12583.83"/>
    <n v="38214.44"/>
    <n v="171784.41999999998"/>
  </r>
  <r>
    <s v="Koszty"/>
    <x v="2"/>
    <s v="VII. Pozostałe koszty rodzajowe"/>
    <n v="58540800"/>
    <s v="58540800 Pozostałe koszty podróży"/>
    <s v="Wynikowe"/>
    <n v="0"/>
    <n v="40.75"/>
    <n v="30.900000000000006"/>
    <n v="0"/>
    <n v="0"/>
    <n v="0"/>
    <n v="0"/>
    <n v="0"/>
    <n v="0"/>
    <n v="0"/>
    <n v="0"/>
    <n v="0"/>
    <n v="71.650000000000006"/>
  </r>
  <r>
    <s v="Koszty"/>
    <x v="2"/>
    <s v="III. Usługi obce"/>
    <n v="58550000"/>
    <s v="58550000 Ochrona biura"/>
    <s v="Wynikowe"/>
    <n v="1407.14"/>
    <n v="1307.1400000000001"/>
    <n v="1407.1399999999999"/>
    <n v="211.77999999999975"/>
    <n v="1397.5700000000006"/>
    <n v="1597.5699999999997"/>
    <n v="1597.5699999999997"/>
    <n v="1397.5699999999997"/>
    <n v="1497.5699999999997"/>
    <n v="1497.5700000000015"/>
    <n v="1587.57"/>
    <n v="1597.57"/>
    <n v="16503.760000000002"/>
  </r>
  <r>
    <s v="Koszty"/>
    <x v="2"/>
    <s v="III. Usługi obce"/>
    <n v="58552001"/>
    <s v="58552001 Samochody - najem"/>
    <s v="Wynikowe"/>
    <n v="20732.66"/>
    <n v="11131.310000000001"/>
    <n v="9171.7999999999956"/>
    <n v="25281.090000000004"/>
    <n v="11193.89"/>
    <n v="13114.080000000002"/>
    <n v="31696.839999999997"/>
    <n v="27218.569999999992"/>
    <n v="-16176.589999999997"/>
    <n v="8522.4599999999919"/>
    <n v="18877.61"/>
    <n v="18877.730000000003"/>
    <n v="179641.44999999998"/>
  </r>
  <r>
    <s v="Koszty"/>
    <x v="2"/>
    <s v="II. Zużycie materiałów i energii"/>
    <n v="58552002"/>
    <s v="58552002 Samochody - paliwo 75%"/>
    <s v="Wynikowe"/>
    <n v="15868.92"/>
    <n v="-1291.6399999999994"/>
    <n v="15951.24"/>
    <n v="14664.52"/>
    <n v="15738.599999999999"/>
    <n v="19757.259999999995"/>
    <n v="4967.1200000000099"/>
    <n v="32731.839999999997"/>
    <n v="-32507.47"/>
    <n v="24379.910000000003"/>
    <n v="11202.79"/>
    <n v="25899.03"/>
    <n v="147362.12"/>
  </r>
  <r>
    <s v="Koszty"/>
    <x v="2"/>
    <s v="II. Zużycie materiałów i energii"/>
    <n v="58552003"/>
    <s v="58552003 Samochody - paliwo 25%"/>
    <s v="Wynikowe"/>
    <n v="0"/>
    <n v="0"/>
    <n v="0"/>
    <n v="0"/>
    <n v="0"/>
    <n v="0"/>
    <n v="0"/>
    <n v="0"/>
    <n v="34164.49"/>
    <n v="8126.6300000000047"/>
    <n v="3734.27"/>
    <n v="8633"/>
    <n v="54658.39"/>
  </r>
  <r>
    <s v="Koszty"/>
    <x v="2"/>
    <s v="III. Usługi obce"/>
    <n v="58552004"/>
    <s v="58552004 Samochody - ubezpieczenia"/>
    <s v="Wynikowe"/>
    <n v="4183.4799999999996"/>
    <n v="4156.9799999999996"/>
    <n v="4200.6400000000012"/>
    <n v="4804.3099999999995"/>
    <n v="9514.8300000000017"/>
    <n v="769.69999999999709"/>
    <n v="9819.6100000000042"/>
    <n v="10297.009999999995"/>
    <n v="10829.270000000004"/>
    <n v="9784.179999999993"/>
    <n v="9351.0500000000011"/>
    <n v="9351.0600000000013"/>
    <n v="87062.12"/>
  </r>
  <r>
    <s v="Koszty"/>
    <x v="2"/>
    <s v="II. Zużycie materiałów i energii"/>
    <n v="58552005"/>
    <s v="58552005 Samochody - eksploatacja 75%"/>
    <s v="Wynikowe"/>
    <n v="0"/>
    <n v="0"/>
    <n v="0"/>
    <n v="0"/>
    <n v="2700"/>
    <n v="0"/>
    <n v="1392.06"/>
    <n v="1219.52"/>
    <n v="35567.189999999995"/>
    <n v="25014.090000000004"/>
    <n v="10070.940000000002"/>
    <n v="8941.32"/>
    <n v="84905.12"/>
  </r>
  <r>
    <s v="Koszty"/>
    <x v="2"/>
    <s v="II. Zużycie materiałów i energii"/>
    <n v="58552025"/>
    <s v="58552025 Samochody - eksploatacja 25%"/>
    <s v="Wynikowe"/>
    <n v="0"/>
    <n v="0"/>
    <n v="0"/>
    <n v="0"/>
    <n v="0"/>
    <n v="0"/>
    <n v="0"/>
    <n v="0"/>
    <n v="13068.35"/>
    <n v="10231.429999999998"/>
    <n v="3323.1000000000004"/>
    <n v="2800.7700000000009"/>
    <n v="29423.649999999998"/>
  </r>
  <r>
    <s v="Koszty"/>
    <x v="2"/>
    <s v="III. Usługi obce"/>
    <n v="58552026"/>
    <s v="58552026 Samochody - najem NKUP"/>
    <s v="Wynikowe"/>
    <n v="0"/>
    <n v="0"/>
    <n v="0"/>
    <n v="0"/>
    <n v="0"/>
    <n v="0"/>
    <n v="0"/>
    <n v="0"/>
    <n v="4707.25"/>
    <n v="2493.34"/>
    <n v="2454.41"/>
    <n v="2454.41"/>
    <n v="12109.41"/>
  </r>
  <r>
    <s v="Koszty"/>
    <x v="2"/>
    <s v="III. Usługi obce"/>
    <n v="58552027"/>
    <s v="58552027 Samochody - ubezpieczenia NKUP"/>
    <s v="Wynikowe"/>
    <n v="0"/>
    <n v="0"/>
    <n v="0"/>
    <n v="0"/>
    <n v="0"/>
    <n v="0"/>
    <n v="0"/>
    <n v="0"/>
    <n v="15.18"/>
    <n v="45.54"/>
    <n v="15.18"/>
    <n v="15.18"/>
    <n v="91.080000000000013"/>
  </r>
  <r>
    <s v="Koszty"/>
    <x v="2"/>
    <s v="III. Usługi obce"/>
    <n v="58554000"/>
    <s v="58554000 Transport lokalny"/>
    <s v="Wynikowe"/>
    <n v="398.08"/>
    <n v="228.00000000000006"/>
    <n v="2931.05"/>
    <n v="246.06999999999971"/>
    <n v="1352.54"/>
    <n v="2126.08"/>
    <n v="1196.9899999999998"/>
    <n v="385.27000000000044"/>
    <n v="1900.75"/>
    <n v="819.79000000000087"/>
    <n v="1630.63"/>
    <n v="5686.68"/>
    <n v="18901.93"/>
  </r>
  <r>
    <s v="Koszty"/>
    <x v="3"/>
    <s v="III. Inne koszty operacyjne"/>
    <n v="58556000"/>
    <s v="58556000 Darowizny"/>
    <s v="Wynikowe"/>
    <n v="3000"/>
    <n v="0"/>
    <n v="0"/>
    <n v="0"/>
    <n v="5000"/>
    <n v="0"/>
    <n v="5535"/>
    <n v="0"/>
    <n v="0"/>
    <n v="0"/>
    <n v="3000"/>
    <n v="2759.28"/>
    <n v="19294.28"/>
  </r>
  <r>
    <s v="Koszty"/>
    <x v="2"/>
    <s v="VII. Pozostałe koszty rodzajowe"/>
    <n v="58564000"/>
    <s v="58564000 Wydatki reprezentacyjne na klientów KUP"/>
    <s v="Wynikowe"/>
    <n v="0"/>
    <n v="0"/>
    <n v="0"/>
    <n v="0"/>
    <n v="971.7"/>
    <n v="0"/>
    <n v="0"/>
    <n v="0"/>
    <n v="0"/>
    <n v="25783.3"/>
    <n v="0"/>
    <n v="1067.9000000000001"/>
    <n v="27822.9"/>
  </r>
  <r>
    <s v="Koszty"/>
    <x v="2"/>
    <s v="VII. Pozostałe koszty rodzajowe"/>
    <n v="58564010"/>
    <s v="58564010 Wydatki reprezentacyjne na klientów NKUP"/>
    <s v="Wynikowe"/>
    <n v="8701.4500000000007"/>
    <n v="27102.62"/>
    <n v="15380.739999999998"/>
    <n v="16352.960000000006"/>
    <n v="11699.399999999994"/>
    <n v="10795.960000000006"/>
    <n v="24183.87999999999"/>
    <n v="8079.5299999999988"/>
    <n v="14479.009999999995"/>
    <n v="15129.840000000026"/>
    <n v="10185.779999999995"/>
    <n v="57279.900000000009"/>
    <n v="219371.07"/>
  </r>
  <r>
    <s v="Koszty"/>
    <x v="2"/>
    <s v="VII. Pozostałe koszty rodzajowe"/>
    <n v="58564020"/>
    <s v="58564020 Imprezy dla klientów"/>
    <s v="Wynikowe"/>
    <n v="0"/>
    <n v="0"/>
    <n v="0"/>
    <n v="0"/>
    <n v="37314"/>
    <n v="128611.20999999999"/>
    <n v="3345"/>
    <n v="1630"/>
    <n v="82727"/>
    <n v="-19981.559999999998"/>
    <n v="11849.56"/>
    <n v="65800"/>
    <n v="311295.20999999996"/>
  </r>
  <r>
    <s v="Koszty"/>
    <x v="2"/>
    <s v="VII. Pozostałe koszty rodzajowe"/>
    <n v="58566000"/>
    <s v="58566000 Wydatki reprezentacyjne na pracowników"/>
    <s v="Wynikowe"/>
    <n v="12750.37"/>
    <n v="3513.7999999999993"/>
    <n v="6237.1900000000005"/>
    <n v="7996.6100000000006"/>
    <n v="10837.720000000001"/>
    <n v="10866.729999999996"/>
    <n v="10205.200000000004"/>
    <n v="7158.239999999998"/>
    <n v="6853.2899999999936"/>
    <n v="90575.93"/>
    <n v="19202.849999999999"/>
    <n v="19866.359999999997"/>
    <n v="206064.28999999998"/>
  </r>
  <r>
    <s v="Koszty"/>
    <x v="2"/>
    <s v="VII. Pozostałe koszty rodzajowe"/>
    <n v="58566010"/>
    <s v="58566010 Imprezy dla pracowników"/>
    <s v="Wynikowe"/>
    <n v="0"/>
    <n v="0"/>
    <n v="0"/>
    <n v="0"/>
    <n v="0"/>
    <n v="63000"/>
    <n v="0"/>
    <n v="0"/>
    <n v="0"/>
    <n v="-46549.18"/>
    <n v="11162.080000000002"/>
    <n v="-400"/>
    <n v="27212.9"/>
  </r>
  <r>
    <s v="Koszty"/>
    <x v="2"/>
    <s v="III. Usługi obce"/>
    <n v="58568000"/>
    <s v="58568000 Reklama i ogłoszenia"/>
    <s v="Wynikowe"/>
    <n v="0"/>
    <n v="675"/>
    <n v="0"/>
    <n v="375"/>
    <n v="0"/>
    <n v="800"/>
    <n v="318.75"/>
    <n v="0"/>
    <n v="7981"/>
    <n v="0"/>
    <n v="0"/>
    <n v="300"/>
    <n v="10449.75"/>
  </r>
  <r>
    <s v="Koszty"/>
    <x v="2"/>
    <s v="VII. Pozostałe koszty rodzajowe"/>
    <n v="58568002"/>
    <s v="58568002 Upominki dla klientów"/>
    <s v="Wynikowe"/>
    <n v="0"/>
    <n v="0"/>
    <n v="4971.41"/>
    <n v="5121.57"/>
    <n v="1833.3000000000011"/>
    <n v="0"/>
    <n v="4578.8000000000011"/>
    <n v="0"/>
    <n v="0"/>
    <n v="6275.2699999999968"/>
    <n v="2356.6799999999998"/>
    <n v="26199.05"/>
    <n v="51336.08"/>
  </r>
  <r>
    <s v="Koszty"/>
    <x v="2"/>
    <s v="VII. Pozostałe koszty rodzajowe"/>
    <n v="58568011"/>
    <s v="58568011 Upominki promocyjne dla innych"/>
    <s v="Wynikowe"/>
    <n v="0"/>
    <n v="0"/>
    <n v="0"/>
    <n v="0"/>
    <n v="0"/>
    <n v="0"/>
    <n v="0"/>
    <n v="0"/>
    <n v="0"/>
    <n v="0"/>
    <n v="0"/>
    <n v="0"/>
    <n v="0"/>
  </r>
  <r>
    <s v="Koszty"/>
    <x v="2"/>
    <s v="III. Usługi obce"/>
    <n v="58570000"/>
    <s v="58570000 Ubezpieczenie ITIC"/>
    <s v="Wynikowe"/>
    <n v="869.42"/>
    <n v="869.42"/>
    <n v="869.4200000000003"/>
    <n v="869.41999999999962"/>
    <n v="0"/>
    <n v="0"/>
    <n v="0"/>
    <n v="0"/>
    <n v="0"/>
    <n v="0"/>
    <n v="0"/>
    <n v="0"/>
    <n v="3477.68"/>
  </r>
  <r>
    <s v="Koszty"/>
    <x v="2"/>
    <s v="III. Usługi obce"/>
    <n v="58590000"/>
    <s v="58590000 Rafaktura kosztów"/>
    <s v="Wynikowe"/>
    <n v="0"/>
    <n v="0"/>
    <n v="-233.75"/>
    <n v="0"/>
    <n v="0"/>
    <n v="0"/>
    <n v="0"/>
    <n v="0"/>
    <n v="0"/>
    <n v="0"/>
    <n v="0"/>
    <n v="0"/>
    <n v="-233.75"/>
  </r>
  <r>
    <s v="Koszty"/>
    <x v="2"/>
    <s v="V. Wynagrodzenia"/>
    <n v="59000000"/>
    <s v="59000000 Wynagrodzenia osobowe"/>
    <s v="Wynikowe"/>
    <n v="939095.3"/>
    <n v="930982.95"/>
    <n v="925407.69"/>
    <n v="0"/>
    <n v="1922476.31"/>
    <n v="1060320.5"/>
    <n v="997571.83000000007"/>
    <n v="0"/>
    <n v="2043198.42"/>
    <n v="1013295.9800000004"/>
    <n v="1020684.93"/>
    <n v="1012831.0999999996"/>
    <n v="11865865.01"/>
  </r>
  <r>
    <s v="Koszty"/>
    <x v="2"/>
    <s v="V. Wynagrodzenia"/>
    <n v="59002000"/>
    <s v="59002000 Premia roczna"/>
    <s v="Wynikowe"/>
    <n v="2000"/>
    <n v="1600"/>
    <n v="3550"/>
    <n v="0"/>
    <n v="70500"/>
    <n v="138400"/>
    <n v="7900"/>
    <n v="0"/>
    <n v="3600"/>
    <n v="1000"/>
    <n v="0"/>
    <n v="1184350"/>
    <n v="1412900"/>
  </r>
  <r>
    <s v="Koszty"/>
    <x v="2"/>
    <s v="V. Wynagrodzenia"/>
    <n v="59002200"/>
    <s v="59002200 Nadgodziny"/>
    <s v="Wynikowe"/>
    <n v="0"/>
    <n v="0"/>
    <n v="0"/>
    <n v="0"/>
    <n v="0"/>
    <n v="0"/>
    <n v="0"/>
    <n v="0"/>
    <n v="0"/>
    <n v="1762.29"/>
    <n v="0"/>
    <n v="2868.920000000001"/>
    <n v="4631.2100000000009"/>
  </r>
  <r>
    <s v="Koszty"/>
    <x v="2"/>
    <s v="V. Wynagrodzenia"/>
    <n v="59004000"/>
    <s v="59004000 Rezerwa urlopowa"/>
    <s v="Wynikowe"/>
    <n v="0"/>
    <n v="0"/>
    <n v="0"/>
    <n v="0"/>
    <n v="0"/>
    <n v="0"/>
    <n v="0"/>
    <n v="0"/>
    <n v="0"/>
    <n v="0"/>
    <n v="0"/>
    <n v="-26873.41"/>
    <n v="-26873.41"/>
  </r>
  <r>
    <s v="Koszty"/>
    <x v="2"/>
    <s v="VI. Ubezpieczenia społeczne i inne świadczenia, w tym:"/>
    <n v="59004001"/>
    <s v="59004001 Rezerwa urlopowa - ubezpieczenie społeczne"/>
    <s v="Wynikowe"/>
    <n v="0"/>
    <n v="0"/>
    <n v="0"/>
    <n v="0"/>
    <n v="-280674"/>
    <n v="0"/>
    <n v="0"/>
    <n v="0"/>
    <n v="0"/>
    <n v="0"/>
    <n v="280674"/>
    <n v="241383"/>
    <n v="241383"/>
  </r>
  <r>
    <s v="Koszty"/>
    <x v="2"/>
    <s v="VI. Ubezpieczenia społeczne i inne świadczenia, w tym:"/>
    <n v="59016000"/>
    <s v="59016000 Ubezpieczenie społeczne"/>
    <s v="Wynikowe"/>
    <n v="185025.72"/>
    <n v="184073.92"/>
    <n v="181279.06999999995"/>
    <n v="0"/>
    <n v="621900.57000000007"/>
    <n v="214719.08000000007"/>
    <n v="172474.91999999993"/>
    <n v="0"/>
    <n v="327197.54000000004"/>
    <n v="146694.28000000003"/>
    <n v="-139249.28"/>
    <n v="129132.53"/>
    <n v="2023248.35"/>
  </r>
  <r>
    <s v="Koszty"/>
    <x v="2"/>
    <s v="V. Wynagrodzenia"/>
    <n v="59018300"/>
    <s v="59018300 Rezerwa na odprawę emerytalną"/>
    <s v="Wynikowe"/>
    <n v="0"/>
    <n v="0"/>
    <n v="0"/>
    <n v="0"/>
    <n v="0"/>
    <n v="0"/>
    <n v="0"/>
    <n v="0"/>
    <n v="0"/>
    <n v="0"/>
    <n v="0"/>
    <n v="83398"/>
    <n v="83398"/>
  </r>
  <r>
    <s v="Koszty"/>
    <x v="2"/>
    <s v="VI. Ubezpieczenia społeczne i inne świadczenia, w tym:"/>
    <n v="59028000"/>
    <s v="59028000 Usługi medyczne"/>
    <s v="Wynikowe"/>
    <n v="12736.84"/>
    <n v="13672.25"/>
    <n v="13014.600000000002"/>
    <n v="14563.479999999996"/>
    <n v="11317.660000000003"/>
    <n v="13077.479999999996"/>
    <n v="10920.600000000006"/>
    <n v="15079.830000000002"/>
    <n v="7467.429999999993"/>
    <n v="12306.199999999997"/>
    <n v="12434.47"/>
    <n v="12543.77"/>
    <n v="149134.60999999999"/>
  </r>
  <r>
    <s v="Koszty"/>
    <x v="2"/>
    <s v="VI. Ubezpieczenia społeczne i inne świadczenia, w tym:"/>
    <n v="59036001"/>
    <s v="59036001 Bony żywieniowe"/>
    <s v="Wynikowe"/>
    <n v="21850"/>
    <n v="21660"/>
    <n v="21470"/>
    <n v="0"/>
    <n v="43320"/>
    <n v="21660"/>
    <n v="42370"/>
    <n v="21660"/>
    <n v="64980"/>
    <n v="-42560"/>
    <n v="21650"/>
    <n v="21850"/>
    <n v="259910"/>
  </r>
  <r>
    <s v="Koszty"/>
    <x v="2"/>
    <s v="V. Wynagrodzenia"/>
    <n v="59040000"/>
    <s v="59040000 Pozostałe świadczenia pracownicze"/>
    <s v="Wynikowe"/>
    <n v="7945.9"/>
    <n v="8166.08"/>
    <n v="0"/>
    <n v="16416.170000000002"/>
    <n v="0"/>
    <n v="16438.269999999997"/>
    <n v="7879.7799999999988"/>
    <n v="8015.6500000000015"/>
    <n v="8666.9200000000055"/>
    <n v="-15919.61"/>
    <n v="6424.83"/>
    <n v="8387.19"/>
    <n v="72421.180000000008"/>
  </r>
  <r>
    <s v="Koszty"/>
    <x v="2"/>
    <s v="V. Wynagrodzenia"/>
    <n v="59070000"/>
    <s v="59070000 Umowy cywilnoprawne"/>
    <s v="Wynikowe"/>
    <n v="19450"/>
    <n v="20900"/>
    <n v="24700"/>
    <n v="0"/>
    <n v="56400"/>
    <n v="28587"/>
    <n v="32500"/>
    <n v="0"/>
    <n v="63500"/>
    <n v="22490"/>
    <n v="20025"/>
    <n v="22200"/>
    <n v="310752"/>
  </r>
  <r>
    <s v="Koszty"/>
    <x v="2"/>
    <s v="IV. Podatki i opłaty"/>
    <n v="59080040"/>
    <s v="59080040 PFRON"/>
    <s v="Wynikowe"/>
    <n v="10574"/>
    <n v="10685"/>
    <n v="11348"/>
    <n v="11348"/>
    <n v="11472"/>
    <n v="11723"/>
    <n v="11678"/>
    <n v="11694"/>
    <n v="11546"/>
    <n v="11425"/>
    <n v="11648"/>
    <n v="11888"/>
    <n v="137029"/>
  </r>
  <r>
    <s v="Koszty"/>
    <x v="2"/>
    <s v="IV. Podatki i opłaty"/>
    <n v="59500040"/>
    <s v="59500040 Podatek od nieruchomości"/>
    <s v="Wynikowe"/>
    <n v="2153.5500000000002"/>
    <n v="2153.5500000000002"/>
    <n v="2153.5499999999993"/>
    <n v="1876.0400000000009"/>
    <n v="2153.5499999999993"/>
    <n v="2153.5500000000011"/>
    <n v="2153.5499999999993"/>
    <n v="2153.5499999999993"/>
    <n v="2153.5499999999993"/>
    <n v="2153.5500000000029"/>
    <n v="2153.5500000000002"/>
    <n v="2150.5500000000002"/>
    <n v="25562.09"/>
  </r>
  <r>
    <s v="Koszty"/>
    <x v="2"/>
    <s v="IV. Podatki i opłaty"/>
    <n v="59500050"/>
    <s v="59500050 VAT nie do odliczenia KUP"/>
    <s v="Wynikowe"/>
    <n v="5141.38"/>
    <n v="3027.2200000000003"/>
    <n v="3303.6299999999992"/>
    <n v="4728.07"/>
    <n v="3687.4300000000003"/>
    <n v="5281.0600000000013"/>
    <n v="5315.8899999999994"/>
    <n v="8229.3000000000029"/>
    <n v="3556.6199999999953"/>
    <n v="835.20000000000437"/>
    <n v="6063.6700000000028"/>
    <n v="4801.1300000000056"/>
    <n v="53970.600000000013"/>
  </r>
  <r>
    <s v="Koszty"/>
    <x v="2"/>
    <s v="IV. Podatki i opłaty"/>
    <n v="59500051"/>
    <s v="59500051 VAT nie do odliczenia NKUP"/>
    <s v="Wynikowe"/>
    <n v="0"/>
    <n v="0"/>
    <n v="0"/>
    <n v="0"/>
    <n v="0"/>
    <n v="0"/>
    <n v="0"/>
    <n v="0"/>
    <n v="1383.82"/>
    <n v="8130.18"/>
    <n v="1699.7000000000003"/>
    <n v="1275.870000000001"/>
    <n v="12489.570000000002"/>
  </r>
  <r>
    <s v="Koszty"/>
    <x v="2"/>
    <s v="III. Usługi obce"/>
    <n v="59504050"/>
    <s v="59504050 Różne koszty operacyjne"/>
    <s v="Wynikowe"/>
    <n v="0"/>
    <n v="68660.92"/>
    <n v="0"/>
    <n v="0"/>
    <n v="0"/>
    <n v="0"/>
    <n v="0"/>
    <n v="0"/>
    <n v="0"/>
    <n v="0"/>
    <n v="0"/>
    <n v="0"/>
    <n v="68660.92"/>
  </r>
  <r>
    <s v="Przychody"/>
    <x v="1"/>
    <s v="IV. Inne przychody operacyjne"/>
    <n v="60000010"/>
    <s v="60000010 Rozwiązanie rezerwy na należności"/>
    <s v="Wynikowe"/>
    <n v="0"/>
    <n v="0"/>
    <n v="0"/>
    <n v="0"/>
    <n v="0"/>
    <n v="0"/>
    <n v="0"/>
    <n v="0"/>
    <n v="0"/>
    <n v="106900.98"/>
    <n v="0"/>
    <n v="24237.58"/>
    <n v="131138.56"/>
  </r>
  <r>
    <s v="Koszty"/>
    <x v="3"/>
    <s v="II. Aktualizacja wartości aktywów niefinansowych"/>
    <n v="60002000"/>
    <s v="60002000 Spisane należności"/>
    <s v="Wynikowe"/>
    <n v="0"/>
    <n v="0"/>
    <n v="0"/>
    <n v="0"/>
    <n v="0"/>
    <n v="0"/>
    <n v="0"/>
    <n v="0"/>
    <n v="0"/>
    <n v="0"/>
    <n v="0"/>
    <n v="0"/>
    <n v="0"/>
  </r>
  <r>
    <s v="Koszty"/>
    <x v="4"/>
    <s v="IV. Inne"/>
    <n v="60500000"/>
    <s v="60500000 Niezrealiz dodatnie róż kurs od zabezp należ (TFx)"/>
    <s v="Wynikowe"/>
    <n v="0"/>
    <n v="0"/>
    <n v="0"/>
    <n v="0"/>
    <n v="0"/>
    <n v="0"/>
    <n v="0"/>
    <n v="0"/>
    <n v="0"/>
    <n v="0"/>
    <n v="0"/>
    <n v="0"/>
    <n v="0"/>
  </r>
  <r>
    <s v="Koszty"/>
    <x v="4"/>
    <s v="IV. Inne"/>
    <n v="60501000"/>
    <s v="60501000 Niezrealiz ujemne róż kurs od zabezp należ (TFx)"/>
    <s v="Wynikowe"/>
    <n v="0"/>
    <n v="0"/>
    <n v="0"/>
    <n v="0"/>
    <n v="0"/>
    <n v="0"/>
    <n v="0"/>
    <n v="0"/>
    <n v="0"/>
    <n v="0"/>
    <n v="0"/>
    <n v="0"/>
    <n v="0"/>
  </r>
  <r>
    <s v="Koszty"/>
    <x v="4"/>
    <s v="IV. Inne"/>
    <n v="60502010"/>
    <s v="60502010 Zrealiz dodatnie róż kurs od zabezp należ"/>
    <s v="Wynikowe"/>
    <n v="-33.21"/>
    <n v="-186.69"/>
    <n v="-86.549999999999983"/>
    <n v="-5.0799999999999841"/>
    <n v="-37.220000000000027"/>
    <n v="0"/>
    <n v="2532.96"/>
    <n v="-166.49"/>
    <n v="0"/>
    <n v="-145.68000000000006"/>
    <n v="0"/>
    <n v="0"/>
    <n v="1872.04"/>
  </r>
  <r>
    <s v="Koszty"/>
    <x v="4"/>
    <s v="IV. Inne"/>
    <n v="60502211"/>
    <s v="60502211 Zrealiz dodatnie różnice (ręczne ksiegowanie)"/>
    <s v="Wynikowe"/>
    <n v="-21.76"/>
    <n v="0"/>
    <n v="146.04"/>
    <n v="0"/>
    <n v="-510.30999999999995"/>
    <n v="-2.4000000000000341"/>
    <n v="0"/>
    <n v="-2.5799999999999841"/>
    <n v="0"/>
    <n v="-380.95000000000005"/>
    <n v="0"/>
    <n v="-55.1"/>
    <n v="-827.06000000000006"/>
  </r>
  <r>
    <s v="Koszty"/>
    <x v="4"/>
    <s v="IV. Inne"/>
    <n v="60503010"/>
    <s v="60503010 Zrealiz ujemne róż kurs od zabezp należ"/>
    <s v="Wynikowe"/>
    <n v="0"/>
    <n v="0"/>
    <n v="85.98"/>
    <n v="15.719999999999999"/>
    <n v="0"/>
    <n v="0.11999999999999034"/>
    <n v="185.76"/>
    <n v="0"/>
    <n v="0"/>
    <n v="2.9499999999999886"/>
    <n v="683.28"/>
    <n v="12.88"/>
    <n v="986.68999999999994"/>
  </r>
  <r>
    <s v="Koszty"/>
    <x v="4"/>
    <s v="IV. Inne"/>
    <n v="60508010"/>
    <s v="60508010 Zrealiz dodatnie róż kurs od zabezp zobow"/>
    <s v="Wynikowe"/>
    <n v="0"/>
    <n v="11.97"/>
    <n v="38.22"/>
    <n v="214.94"/>
    <n v="-7118.3"/>
    <n v="0"/>
    <n v="44.380000000000109"/>
    <n v="-544.48999999999978"/>
    <n v="0"/>
    <n v="0"/>
    <n v="3.98"/>
    <n v="-921.17000000000007"/>
    <n v="-8270.4700000000012"/>
  </r>
  <r>
    <s v="Koszty"/>
    <x v="4"/>
    <s v="IV. Inne"/>
    <n v="60509010"/>
    <s v="60509010 Zrealiz ujemne róż kurs od zabezp zobow"/>
    <s v="Wynikowe"/>
    <n v="59.04"/>
    <n v="0"/>
    <n v="0"/>
    <n v="2.3500000000000014"/>
    <n v="1962"/>
    <n v="0"/>
    <n v="0"/>
    <n v="9.9999999999909051E-3"/>
    <n v="0"/>
    <n v="36.440000000000055"/>
    <n v="3.45"/>
    <n v="32.67"/>
    <n v="2095.96"/>
  </r>
  <r>
    <s v="Koszty"/>
    <x v="4"/>
    <s v="IV. Inne"/>
    <n v="60509211"/>
    <s v="60509211 Zrealiz ujemne różnice (ręczne ksiegowanie)"/>
    <s v="Wynikowe"/>
    <n v="0"/>
    <n v="0"/>
    <n v="258.49"/>
    <n v="0"/>
    <n v="0"/>
    <n v="0"/>
    <n v="0"/>
    <n v="0"/>
    <n v="0"/>
    <n v="580.75"/>
    <n v="11.29"/>
    <n v="-3426.74"/>
    <n v="-2576.21"/>
  </r>
  <r>
    <s v="Koszty"/>
    <x v="2"/>
    <s v="I. Amortyzacja"/>
    <n v="61000000"/>
    <s v="61000000 Oprogramowanie i licencje IT - Amortyzacja"/>
    <s v="Wynikowe"/>
    <n v="0"/>
    <n v="0"/>
    <n v="0"/>
    <n v="0"/>
    <n v="0"/>
    <n v="0"/>
    <n v="0"/>
    <n v="0"/>
    <n v="0"/>
    <n v="0"/>
    <n v="8338.5"/>
    <n v="926.5"/>
    <n v="9265"/>
  </r>
  <r>
    <s v="Koszty"/>
    <x v="2"/>
    <s v="I. Amortyzacja"/>
    <n v="61502000"/>
    <s v="61502000 Budynki - Amortyzacja"/>
    <s v="Wynikowe"/>
    <n v="17326.2"/>
    <n v="0"/>
    <n v="34652.410000000003"/>
    <n v="17326.199999999997"/>
    <n v="17326.199999999997"/>
    <n v="17326.210000000006"/>
    <n v="0"/>
    <n v="34652.410000000003"/>
    <n v="0"/>
    <n v="34652.419999999984"/>
    <n v="17326.2"/>
    <n v="17326.2"/>
    <n v="207914.45"/>
  </r>
  <r>
    <s v="Koszty"/>
    <x v="2"/>
    <s v="I. Amortyzacja"/>
    <n v="61504000"/>
    <s v="61504000 Nakłady w obcych środkach trwał - Amortyzacja"/>
    <s v="Wynikowe"/>
    <n v="313.45999999999998"/>
    <n v="0"/>
    <n v="626.91000000000008"/>
    <n v="313.45999999999992"/>
    <n v="313.45000000000005"/>
    <n v="313.45000000000005"/>
    <n v="0"/>
    <n v="626.92000000000007"/>
    <n v="0"/>
    <n v="626.92000000000007"/>
    <n v="313.45"/>
    <n v="313.45999999999998"/>
    <n v="3761.48"/>
  </r>
  <r>
    <s v="Koszty"/>
    <x v="2"/>
    <s v="I. Amortyzacja"/>
    <n v="61508000"/>
    <s v="61508000 Komputery i sprzęt IT - Amortyzacja"/>
    <s v="Wynikowe"/>
    <n v="28679.49"/>
    <n v="0"/>
    <n v="38074.31"/>
    <n v="47300.479999999996"/>
    <n v="50435.97"/>
    <n v="36086.98000000001"/>
    <n v="0"/>
    <n v="44473.069999999978"/>
    <n v="0"/>
    <n v="52577.820000000007"/>
    <n v="4082.85"/>
    <n v="36848.6"/>
    <n v="338559.56999999995"/>
  </r>
  <r>
    <s v="Koszty"/>
    <x v="2"/>
    <s v="I. Amortyzacja"/>
    <n v="61512000"/>
    <s v="61512000 Meble - Amortyzacja"/>
    <s v="Wynikowe"/>
    <n v="583.65"/>
    <n v="0"/>
    <n v="1663.7799999999997"/>
    <n v="966.21"/>
    <n v="704.71"/>
    <n v="10375.18"/>
    <n v="0"/>
    <n v="4595.9699999999993"/>
    <n v="0"/>
    <n v="4042.3199999999997"/>
    <n v="2021.17"/>
    <n v="2021.14"/>
    <n v="26974.129999999997"/>
  </r>
  <r>
    <s v="Koszty"/>
    <x v="2"/>
    <s v="I. Amortyzacja"/>
    <n v="61518000"/>
    <s v="61518000 Samochody - Amortyzacja"/>
    <s v="Wynikowe"/>
    <n v="22857.32"/>
    <n v="0"/>
    <n v="45714.6"/>
    <n v="22857.259999999995"/>
    <n v="19036.950000000012"/>
    <n v="19036.949999999997"/>
    <n v="0"/>
    <n v="38073.86"/>
    <n v="0"/>
    <n v="36769.31"/>
    <n v="16100.98"/>
    <n v="12843.080000000013"/>
    <n v="233290.31000000003"/>
  </r>
  <r>
    <s v="Przychody"/>
    <x v="1"/>
    <s v="I. Zysk z tytułu rozchodu niefinansowych aktywów trwałych"/>
    <n v="62502000"/>
    <s v="62502000 Sprzedaz środków trwałych"/>
    <s v="Wynikowe"/>
    <n v="0"/>
    <n v="0"/>
    <n v="4.0599999999999996"/>
    <n v="0"/>
    <n v="11.370000000000001"/>
    <n v="1241.45"/>
    <n v="52195.130000000005"/>
    <n v="382.2699999999968"/>
    <n v="60715.45"/>
    <n v="20.320000000006985"/>
    <n v="3.25"/>
    <n v="56.91"/>
    <n v="114630.21"/>
  </r>
  <r>
    <s v="Przychody"/>
    <x v="1"/>
    <s v="I. Zysk z tytułu rozchodu niefinansowych aktywów trwałych"/>
    <n v="62503000"/>
    <s v="62503000 Wartość sprzedanych środków trwałych"/>
    <s v="Wynikowe"/>
    <n v="0"/>
    <n v="0"/>
    <n v="0"/>
    <n v="0"/>
    <n v="0"/>
    <n v="0"/>
    <n v="0"/>
    <n v="0"/>
    <n v="0"/>
    <n v="0"/>
    <n v="0"/>
    <n v="-13031.63"/>
    <n v="-13031.63"/>
  </r>
  <r>
    <s v="Przychody"/>
    <x v="5"/>
    <s v="I. Dywidendy i udziały w zyskach, w tym:"/>
    <n v="64510000"/>
    <s v="64510000 Przychody finansowe - odsetki"/>
    <s v="Wynikowe"/>
    <n v="2.4900000000000002"/>
    <n v="0"/>
    <n v="0"/>
    <n v="63.949999999999996"/>
    <n v="135.03"/>
    <n v="0"/>
    <n v="0"/>
    <n v="0"/>
    <n v="0"/>
    <n v="49.28"/>
    <n v="79.900000000000006"/>
    <n v="31.98"/>
    <n v="362.63"/>
  </r>
  <r>
    <s v="Koszty"/>
    <x v="4"/>
    <s v="I. Odsetki, w tym:"/>
    <n v="65016000"/>
    <s v="65016000 Odsetki od przeterminowanych zobowiązań"/>
    <s v="Wynikowe"/>
    <n v="12.22"/>
    <n v="-8.9500000000000011"/>
    <n v="541.1"/>
    <n v="8.92999999999995"/>
    <n v="25.210000000000036"/>
    <n v="21.159999999999968"/>
    <n v="35.139999999999986"/>
    <n v="7.1900000000000546"/>
    <n v="1213.22"/>
    <n v="44.399999999999864"/>
    <n v="0.82000000000000006"/>
    <n v="211.65"/>
    <n v="2112.0899999999997"/>
  </r>
  <r>
    <s v="Koszty"/>
    <x v="2"/>
    <s v="III. Usługi obce"/>
    <n v="65518000"/>
    <s v="65518000 Opłaty i prowizje bankowe"/>
    <s v="Wynikowe"/>
    <n v="1927.54"/>
    <n v="2082.39"/>
    <n v="1331.0900000000006"/>
    <n v="2300.2299999999996"/>
    <n v="1808.8099999999995"/>
    <n v="1454.9700000000012"/>
    <n v="2932.619999999999"/>
    <n v="1500"/>
    <n v="1280.7600000000002"/>
    <n v="2111.2400000000016"/>
    <n v="2645.9700000000098"/>
    <n v="2107.5000000000082"/>
    <n v="23483.120000000017"/>
  </r>
  <r>
    <s v="Koszty"/>
    <x v="4"/>
    <s v="IV. Inne"/>
    <n v="65528010"/>
    <s v="65528010 Zrealiz dodatnie różnice kursowe od należ"/>
    <s v="Wynikowe"/>
    <n v="-0.01"/>
    <n v="-0.01"/>
    <n v="0"/>
    <n v="0"/>
    <n v="-548.1"/>
    <n v="0"/>
    <n v="-9.9999999999909051E-3"/>
    <n v="0"/>
    <n v="0"/>
    <n v="-9.9999999999909051E-3"/>
    <n v="0"/>
    <n v="-0.01"/>
    <n v="-548.15"/>
  </r>
  <r>
    <s v="Koszty"/>
    <x v="4"/>
    <s v="IV. Inne"/>
    <n v="65528110"/>
    <s v="65528110 Zrealiz ujemne różnice kursowe od należ"/>
    <s v="Wynikowe"/>
    <n v="0"/>
    <n v="0"/>
    <n v="0"/>
    <n v="0"/>
    <n v="0"/>
    <n v="0"/>
    <n v="0"/>
    <n v="0"/>
    <n v="0"/>
    <n v="0"/>
    <n v="0"/>
    <n v="0"/>
    <n v="0"/>
  </r>
  <r>
    <s v="Koszty"/>
    <x v="6"/>
    <m/>
    <n v="70000000"/>
    <s v="70000000 Podatek dochodowy - bieżacy okres"/>
    <s v="Wynikowe"/>
    <n v="0"/>
    <n v="83990"/>
    <n v="83990"/>
    <n v="83990"/>
    <n v="413010.75"/>
    <n v="83990"/>
    <n v="83990"/>
    <n v="83990"/>
    <n v="83990"/>
    <n v="374175.12000000011"/>
    <n v="83990"/>
    <n v="-1081873.26"/>
    <n v="377232.6100000001"/>
  </r>
  <r>
    <s v="Przychody"/>
    <x v="0"/>
    <s v="I. Przychody netto ze sprzedaży produktów"/>
    <n v="44006000"/>
    <s v="44006000 Przychód operacyjny - korekta manifestu"/>
    <s v="Wynikowe"/>
    <m/>
    <m/>
    <m/>
    <m/>
    <m/>
    <m/>
    <m/>
    <m/>
    <m/>
    <m/>
    <n v="-340.23"/>
    <n v="0"/>
    <n v="-340.2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Przychody"/>
    <x v="0"/>
    <s v="I. Przychody netto ze sprzedaży produktów"/>
    <n v="45510000"/>
    <s v="45510000 Prowizja Cost+"/>
    <s v="Wynikowe"/>
    <n v="1877205"/>
    <n v="1844622"/>
    <n v="1802379"/>
    <n v="1430181"/>
    <n v="1741817"/>
    <n v="1686073"/>
    <n v="1733363"/>
    <n v="1733363"/>
    <n v="1733363"/>
    <n v="1711660"/>
    <n v="1711660"/>
    <n v="3177425"/>
    <n v="22183111"/>
  </r>
  <r>
    <s v="Przychody"/>
    <x v="0"/>
    <s v="I. Przychody netto ze sprzedaży produktów"/>
    <n v="44000000"/>
    <s v="44000000 Przychód operacyjny - opłata za konosament"/>
    <s v="Wynikowe"/>
    <n v="0"/>
    <n v="0"/>
    <n v="0"/>
    <n v="0"/>
    <n v="0"/>
    <n v="0"/>
    <n v="0"/>
    <n v="0"/>
    <n v="0"/>
    <n v="0"/>
    <n v="0"/>
    <n v="0"/>
    <n v="0"/>
  </r>
  <r>
    <s v="Przychody"/>
    <x v="0"/>
    <s v="I. Przychody netto ze sprzedaży produktów"/>
    <n v="44000005"/>
    <s v="44000005 Przychód operacyjny - opłata dokumentacyjna EXP"/>
    <s v="Wynikowe"/>
    <n v="0"/>
    <n v="0"/>
    <n v="0"/>
    <n v="0"/>
    <n v="0"/>
    <n v="0"/>
    <n v="0"/>
    <n v="0"/>
    <n v="0"/>
    <n v="0"/>
    <n v="0"/>
    <n v="0"/>
    <n v="0"/>
  </r>
  <r>
    <s v="Przychody"/>
    <x v="0"/>
    <s v="I. Przychody netto ze sprzedaży produktów"/>
    <n v="44006000"/>
    <s v="44006000 Przychód operacyjny - korekta manifestu"/>
    <s v="Wynikowe"/>
    <n v="0"/>
    <n v="0"/>
    <n v="0"/>
    <n v="0"/>
    <n v="0"/>
    <n v="0"/>
    <n v="0"/>
    <n v="0"/>
    <n v="0"/>
    <n v="0"/>
    <n v="0"/>
    <n v="0"/>
    <n v="0"/>
  </r>
  <r>
    <s v="Koszty"/>
    <x v="1"/>
    <s v="I. Amortyzacja"/>
    <n v="61000000"/>
    <s v="61000000 Oprogramowanie i licencje IT - Amortyzacja"/>
    <s v="Wynikowe"/>
    <n v="926.5"/>
    <n v="926.5"/>
    <n v="926.5"/>
    <n v="926.5"/>
    <n v="926.5"/>
    <n v="926.5"/>
    <n v="926.5"/>
    <n v="926.5"/>
    <n v="926.5"/>
    <n v="926.5"/>
    <n v="926.5"/>
    <n v="926.5"/>
    <n v="11118"/>
  </r>
  <r>
    <s v="Koszty"/>
    <x v="1"/>
    <s v="I. Amortyzacja"/>
    <n v="61502000"/>
    <s v="61502000 Budynki - Amortyzacja"/>
    <s v="Wynikowe"/>
    <n v="17326.2"/>
    <n v="17326.2"/>
    <n v="17326.21"/>
    <n v="17326.199999999997"/>
    <n v="17326.199999999997"/>
    <n v="17326.200000000012"/>
    <n v="17326.199999999997"/>
    <n v="17326.199999999983"/>
    <n v="17326.210000000021"/>
    <n v="17326.199999999983"/>
    <n v="17326.200000000012"/>
    <n v="17326.200000000012"/>
    <n v="207914.42"/>
  </r>
  <r>
    <s v="Koszty"/>
    <x v="1"/>
    <s v="I. Amortyzacja"/>
    <n v="61504000"/>
    <s v="61504000 Nakłady w obcych środkach trwał - Amortyzacja"/>
    <s v="Wynikowe"/>
    <n v="313.45999999999998"/>
    <n v="313.45"/>
    <n v="313.46000000000004"/>
    <n v="313.45999999999992"/>
    <n v="6769.34"/>
    <n v="1604.6399999999994"/>
    <n v="1604.6400000000012"/>
    <n v="1604.6299999999992"/>
    <n v="1604.6399999999994"/>
    <n v="1604.630000000001"/>
    <n v="1604.6299999999992"/>
    <n v="1604.6399999999994"/>
    <n v="19255.62"/>
  </r>
  <r>
    <s v="Koszty"/>
    <x v="1"/>
    <s v="I. Amortyzacja"/>
    <n v="61508000"/>
    <s v="61508000 Komputery i sprzęt IT - Amortyzacja"/>
    <s v="Wynikowe"/>
    <n v="10218.299999999999"/>
    <n v="8464.7900000000009"/>
    <n v="11588.150000000001"/>
    <n v="24240.209999999995"/>
    <n v="459"/>
    <n v="0"/>
    <n v="16357.330000000002"/>
    <n v="579"/>
    <n v="4146.3399999999965"/>
    <n v="12895.39"/>
    <n v="2065.0400000000081"/>
    <n v="11369.440000000002"/>
    <n v="102382.99"/>
  </r>
  <r>
    <s v="Koszty"/>
    <x v="1"/>
    <s v="I. Amortyzacja"/>
    <n v="61512000"/>
    <s v="61512000 Meble - Amortyzacja"/>
    <s v="Wynikowe"/>
    <n v="965.04"/>
    <n v="1635.1"/>
    <n v="3421.14"/>
    <n v="18409.02"/>
    <n v="1749.8100000000013"/>
    <n v="1749.7999999999993"/>
    <n v="3748.5099999999984"/>
    <n v="1749.8100000000049"/>
    <n v="1749.7999999999956"/>
    <n v="4649.8000000000029"/>
    <n v="1749.7999999999956"/>
    <n v="816.9800000000032"/>
    <n v="42394.61"/>
  </r>
  <r>
    <s v="Koszty"/>
    <x v="1"/>
    <s v="I. Amortyzacja"/>
    <n v="61518000"/>
    <s v="61518000 Samochody - Amortyzacja"/>
    <s v="Wynikowe"/>
    <n v="16100.98"/>
    <n v="16101"/>
    <n v="16100.990000000002"/>
    <n v="13559.440000000002"/>
    <n v="8113.5199999999895"/>
    <n v="6162.7700000000041"/>
    <n v="6162.4499999999971"/>
    <n v="6162.4600000000064"/>
    <n v="6162.4799999999959"/>
    <n v="6162.4700000000012"/>
    <n v="6162.4600000000064"/>
    <n v="6162.4599999999919"/>
    <n v="113113.48"/>
  </r>
  <r>
    <s v="Koszty"/>
    <x v="1"/>
    <s v="II. Zużycie materiałów i energii"/>
    <n v="58502000"/>
    <s v="58502000 Energia cieplna"/>
    <s v="Wynikowe"/>
    <n v="4570.88"/>
    <n v="4099.71"/>
    <n v="4862.369999999999"/>
    <n v="4987.16"/>
    <n v="4558.32"/>
    <n v="4744.18"/>
    <n v="8241.3600000000042"/>
    <n v="5397.1099999999933"/>
    <n v="5554.3700000000026"/>
    <n v="4288.7099999999991"/>
    <n v="5699.5299999999988"/>
    <n v="5270.5500000000029"/>
    <n v="62274.25"/>
  </r>
  <r>
    <s v="Koszty"/>
    <x v="1"/>
    <s v="II. Zużycie materiałów i energii"/>
    <n v="58502001"/>
    <s v="58502001 Woda"/>
    <s v="Wynikowe"/>
    <n v="928.32"/>
    <n v="1511.1599999999999"/>
    <n v="1199.06"/>
    <n v="1726"/>
    <n v="844.52000000000044"/>
    <n v="966.36999999999989"/>
    <n v="-148.65999999999985"/>
    <n v="1216.8199999999997"/>
    <n v="1255.33"/>
    <n v="1280.2000000000007"/>
    <n v="814.71999999999935"/>
    <n v="1139.1800000000003"/>
    <n v="12733.02"/>
  </r>
  <r>
    <s v="Koszty"/>
    <x v="1"/>
    <s v="II. Zużycie materiałów i energii"/>
    <n v="58502002"/>
    <s v="58502002 Energia elektryczna"/>
    <s v="Wynikowe"/>
    <n v="872.32"/>
    <n v="5284.06"/>
    <n v="2746.1099999999997"/>
    <n v="10086.230000000001"/>
    <n v="4947.5799999999981"/>
    <n v="1981.7900000000009"/>
    <n v="7500.2000000000007"/>
    <n v="4769.1999999999971"/>
    <n v="5214.3600000000006"/>
    <n v="4125.6300000000047"/>
    <n v="5412.4399999999951"/>
    <n v="4570.4100000000035"/>
    <n v="57510.33"/>
  </r>
  <r>
    <s v="Koszty"/>
    <x v="1"/>
    <s v="II. Zużycie materiałów i energii"/>
    <n v="58508000"/>
    <s v="58508000 Materiały biurowe"/>
    <s v="Wynikowe"/>
    <n v="3888.21"/>
    <n v="8046.53"/>
    <n v="5925.51"/>
    <n v="10591.79"/>
    <n v="3481.3299999999981"/>
    <n v="5980.0600000000013"/>
    <n v="5804.8000000000029"/>
    <n v="2975.6199999999953"/>
    <n v="28115.140000000007"/>
    <n v="3405.8099999999977"/>
    <n v="26075.619999999995"/>
    <n v="5416.4600000000064"/>
    <n v="109706.88"/>
  </r>
  <r>
    <s v="Koszty"/>
    <x v="1"/>
    <s v="II. Zużycie materiałów i energii"/>
    <n v="58552002"/>
    <s v="58552002 Samochody - paliwo 75%"/>
    <s v="Wynikowe"/>
    <n v="0"/>
    <n v="13424.82"/>
    <n v="13326.330000000002"/>
    <n v="7673.3799999999974"/>
    <n v="3423.1399999999994"/>
    <n v="6973.5999999999985"/>
    <n v="9473.0200000000041"/>
    <n v="6485.6500000000015"/>
    <n v="11046.429999999993"/>
    <n v="8643.36"/>
    <n v="13399.64"/>
    <n v="6568.6500000000087"/>
    <n v="100438.02"/>
  </r>
  <r>
    <s v="Koszty"/>
    <x v="1"/>
    <s v="II. Zużycie materiałów i energii"/>
    <n v="58552003"/>
    <s v="58552003 Samochody - paliwo 25%"/>
    <s v="Wynikowe"/>
    <n v="0"/>
    <n v="4474.9399999999996"/>
    <n v="4442.1099999999997"/>
    <n v="2557.7900000000009"/>
    <n v="1141.0399999999991"/>
    <n v="2324.5200000000004"/>
    <n v="3157.6499999999996"/>
    <n v="2161.8899999999994"/>
    <n v="3701.6400000000031"/>
    <n v="2861.5599999999977"/>
    <n v="4466.5299999999988"/>
    <n v="2189.5400000000009"/>
    <n v="33479.21"/>
  </r>
  <r>
    <s v="Koszty"/>
    <x v="1"/>
    <s v="II. Zużycie materiałów i energii"/>
    <n v="58552005"/>
    <s v="58552005 Samochody - eksploatacja 75%"/>
    <s v="Wynikowe"/>
    <n v="6578.88"/>
    <n v="7894.13"/>
    <n v="4979.2499999999982"/>
    <n v="5105.1900000000023"/>
    <n v="7660.3499999999985"/>
    <n v="7622.119999999999"/>
    <n v="6784.3300000000017"/>
    <n v="3820.2699999999968"/>
    <n v="4466.2300000000032"/>
    <n v="13632.850000000006"/>
    <n v="6401.2599999999948"/>
    <n v="9230.7200000000012"/>
    <n v="84175.58"/>
  </r>
  <r>
    <s v="Koszty"/>
    <x v="1"/>
    <s v="II. Zużycie materiałów i energii"/>
    <n v="58552025"/>
    <s v="58552025 Samochody - eksploatacja 25%"/>
    <s v="Wynikowe"/>
    <n v="2138.84"/>
    <n v="2975.96"/>
    <n v="1659.7200000000003"/>
    <n v="1701.7399999999998"/>
    <n v="2563.4300000000003"/>
    <n v="2740.6999999999989"/>
    <n v="2261.41"/>
    <n v="1273.4099999999999"/>
    <n v="1554.2299999999996"/>
    <n v="4895.93"/>
    <n v="2133.7100000000028"/>
    <n v="3138.3399999999965"/>
    <n v="29037.42"/>
  </r>
  <r>
    <s v="Koszty"/>
    <x v="1"/>
    <s v="III. Usługi obce"/>
    <n v="53080000"/>
    <s v="53080000 Koszt operacyjny - pozostałe koszty na termin mors"/>
    <s v="Wynikowe"/>
    <n v="22.83"/>
    <n v="0"/>
    <n v="0"/>
    <n v="0"/>
    <n v="0"/>
    <n v="0"/>
    <n v="0"/>
    <n v="0"/>
    <n v="0"/>
    <n v="0"/>
    <n v="0"/>
    <n v="0"/>
    <n v="22.83"/>
  </r>
  <r>
    <s v="Koszty"/>
    <x v="1"/>
    <s v="III. Usługi obce"/>
    <n v="58500000"/>
    <s v="58500000 Wynajęcie biura"/>
    <s v="Wynikowe"/>
    <n v="43618.17"/>
    <n v="6220.0900000000038"/>
    <n v="65139.98"/>
    <n v="37383.83"/>
    <n v="37738.789999999979"/>
    <n v="36686.810000000027"/>
    <n v="36794.100000000006"/>
    <n v="36392.289999999979"/>
    <n v="36321.900000000023"/>
    <n v="37209.570000000007"/>
    <n v="37838.259999999951"/>
    <n v="36875.410000000033"/>
    <n v="448219.2"/>
  </r>
  <r>
    <s v="Koszty"/>
    <x v="1"/>
    <s v="III. Usługi obce"/>
    <n v="58500010"/>
    <s v="58500010 Wynajecie parkingu"/>
    <s v="Wynikowe"/>
    <n v="8194.9699999999993"/>
    <n v="2573.17"/>
    <n v="11589.29"/>
    <n v="9158.130000000001"/>
    <n v="9058.4900000000016"/>
    <n v="7898.7699999999968"/>
    <n v="8730.43"/>
    <n v="8932.14"/>
    <n v="8810.9700000000012"/>
    <n v="8314.8199999999924"/>
    <n v="9074.4900000000052"/>
    <n v="8581.9600000000064"/>
    <n v="100917.63"/>
  </r>
  <r>
    <s v="Koszty"/>
    <x v="1"/>
    <s v="III. Usługi obce"/>
    <n v="58502003"/>
    <s v="58502003 Ubezpieczenie biura"/>
    <s v="Wynikowe"/>
    <n v="1876.68"/>
    <n v="1894.43"/>
    <n v="1894.4299999999998"/>
    <n v="2340.5"/>
    <n v="2102.4900000000007"/>
    <n v="2102.4899999999998"/>
    <n v="2102.4899999999998"/>
    <n v="2102.4899999999998"/>
    <n v="2102.4900000000016"/>
    <n v="2102.489999999998"/>
    <n v="2102.4900000000016"/>
    <n v="2102.489999999998"/>
    <n v="24825.96"/>
  </r>
  <r>
    <s v="Koszty"/>
    <x v="1"/>
    <s v="III. Usługi obce"/>
    <n v="58504000"/>
    <s v="58504000 Naprawa biura"/>
    <s v="Wynikowe"/>
    <n v="2588.6799999999998"/>
    <n v="1438.6800000000003"/>
    <n v="1438.6799999999998"/>
    <n v="1984.9800000000005"/>
    <n v="2770.2099999999991"/>
    <n v="3070.2100000000009"/>
    <n v="1570.2099999999991"/>
    <n v="1570.2100000000009"/>
    <n v="1570.2099999999991"/>
    <n v="1570.2099999999991"/>
    <n v="1570.2100000000028"/>
    <n v="1570.2099999999991"/>
    <n v="22712.7"/>
  </r>
  <r>
    <s v="Koszty"/>
    <x v="1"/>
    <s v="III. Usługi obce"/>
    <n v="58504001"/>
    <s v="58504001 Eksploatacja biura"/>
    <s v="Wynikowe"/>
    <n v="14370.53"/>
    <n v="3620.9600000000009"/>
    <n v="18678.359999999997"/>
    <n v="11848.599999999999"/>
    <n v="20305.130000000005"/>
    <n v="10875.580000000002"/>
    <n v="14371.050000000003"/>
    <n v="10492.939999999988"/>
    <n v="13155.200000000012"/>
    <n v="14632.729999999981"/>
    <n v="12723.920000000013"/>
    <n v="12812.350000000006"/>
    <n v="157887.35"/>
  </r>
  <r>
    <s v="Koszty"/>
    <x v="1"/>
    <s v="III. Usługi obce"/>
    <n v="58504002"/>
    <s v="58504002 Sprzątanie biura"/>
    <s v="Wynikowe"/>
    <n v="8520.75"/>
    <n v="1218.8600000000006"/>
    <n v="8818.86"/>
    <n v="8292.6999999999971"/>
    <n v="6702.4199999999983"/>
    <n v="8542.4200000000055"/>
    <n v="9100.5299999999988"/>
    <n v="8504.3099999999977"/>
    <n v="9100.5300000000061"/>
    <n v="8504.3099999999977"/>
    <n v="8802.4199999999983"/>
    <n v="16700.53"/>
    <n v="102808.64"/>
  </r>
  <r>
    <s v="Koszty"/>
    <x v="1"/>
    <s v="IV. Podatki i opłaty"/>
    <n v="58506000"/>
    <s v="58506000 Opłaty prawne"/>
    <s v="Wynikowe"/>
    <n v="0"/>
    <n v="33385"/>
    <n v="1"/>
    <n v="0"/>
    <n v="0"/>
    <n v="3"/>
    <n v="350"/>
    <n v="1"/>
    <n v="192"/>
    <n v="900"/>
    <n v="-900"/>
    <n v="0"/>
    <n v="33932"/>
  </r>
  <r>
    <s v="Koszty"/>
    <x v="1"/>
    <s v="III. Usługi obce"/>
    <n v="58506001"/>
    <s v="58506001 Usługi prawnicze"/>
    <s v="Wynikowe"/>
    <n v="28945.74"/>
    <n v="4579.9999999999964"/>
    <n v="9520"/>
    <n v="4100"/>
    <n v="3500"/>
    <n v="3500"/>
    <n v="3980"/>
    <n v="3500"/>
    <n v="3500"/>
    <n v="3500.0000000000073"/>
    <n v="4160"/>
    <n v="3740"/>
    <n v="76525.740000000005"/>
  </r>
  <r>
    <s v="Koszty"/>
    <x v="1"/>
    <s v="III. Usługi obce"/>
    <n v="58506003"/>
    <s v="58506003 Usługi audytorskie"/>
    <s v="Wynikowe"/>
    <n v="0"/>
    <n v="12267.4"/>
    <n v="12302.38"/>
    <n v="0"/>
    <n v="0"/>
    <n v="0"/>
    <n v="0"/>
    <n v="0"/>
    <n v="5020"/>
    <n v="0"/>
    <n v="0"/>
    <n v="24800"/>
    <n v="54389.78"/>
  </r>
  <r>
    <s v="Koszty"/>
    <x v="1"/>
    <s v="III. Usługi obce"/>
    <n v="58506004"/>
    <s v="58506004 Usługi doradztwa podatkowego"/>
    <s v="Wynikowe"/>
    <n v="0"/>
    <n v="0"/>
    <n v="0"/>
    <n v="41544.949999999997"/>
    <n v="0"/>
    <n v="0"/>
    <n v="80044.84"/>
    <n v="0"/>
    <n v="24470.60000000002"/>
    <n v="0"/>
    <n v="22658.129999999976"/>
    <n v="15496.600000000006"/>
    <n v="184215.12"/>
  </r>
  <r>
    <s v="Koszty"/>
    <x v="1"/>
    <s v="III. Usługi obce"/>
    <n v="58506006"/>
    <s v="58506006 Usługi rekrutacyjne"/>
    <s v="Wynikowe"/>
    <n v="6232.2"/>
    <n v="0"/>
    <n v="0"/>
    <n v="0"/>
    <n v="0"/>
    <n v="0"/>
    <n v="0"/>
    <n v="499"/>
    <n v="0"/>
    <n v="0"/>
    <n v="0"/>
    <n v="0"/>
    <n v="6731.2"/>
  </r>
  <r>
    <s v="Koszty"/>
    <x v="1"/>
    <s v="III. Usługi obce"/>
    <n v="58507000"/>
    <s v="58507000 Pozostałe usługi"/>
    <s v="Wynikowe"/>
    <n v="2011"/>
    <n v="1985.88"/>
    <n v="1529.17"/>
    <n v="1038.8000000000002"/>
    <n v="6022.7999999999993"/>
    <n v="4702.3999999999996"/>
    <n v="25.950000000000728"/>
    <n v="866.40000000000146"/>
    <n v="3533.7999999999993"/>
    <n v="1863.8499999999985"/>
    <n v="312.45999999999913"/>
    <n v="2305.9000000000015"/>
    <n v="26198.41"/>
  </r>
  <r>
    <s v="Koszty"/>
    <x v="1"/>
    <s v="III. Usługi obce"/>
    <n v="58507001"/>
    <s v="58507001 Archiwizacja"/>
    <s v="Wynikowe"/>
    <n v="0"/>
    <n v="0"/>
    <n v="1755"/>
    <n v="0"/>
    <n v="0"/>
    <n v="0"/>
    <n v="0"/>
    <n v="0"/>
    <n v="0"/>
    <n v="147"/>
    <n v="0"/>
    <n v="0"/>
    <n v="1902"/>
  </r>
  <r>
    <s v="Koszty"/>
    <x v="1"/>
    <s v="III. Usługi obce"/>
    <n v="58521000"/>
    <s v="58521000 Telefony stacjonarne"/>
    <s v="Wynikowe"/>
    <n v="5551.22"/>
    <n v="4237.8399999999992"/>
    <n v="4189.3700000000008"/>
    <n v="4301.6899999999987"/>
    <n v="4306.5"/>
    <n v="4199.25"/>
    <n v="4188.0800000000017"/>
    <n v="4320.84"/>
    <n v="4167.2900000000009"/>
    <n v="4213.2699999999968"/>
    <n v="4302.2200000000012"/>
    <n v="4548.9599999999991"/>
    <n v="52526.53"/>
  </r>
  <r>
    <s v="Koszty"/>
    <x v="1"/>
    <s v="III. Usługi obce"/>
    <n v="58522000"/>
    <s v="58522000 Telefony komórkowe"/>
    <s v="Wynikowe"/>
    <n v="1882.58"/>
    <n v="3244.0200000000004"/>
    <n v="1787.7799999999997"/>
    <n v="1568.1799999999994"/>
    <n v="1232.58"/>
    <n v="1224.0200000000004"/>
    <n v="360.21999999999935"/>
    <n v="2063.5500000000011"/>
    <n v="1459.83"/>
    <n v="1478.3999999999996"/>
    <n v="1142.8199999999997"/>
    <n v="1147.7900000000009"/>
    <n v="18591.77"/>
  </r>
  <r>
    <s v="Koszty"/>
    <x v="1"/>
    <s v="III. Usługi obce"/>
    <n v="58525000"/>
    <s v="58525000 Internet"/>
    <s v="Wynikowe"/>
    <n v="1950"/>
    <n v="0"/>
    <n v="4519.99"/>
    <n v="2329.9899999999998"/>
    <n v="2329.9899999999998"/>
    <n v="2190"/>
    <n v="2190"/>
    <n v="2190.0000000000018"/>
    <n v="2190"/>
    <n v="2190"/>
    <n v="2190"/>
    <n v="2430"/>
    <n v="26699.97"/>
  </r>
  <r>
    <s v="Koszty"/>
    <x v="1"/>
    <s v="III. Usługi obce"/>
    <n v="58527000"/>
    <s v="58527000 Usługi pocztowe i kurierskie"/>
    <s v="Wynikowe"/>
    <n v="1483.23"/>
    <n v="2603.4299999999998"/>
    <n v="-1191.9699999999998"/>
    <n v="1153.83"/>
    <n v="1127.3300000000004"/>
    <n v="1485.0499999999993"/>
    <n v="2146.3999999999996"/>
    <n v="1513.8500000000004"/>
    <n v="1259.5599999999995"/>
    <n v="1010.2200000000012"/>
    <n v="1281.6800000000003"/>
    <n v="5077.3099999999977"/>
    <n v="18949.919999999998"/>
  </r>
  <r>
    <s v="Koszty"/>
    <x v="1"/>
    <s v="III. Usługi obce"/>
    <n v="58530200"/>
    <s v="58530200 Koszty oprogramowania"/>
    <s v="Wynikowe"/>
    <n v="11019.62"/>
    <n v="8006.1"/>
    <n v="7596.0999999999985"/>
    <n v="13813.099999999999"/>
    <n v="7546.0999999999985"/>
    <n v="7776.1000000000058"/>
    <n v="7643.0999999999985"/>
    <n v="6511.1000000000058"/>
    <n v="6971.0999999999913"/>
    <n v="10946.100000000006"/>
    <n v="8639.0999999999913"/>
    <n v="3006"/>
    <n v="99473.62"/>
  </r>
  <r>
    <s v="Koszty"/>
    <x v="1"/>
    <s v="III. Usługi obce"/>
    <n v="58530500"/>
    <s v="58530500 Usługi konsultingowe IT"/>
    <s v="Wynikowe"/>
    <n v="3390"/>
    <n v="4580"/>
    <n v="4050"/>
    <n v="5530"/>
    <n v="4170"/>
    <n v="3690"/>
    <n v="4340"/>
    <n v="2140"/>
    <n v="4060"/>
    <n v="5730"/>
    <n v="10320.199999999997"/>
    <n v="5600"/>
    <n v="57600.2"/>
  </r>
  <r>
    <s v="Koszty"/>
    <x v="1"/>
    <s v="III. Usługi obce"/>
    <n v="58530700"/>
    <s v="58530700 Pozostałe koszty IT"/>
    <s v="Wynikowe"/>
    <n v="207.45"/>
    <n v="0"/>
    <n v="0"/>
    <n v="1179.2"/>
    <n v="14.699999999999818"/>
    <n v="3210.27"/>
    <n v="1121.4300000000003"/>
    <n v="0"/>
    <n v="0"/>
    <n v="868.34000000000015"/>
    <n v="926.85999999999967"/>
    <n v="0"/>
    <n v="7528.25"/>
  </r>
  <r>
    <s v="Koszty"/>
    <x v="1"/>
    <s v="III. Usługi obce"/>
    <n v="58550000"/>
    <s v="58550000 Ochrona biura"/>
    <s v="Wynikowe"/>
    <n v="1397.57"/>
    <n v="1497.57"/>
    <n v="1497.5700000000002"/>
    <n v="1395.1599999999999"/>
    <n v="1028.9700000000003"/>
    <n v="1128.9700000000003"/>
    <n v="928.97000000000025"/>
    <n v="1028.9699999999993"/>
    <n v="1028.9699999999993"/>
    <n v="1028.9700000000012"/>
    <n v="1028.9699999999993"/>
    <n v="1128.9699999999993"/>
    <n v="14119.63"/>
  </r>
  <r>
    <s v="Koszty"/>
    <x v="1"/>
    <s v="III. Usługi obce"/>
    <n v="58552001"/>
    <s v="58552001 Samochody - najem"/>
    <s v="Wynikowe"/>
    <n v="18877.650000000001"/>
    <n v="19680.739999999998"/>
    <n v="19279.29"/>
    <n v="24313.439999999995"/>
    <n v="21698.340000000011"/>
    <n v="21695.119999999995"/>
    <n v="21660.199999999997"/>
    <n v="19965.01999999999"/>
    <n v="19963.660000000003"/>
    <n v="21851.800000000017"/>
    <n v="23424.190000000002"/>
    <n v="20279.789999999979"/>
    <n v="252689.24"/>
  </r>
  <r>
    <s v="Koszty"/>
    <x v="1"/>
    <s v="III. Usługi obce"/>
    <n v="58552004"/>
    <s v="58552004 Samochody - ubezpieczenia"/>
    <s v="Wynikowe"/>
    <n v="9351.02"/>
    <n v="8281.119999999999"/>
    <n v="8805.39"/>
    <n v="8246.9000000000015"/>
    <n v="8218.9800000000032"/>
    <n v="8065.8999999999942"/>
    <n v="8252.4000000000015"/>
    <n v="7792.8400000000038"/>
    <n v="7792.3399999999965"/>
    <n v="8138.7700000000041"/>
    <n v="8561.5199999999895"/>
    <n v="7716.0200000000041"/>
    <n v="99223.2"/>
  </r>
  <r>
    <s v="Koszty"/>
    <x v="1"/>
    <s v="III. Usługi obce"/>
    <n v="58552026"/>
    <s v="58552026 Samochody - najem NKUP"/>
    <s v="Wynikowe"/>
    <n v="2454.41"/>
    <n v="1651.3600000000006"/>
    <n v="2052.9799999999996"/>
    <n v="6897.2000000000007"/>
    <n v="4357.8600000000006"/>
    <n v="4354.0299999999988"/>
    <n v="4312.2599999999984"/>
    <n v="4307.510000000002"/>
    <n v="4305.8799999999974"/>
    <n v="4313.32"/>
    <n v="6193.6700000000055"/>
    <n v="2433.3899999999994"/>
    <n v="47633.87"/>
  </r>
  <r>
    <s v="Koszty"/>
    <x v="1"/>
    <s v="III. Usługi obce"/>
    <n v="58552027"/>
    <s v="58552027 Samochody - ubezpieczenia NKUP"/>
    <s v="Wynikowe"/>
    <n v="15.18"/>
    <n v="997.08"/>
    <n v="506.13000000000011"/>
    <n v="1805.09"/>
    <n v="506.13000000000011"/>
    <n v="506.12999999999965"/>
    <n v="506.13000000000011"/>
    <n v="506.13000000000011"/>
    <n v="506.13000000000011"/>
    <n v="506.13000000000011"/>
    <n v="1011.6799999999994"/>
    <n v="0.58000000000083674"/>
    <n v="7372.52"/>
  </r>
  <r>
    <s v="Koszty"/>
    <x v="1"/>
    <s v="III. Usługi obce"/>
    <n v="58554000"/>
    <s v="58554000 Transport lokalny"/>
    <s v="Wynikowe"/>
    <n v="0"/>
    <n v="561.09"/>
    <n v="485.21999999999991"/>
    <n v="251.34000000000015"/>
    <n v="221.01"/>
    <n v="0"/>
    <n v="59.799999999999955"/>
    <n v="155.05999999999995"/>
    <n v="158.81999999999994"/>
    <n v="83.600000000000136"/>
    <n v="72.380000000000109"/>
    <n v="108.64999999999964"/>
    <n v="2156.9699999999998"/>
  </r>
  <r>
    <s v="Koszty"/>
    <x v="1"/>
    <s v="III. Usługi obce"/>
    <n v="58568000"/>
    <s v="58568000 Reklama i ogłoszenia"/>
    <s v="Wynikowe"/>
    <n v="455"/>
    <n v="0"/>
    <n v="0"/>
    <n v="0"/>
    <n v="375"/>
    <n v="0"/>
    <n v="318.75"/>
    <n v="0"/>
    <n v="0"/>
    <n v="0"/>
    <n v="0"/>
    <n v="4185"/>
    <n v="5333.75"/>
  </r>
  <r>
    <s v="Koszty"/>
    <x v="1"/>
    <s v="III. Usługi obce"/>
    <n v="58570000"/>
    <s v="58570000 Ubezpieczenie ITIC"/>
    <s v="Wynikowe"/>
    <n v="0"/>
    <n v="0"/>
    <n v="0"/>
    <n v="0"/>
    <n v="0"/>
    <n v="0"/>
    <n v="0"/>
    <n v="0"/>
    <n v="0"/>
    <n v="2465.0100000000002"/>
    <n v="0"/>
    <n v="662.04"/>
    <n v="3127.05"/>
  </r>
  <r>
    <s v="Koszty"/>
    <x v="1"/>
    <s v="III. Usługi obce"/>
    <n v="58590000"/>
    <s v="58590000 Rafaktura kosztów"/>
    <s v="Wynikowe"/>
    <n v="0"/>
    <n v="0"/>
    <n v="0"/>
    <n v="0"/>
    <n v="0"/>
    <n v="0"/>
    <n v="0"/>
    <n v="975"/>
    <n v="567.16000000000008"/>
    <n v="2944.3100000000004"/>
    <n v="489.03999999999996"/>
    <n v="1846.8099999999995"/>
    <n v="6822.32"/>
  </r>
  <r>
    <s v="Koszty"/>
    <x v="1"/>
    <s v="VII. Pozostałe koszty rodzajowe"/>
    <n v="59080000"/>
    <s v="59080000 Pozostałe koszty pracownicze"/>
    <s v="Wynikowe"/>
    <n v="0"/>
    <n v="9505.77"/>
    <n v="9304.18"/>
    <n v="6741.0299999999988"/>
    <n v="3010.6000000000022"/>
    <n v="3789.66"/>
    <n v="10725.920000000002"/>
    <n v="4167.4799999999959"/>
    <n v="5261.7799999999988"/>
    <n v="5056.6399999999994"/>
    <n v="5493.0800000000017"/>
    <n v="10405.059999999998"/>
    <n v="73461.2"/>
  </r>
  <r>
    <s v="Koszty"/>
    <x v="1"/>
    <s v="III. Usługi obce"/>
    <n v="59504050"/>
    <s v="59504050 Różne koszty operacyjne"/>
    <s v="Wynikowe"/>
    <n v="0"/>
    <n v="0"/>
    <n v="0"/>
    <n v="0"/>
    <n v="0"/>
    <n v="0"/>
    <n v="0"/>
    <n v="0"/>
    <n v="0"/>
    <n v="0"/>
    <n v="0"/>
    <n v="0"/>
    <n v="0"/>
  </r>
  <r>
    <s v="Koszty"/>
    <x v="1"/>
    <s v="III. Usługi obce"/>
    <n v="65518000"/>
    <s v="65518000 Opłaty i prowizje bankowe"/>
    <s v="Wynikowe"/>
    <n v="1839.17"/>
    <n v="1610.73"/>
    <n v="1491.7599999999998"/>
    <n v="1092.5"/>
    <n v="1059.6400000000003"/>
    <n v="2080.9499999999998"/>
    <n v="2692.84"/>
    <n v="940.01000000000022"/>
    <n v="1459.2399999999998"/>
    <n v="1356.7600000000002"/>
    <n v="2192.3799999999992"/>
    <n v="895.4900000000016"/>
    <n v="18711.47"/>
  </r>
  <r>
    <s v="Koszty"/>
    <x v="1"/>
    <s v="IV. Podatki i opłaty"/>
    <n v="59080040"/>
    <s v="59080040 PFRON"/>
    <s v="Wynikowe"/>
    <n v="11977"/>
    <n v="11654"/>
    <n v="0"/>
    <n v="24681"/>
    <n v="12213"/>
    <n v="0"/>
    <n v="24954"/>
    <n v="12672"/>
    <n v="9702"/>
    <n v="9640"/>
    <n v="9660"/>
    <n v="10065"/>
    <n v="137218"/>
  </r>
  <r>
    <s v="Koszty"/>
    <x v="1"/>
    <s v="IV. Podatki i opłaty"/>
    <n v="59500040"/>
    <s v="59500040 Podatek od nieruchomości"/>
    <s v="Wynikowe"/>
    <n v="2191.5500000000002"/>
    <n v="2191.5500000000002"/>
    <n v="2191.5499999999993"/>
    <n v="2267.6800000000003"/>
    <n v="2224.4300000000003"/>
    <n v="2224.4300000000003"/>
    <n v="2224.4300000000003"/>
    <n v="2224.4299999999985"/>
    <n v="2224.4300000000003"/>
    <n v="2224.4300000000003"/>
    <n v="2224.4300000000003"/>
    <n v="2227.4300000000003"/>
    <n v="26640.77"/>
  </r>
  <r>
    <s v="Koszty"/>
    <x v="1"/>
    <s v="IV. Podatki i opłaty"/>
    <n v="59500050"/>
    <s v="59500050 VAT nie do odliczenia KUP"/>
    <s v="Wynikowe"/>
    <n v="5209.71"/>
    <n v="5352.19"/>
    <n v="4832.4700000000012"/>
    <n v="4774.4600000000009"/>
    <n v="4283.239999999998"/>
    <n v="4688.010000000002"/>
    <n v="4874.4799999999959"/>
    <n v="3914.9400000000023"/>
    <n v="4540.8300000000017"/>
    <n v="5433.43"/>
    <n v="5472.9499999999971"/>
    <n v="4650.4000000000015"/>
    <n v="58027.11"/>
  </r>
  <r>
    <s v="Koszty"/>
    <x v="1"/>
    <s v="IV. Podatki i opłaty"/>
    <n v="59500051"/>
    <s v="59500051 VAT nie do odliczenia NKUP"/>
    <s v="Wynikowe"/>
    <n v="1510.99"/>
    <n v="756.58999999999992"/>
    <n v="936.36999999999989"/>
    <n v="1281.04"/>
    <n v="925.61000000000058"/>
    <n v="1060.2199999999993"/>
    <n v="1118.9300000000003"/>
    <n v="454.85999999999967"/>
    <n v="1094.0800000000008"/>
    <n v="1297.8099999999995"/>
    <n v="1471.4099999999999"/>
    <n v="885.32999999999993"/>
    <n v="12793.24"/>
  </r>
  <r>
    <s v="Koszty"/>
    <x v="1"/>
    <s v="V. Wynagrodzenia"/>
    <n v="59000000"/>
    <s v="59000000 Wynagrodzenia osobowe"/>
    <s v="Wynikowe"/>
    <n v="1107101.93"/>
    <n v="1089088.72"/>
    <n v="1091297.8200000003"/>
    <n v="1092961.2399999998"/>
    <n v="1071577.2700000005"/>
    <n v="1060328.3499999996"/>
    <n v="1058152.5099999998"/>
    <n v="1086590.2100000009"/>
    <n v="1078871.1099999994"/>
    <n v="1085071.1099999994"/>
    <n v="1091726.67"/>
    <n v="1102354.8200000003"/>
    <n v="13015121.76"/>
  </r>
  <r>
    <s v="Koszty"/>
    <x v="1"/>
    <s v="V. Wynagrodzenia"/>
    <n v="59002000"/>
    <s v="59002000 Premia roczna"/>
    <s v="Wynikowe"/>
    <n v="0"/>
    <n v="0"/>
    <n v="0"/>
    <n v="-44723"/>
    <n v="0"/>
    <n v="214871.88"/>
    <n v="0"/>
    <n v="0"/>
    <n v="0"/>
    <n v="0"/>
    <n v="0"/>
    <n v="1212000"/>
    <n v="1382148.88"/>
  </r>
  <r>
    <s v="Koszty"/>
    <x v="1"/>
    <s v="V. Wynagrodzenia"/>
    <n v="59002200"/>
    <s v="59002200 Nadgodziny"/>
    <s v="Wynikowe"/>
    <n v="0"/>
    <n v="0"/>
    <n v="0"/>
    <n v="1471.54"/>
    <n v="0"/>
    <n v="0"/>
    <n v="579.46"/>
    <n v="118.32999999999993"/>
    <n v="201.01000000000022"/>
    <n v="589.17000000000007"/>
    <n v="0"/>
    <n v="1120.6899999999996"/>
    <n v="4080.2"/>
  </r>
  <r>
    <s v="Koszty"/>
    <x v="1"/>
    <s v="V. Wynagrodzenia"/>
    <n v="59018300"/>
    <s v="59018300 Rezerwa na odprawę emerytalną"/>
    <s v="Wynikowe"/>
    <n v="0"/>
    <n v="-2375"/>
    <n v="30575"/>
    <n v="0"/>
    <n v="45000"/>
    <n v="0"/>
    <n v="0"/>
    <n v="0"/>
    <n v="0"/>
    <n v="0"/>
    <n v="7639.1699999999983"/>
    <n v="-9219.0699999999924"/>
    <n v="71620.100000000006"/>
  </r>
  <r>
    <s v="Koszty"/>
    <x v="1"/>
    <s v="V. Wynagrodzenia"/>
    <n v="59040000"/>
    <s v="59040000 Pozostałe świadczenia pracownicze"/>
    <s v="Wynikowe"/>
    <n v="17114.62"/>
    <n v="-5987.0099999999984"/>
    <n v="-15628.310000000001"/>
    <n v="0"/>
    <n v="0"/>
    <n v="2232.4199999999996"/>
    <n v="2678.7200000000003"/>
    <n v="2776.87"/>
    <n v="2985.4"/>
    <n v="3493.5700000000006"/>
    <n v="863.51999999999862"/>
    <n v="1028.3400000000001"/>
    <n v="11558.139999999998"/>
  </r>
  <r>
    <s v="Koszty"/>
    <x v="1"/>
    <s v="V. Wynagrodzenia"/>
    <n v="59070000"/>
    <s v="59070000 Umowy cywilnoprawne"/>
    <s v="Wynikowe"/>
    <n v="25990"/>
    <n v="25150"/>
    <n v="29415"/>
    <n v="33680"/>
    <n v="29400"/>
    <n v="30460"/>
    <n v="35830"/>
    <n v="40960"/>
    <n v="38926"/>
    <n v="36376"/>
    <n v="36685"/>
    <n v="33980"/>
    <n v="396852"/>
  </r>
  <r>
    <s v="Koszty"/>
    <x v="1"/>
    <s v="V. Wynagrodzenia"/>
    <n v="59004000"/>
    <s v="59004000 Rezerwa urlopowa"/>
    <s v="Wynikowe"/>
    <n v="0"/>
    <n v="0"/>
    <n v="0"/>
    <n v="0"/>
    <n v="0"/>
    <n v="0"/>
    <n v="0"/>
    <n v="0"/>
    <n v="0"/>
    <n v="0"/>
    <n v="0"/>
    <n v="262148.3"/>
    <n v="262148.3"/>
  </r>
  <r>
    <s v="Koszty"/>
    <x v="1"/>
    <s v="VI. Ubezpieczenia społeczne i inne świadczenia, w tym:"/>
    <n v="58507002"/>
    <s v="58507002 Szkolenia"/>
    <s v="Wynikowe"/>
    <n v="21220.58"/>
    <n v="7029.16"/>
    <n v="11903.499999999996"/>
    <n v="8527.0400000000009"/>
    <n v="1374.8800000000047"/>
    <n v="5674.8799999999974"/>
    <n v="9601.989999999998"/>
    <n v="474.88000000000466"/>
    <n v="14393.599999999991"/>
    <n v="51698.410000000018"/>
    <n v="960"/>
    <n v="240"/>
    <n v="133098.92000000001"/>
  </r>
  <r>
    <s v="Koszty"/>
    <x v="1"/>
    <s v="VI. Ubezpieczenia społeczne i inne świadczenia, w tym:"/>
    <n v="58507006"/>
    <s v="58507006 Bezpieczeństwo i higiena pracy"/>
    <s v="Wynikowe"/>
    <n v="1980"/>
    <n v="3020"/>
    <n v="0"/>
    <n v="500"/>
    <n v="500"/>
    <n v="2440"/>
    <n v="2968"/>
    <n v="500"/>
    <n v="2000"/>
    <n v="3100"/>
    <n v="3494"/>
    <n v="1496"/>
    <n v="21998"/>
  </r>
  <r>
    <s v="Koszty"/>
    <x v="1"/>
    <s v="VI. Ubezpieczenia społeczne i inne świadczenia, w tym:"/>
    <n v="59004001"/>
    <s v="59004001 Rezerwa urlopowa - ubezpieczenie społeczne"/>
    <s v="Wynikowe"/>
    <n v="0"/>
    <n v="0"/>
    <n v="0"/>
    <n v="-241383"/>
    <n v="0"/>
    <n v="0"/>
    <n v="0"/>
    <n v="0"/>
    <n v="0"/>
    <n v="0"/>
    <n v="0"/>
    <n v="481843.8"/>
    <n v="240460.79999999999"/>
  </r>
  <r>
    <s v="Koszty"/>
    <x v="1"/>
    <s v="VI. Ubezpieczenia społeczne i inne świadczenia, w tym:"/>
    <n v="59016000"/>
    <s v="59016000 Ubezpieczenie społeczne"/>
    <s v="Wynikowe"/>
    <n v="219109.5"/>
    <n v="215264.16999999998"/>
    <n v="214357.06"/>
    <n v="422721.10000000009"/>
    <n v="192860.25"/>
    <n v="229520.07999999984"/>
    <n v="189010.01"/>
    <n v="185913.06000000006"/>
    <n v="178428.41999999993"/>
    <n v="173144.49000000022"/>
    <n v="157969.96999999974"/>
    <n v="-94923"/>
    <n v="2283375.11"/>
  </r>
  <r>
    <s v="Koszty"/>
    <x v="1"/>
    <s v="VI. Ubezpieczenia społeczne i inne świadczenia, w tym:"/>
    <n v="59026000"/>
    <s v="59026000 Ubezpieczenie chorobowe i wypadkowe"/>
    <s v="Wynikowe"/>
    <n v="0"/>
    <n v="0"/>
    <n v="6372"/>
    <n v="6490"/>
    <n v="6490"/>
    <n v="6490"/>
    <n v="6490"/>
    <n v="6549"/>
    <n v="6490"/>
    <n v="6549"/>
    <n v="15193.5"/>
    <n v="-2095.5"/>
    <n v="65018"/>
  </r>
  <r>
    <s v="Koszty"/>
    <x v="1"/>
    <s v="VI. Ubezpieczenia społeczne i inne świadczenia, w tym:"/>
    <n v="59028000"/>
    <s v="59028000 Usługi medyczne"/>
    <s v="Wynikowe"/>
    <n v="12508.95"/>
    <n v="12363.61"/>
    <n v="12435.929999999997"/>
    <n v="12493.029999999999"/>
    <n v="12402.440000000002"/>
    <n v="12453.939999999995"/>
    <n v="12403.450000000012"/>
    <n v="12467.159999999989"/>
    <n v="12630.270000000004"/>
    <n v="13610.960000000006"/>
    <n v="13414.319999999992"/>
    <n v="13373.190000000002"/>
    <n v="152557.25"/>
  </r>
  <r>
    <s v="Koszty"/>
    <x v="1"/>
    <s v="VI. Ubezpieczenia społeczne i inne świadczenia, w tym:"/>
    <n v="59036001"/>
    <s v="59036001 Bony żywieniowe"/>
    <s v="Wynikowe"/>
    <n v="21850"/>
    <n v="21660"/>
    <n v="21660"/>
    <n v="21470"/>
    <n v="21470"/>
    <n v="42560"/>
    <n v="0"/>
    <n v="21660"/>
    <n v="21470"/>
    <n v="42940"/>
    <n v="0"/>
    <n v="43510"/>
    <n v="280250"/>
  </r>
  <r>
    <s v="Koszty"/>
    <x v="1"/>
    <s v="VII. Pozostałe koszty rodzajowe"/>
    <n v="58540000"/>
    <s v="58540000 Bilety inne"/>
    <s v="Wynikowe"/>
    <n v="0"/>
    <n v="280"/>
    <n v="0"/>
    <n v="0"/>
    <n v="0"/>
    <n v="0"/>
    <n v="0"/>
    <n v="0"/>
    <n v="0"/>
    <n v="0"/>
    <n v="0"/>
    <n v="0"/>
    <n v="280"/>
  </r>
  <r>
    <s v="Koszty"/>
    <x v="1"/>
    <s v="VII. Pozostałe koszty rodzajowe"/>
    <n v="58540100"/>
    <s v="58540100 Bilety lotnicze zagraniczne"/>
    <s v="Wynikowe"/>
    <n v="12586.41"/>
    <n v="426.29000000000087"/>
    <n v="-66.340000000000146"/>
    <n v="0"/>
    <n v="0"/>
    <n v="0"/>
    <n v="0"/>
    <n v="0"/>
    <n v="0"/>
    <n v="0"/>
    <n v="0"/>
    <n v="0"/>
    <n v="12946.36"/>
  </r>
  <r>
    <s v="Koszty"/>
    <x v="1"/>
    <s v="VII. Pozostałe koszty rodzajowe"/>
    <n v="58540111"/>
    <s v="58540111 Delegacje zagraniczne"/>
    <s v="Wynikowe"/>
    <n v="4975.05"/>
    <n v="63.630000000000109"/>
    <n v="433.57999999999993"/>
    <n v="15.679999999999382"/>
    <n v="0"/>
    <n v="266.6200000000008"/>
    <n v="0"/>
    <n v="0"/>
    <n v="0"/>
    <n v="0"/>
    <n v="0"/>
    <n v="0"/>
    <n v="5754.56"/>
  </r>
  <r>
    <s v="Koszty"/>
    <x v="1"/>
    <s v="VII. Pozostałe koszty rodzajowe"/>
    <n v="58540200"/>
    <s v="58540200 Bilety lotnicze krajowe"/>
    <s v="Wynikowe"/>
    <n v="621.61"/>
    <n v="0"/>
    <n v="0"/>
    <n v="0"/>
    <n v="0"/>
    <n v="0"/>
    <n v="0"/>
    <n v="0"/>
    <n v="0"/>
    <n v="0"/>
    <n v="0"/>
    <n v="0"/>
    <n v="621.61"/>
  </r>
  <r>
    <s v="Koszty"/>
    <x v="1"/>
    <s v="VII. Pozostałe koszty rodzajowe"/>
    <n v="58540201"/>
    <s v="58540201 Kilometrówka"/>
    <s v="Wynikowe"/>
    <n v="0"/>
    <n v="0"/>
    <n v="0"/>
    <n v="0"/>
    <n v="0"/>
    <n v="0"/>
    <n v="0"/>
    <n v="0"/>
    <n v="0"/>
    <n v="0"/>
    <n v="0"/>
    <n v="0"/>
    <n v="0"/>
  </r>
  <r>
    <s v="Koszty"/>
    <x v="1"/>
    <s v="VII. Pozostałe koszty rodzajowe"/>
    <n v="58540211"/>
    <s v="58540211 Delegacje krajowe"/>
    <s v="Wynikowe"/>
    <n v="1120.44"/>
    <n v="-95.190000000000055"/>
    <n v="674.07999999999993"/>
    <n v="0"/>
    <n v="0"/>
    <n v="0"/>
    <n v="0"/>
    <n v="212.03999999999996"/>
    <n v="0"/>
    <n v="1010.8499999999999"/>
    <n v="-89.549999999999727"/>
    <n v="0"/>
    <n v="2832.67"/>
  </r>
  <r>
    <s v="Koszty"/>
    <x v="1"/>
    <s v="VII. Pozostałe koszty rodzajowe"/>
    <n v="58540300"/>
    <s v="58540300 Zakwaterowanie"/>
    <s v="Wynikowe"/>
    <n v="10962.29"/>
    <n v="6420.0799999999981"/>
    <n v="3113.1700000000019"/>
    <n v="4855.0599999999977"/>
    <n v="600"/>
    <n v="3723.84"/>
    <n v="0"/>
    <n v="1110"/>
    <n v="2137.2999999999993"/>
    <n v="5490"/>
    <n v="1890"/>
    <n v="300"/>
    <n v="40601.74"/>
  </r>
  <r>
    <s v="Koszty"/>
    <x v="1"/>
    <s v="VII. Pozostałe koszty rodzajowe"/>
    <n v="58540800"/>
    <s v="58540800 Pozostałe koszty podróży"/>
    <s v="Wynikowe"/>
    <n v="0"/>
    <n v="0"/>
    <n v="0"/>
    <n v="0"/>
    <n v="0"/>
    <n v="0"/>
    <n v="0"/>
    <n v="0"/>
    <n v="0"/>
    <n v="0"/>
    <n v="0"/>
    <n v="0"/>
    <n v="0"/>
  </r>
  <r>
    <s v="Koszty"/>
    <x v="1"/>
    <s v="VII. Pozostałe koszty rodzajowe"/>
    <n v="58560000"/>
    <s v="58560000 Wydatki na pokazy i prezentacje"/>
    <s v="Wynikowe"/>
    <n v="0"/>
    <n v="4050"/>
    <n v="0"/>
    <n v="0"/>
    <n v="0"/>
    <n v="0"/>
    <n v="0"/>
    <n v="0"/>
    <n v="0"/>
    <n v="0"/>
    <n v="0"/>
    <n v="0"/>
    <n v="4050"/>
  </r>
  <r>
    <s v="Koszty"/>
    <x v="1"/>
    <s v="VII. Pozostałe koszty rodzajowe"/>
    <n v="58562000"/>
    <s v="58562000 Wydatki na Meetingi XYZ"/>
    <s v="Wynikowe"/>
    <n v="0"/>
    <n v="4550.46"/>
    <n v="0"/>
    <n v="0"/>
    <n v="0"/>
    <n v="0"/>
    <n v="0"/>
    <n v="0"/>
    <n v="0"/>
    <n v="0"/>
    <n v="0"/>
    <n v="12872.41"/>
    <n v="17422.87"/>
  </r>
  <r>
    <s v="Koszty"/>
    <x v="1"/>
    <s v="VII. Pozostałe koszty rodzajowe"/>
    <n v="58564000"/>
    <s v="58564000 Wydatki reprezentacyjne na klientów KUP"/>
    <s v="Wynikowe"/>
    <n v="3409.93"/>
    <n v="5900.57"/>
    <n v="2854.2999999999993"/>
    <n v="4180.1000000000004"/>
    <n v="1474.8999999999996"/>
    <n v="2676.7800000000025"/>
    <n v="3746.8999999999978"/>
    <n v="2740.7000000000007"/>
    <n v="4408.0999999999985"/>
    <n v="7527.4100000000035"/>
    <n v="44.5"/>
    <n v="1245.6999999999971"/>
    <n v="40209.89"/>
  </r>
  <r>
    <s v="Koszty"/>
    <x v="1"/>
    <s v="VII. Pozostałe koszty rodzajowe"/>
    <n v="58564010"/>
    <s v="58564010 Wydatki reprezentacyjne na klientów NKUP"/>
    <s v="Wynikowe"/>
    <n v="2421.67"/>
    <n v="1254.4000000000001"/>
    <n v="0"/>
    <n v="265.59999999999991"/>
    <n v="396"/>
    <n v="1454.58"/>
    <n v="0"/>
    <n v="3779.9400000000005"/>
    <n v="111.69999999999891"/>
    <n v="909.51000000000022"/>
    <n v="218.05000000000109"/>
    <n v="1088.7999999999993"/>
    <n v="11900.25"/>
  </r>
  <r>
    <s v="Koszty"/>
    <x v="1"/>
    <s v="VII. Pozostałe koszty rodzajowe"/>
    <n v="58564020"/>
    <s v="58564020 Imprezy dla klientów"/>
    <s v="Wynikowe"/>
    <n v="-35000"/>
    <n v="0"/>
    <n v="0"/>
    <n v="0"/>
    <n v="0"/>
    <n v="0"/>
    <n v="0"/>
    <n v="-4000"/>
    <n v="0"/>
    <n v="0"/>
    <n v="0"/>
    <n v="0"/>
    <n v="-39000"/>
  </r>
  <r>
    <s v="Koszty"/>
    <x v="1"/>
    <s v="VII. Pozostałe koszty rodzajowe"/>
    <n v="58566000"/>
    <s v="58566000 Wydatki reprezentacyjne na pracowników"/>
    <s v="Wynikowe"/>
    <n v="2301.39"/>
    <n v="4048.6600000000003"/>
    <n v="14173.369999999999"/>
    <n v="0"/>
    <n v="2531.4600000000028"/>
    <n v="3135.2999999999993"/>
    <n v="36.790000000000873"/>
    <n v="1061.5"/>
    <n v="0"/>
    <n v="0"/>
    <n v="0"/>
    <n v="-4670.5300000000025"/>
    <n v="22617.94"/>
  </r>
  <r>
    <s v="Koszty"/>
    <x v="1"/>
    <s v="VII. Pozostałe koszty rodzajowe"/>
    <n v="58566010"/>
    <s v="58566010 Imprezy dla pracowników"/>
    <s v="Wynikowe"/>
    <n v="0"/>
    <n v="1450"/>
    <n v="0"/>
    <n v="0"/>
    <n v="0"/>
    <n v="0"/>
    <n v="0"/>
    <n v="0"/>
    <n v="0"/>
    <n v="0"/>
    <n v="0"/>
    <n v="2710"/>
    <n v="4160"/>
  </r>
  <r>
    <s v="Koszty"/>
    <x v="1"/>
    <s v="VII. Pozostałe koszty rodzajowe"/>
    <n v="58568002"/>
    <s v="58568002 Upominki dla klientów"/>
    <s v="Wynikowe"/>
    <n v="1667.89"/>
    <n v="273"/>
    <n v="37339.03"/>
    <n v="2730"/>
    <n v="-1000"/>
    <n v="0"/>
    <n v="357.93000000000029"/>
    <n v="9.9899999999979627"/>
    <n v="0"/>
    <n v="0"/>
    <n v="0"/>
    <n v="42364.19"/>
    <n v="83742.03"/>
  </r>
  <r>
    <s v="Koszty"/>
    <x v="1"/>
    <s v="VII. Pozostałe koszty rodzajowe"/>
    <n v="58568011"/>
    <s v="58568011 Upominki promocyjne dla innych"/>
    <s v="Wynikowe"/>
    <n v="1000"/>
    <n v="0"/>
    <n v="0"/>
    <n v="0"/>
    <n v="261.23"/>
    <n v="0"/>
    <n v="0"/>
    <n v="0"/>
    <n v="0"/>
    <n v="0"/>
    <n v="0"/>
    <n v="-1261.23"/>
    <n v="0"/>
  </r>
  <r>
    <s v="Przychody"/>
    <x v="2"/>
    <s v="IV. Inne przychody operacyjne"/>
    <n v="46012000"/>
    <s v="46012000 Przychód operacyjny - nadpłaty"/>
    <s v="Wynikowe"/>
    <n v="0"/>
    <n v="0"/>
    <n v="0"/>
    <n v="-150.34"/>
    <n v="0"/>
    <n v="0"/>
    <n v="1833.23"/>
    <n v="0"/>
    <n v="-213.94000000000005"/>
    <n v="-128.84000000000015"/>
    <n v="-13164.900000000001"/>
    <n v="13164.900000000001"/>
    <n v="1340.1100000000006"/>
  </r>
  <r>
    <s v="Przychody"/>
    <x v="2"/>
    <s v="IV. Inne przychody operacyjne"/>
    <n v="46050000"/>
    <s v="46050000 Przychód operacyjny - pozostałe"/>
    <s v="Wynikowe"/>
    <n v="5245.76"/>
    <n v="3478.6299999999992"/>
    <n v="4157.630000000001"/>
    <n v="2017.3999999999996"/>
    <n v="1102.4599999999991"/>
    <n v="2051.2100000000009"/>
    <n v="2255.3600000000006"/>
    <n v="3308.4300000000003"/>
    <n v="3064.2299999999996"/>
    <n v="42153.759999999995"/>
    <n v="1761.7799999999988"/>
    <n v="2551.0900000000111"/>
    <n v="73147.740000000005"/>
  </r>
  <r>
    <s v="Koszty"/>
    <x v="3"/>
    <s v="III. Inne koszty operacyjne"/>
    <n v="58556000"/>
    <s v="58556000 Darowizny"/>
    <s v="Wynikowe"/>
    <n v="0"/>
    <n v="0"/>
    <n v="0"/>
    <n v="10000"/>
    <n v="0"/>
    <n v="500"/>
    <n v="0"/>
    <n v="0"/>
    <n v="0"/>
    <n v="0"/>
    <n v="4000"/>
    <n v="3485.5"/>
    <n v="17985.5"/>
  </r>
  <r>
    <s v="Przychody"/>
    <x v="2"/>
    <s v="IV. Inne przychody operacyjne"/>
    <n v="60000010"/>
    <s v="60000010 Rozwiązanie rezerwy na należności"/>
    <s v="Wynikowe"/>
    <n v="0"/>
    <n v="0"/>
    <n v="0"/>
    <n v="0"/>
    <n v="0"/>
    <n v="0"/>
    <n v="0"/>
    <n v="0"/>
    <n v="0"/>
    <n v="0"/>
    <n v="0"/>
    <n v="0"/>
    <n v="0"/>
  </r>
  <r>
    <s v="Koszty"/>
    <x v="3"/>
    <s v="II. Aktualizacja wartości aktywów niefinansowych"/>
    <n v="60002000"/>
    <s v="60002000 Spisane należności"/>
    <s v="Wynikowe"/>
    <n v="929.04"/>
    <n v="0"/>
    <n v="0"/>
    <n v="0"/>
    <n v="0"/>
    <n v="0"/>
    <n v="0"/>
    <n v="0"/>
    <n v="0"/>
    <n v="0"/>
    <n v="0"/>
    <n v="0"/>
    <n v="929.04"/>
  </r>
  <r>
    <s v="Koszty"/>
    <x v="4"/>
    <s v="IV. Inne"/>
    <n v="60502010"/>
    <s v="60502010 Zrealiz dodatnie róż kurs od zabezp należ"/>
    <s v="Wynikowe"/>
    <n v="-2.08"/>
    <n v="0"/>
    <n v="-4.0000000000000036E-2"/>
    <n v="0"/>
    <n v="-6.0000000000000053E-2"/>
    <n v="0"/>
    <n v="-4.0000000000000036E-2"/>
    <n v="0"/>
    <n v="0"/>
    <n v="0"/>
    <n v="0"/>
    <n v="136.82"/>
    <n v="134.6"/>
  </r>
  <r>
    <s v="Koszty"/>
    <x v="4"/>
    <s v="IV. Inne"/>
    <n v="60502211"/>
    <s v="60502211 Zrealiz dodatnie różnice (ręczne ksiegowanie)"/>
    <s v="Wynikowe"/>
    <n v="-271.12"/>
    <n v="0"/>
    <n v="0"/>
    <n v="0"/>
    <n v="0"/>
    <n v="0"/>
    <n v="0"/>
    <n v="0"/>
    <n v="0"/>
    <n v="-5041.0200000000004"/>
    <n v="-44.059999999999491"/>
    <n v="-1236.2700000000004"/>
    <n v="-6592.47"/>
  </r>
  <r>
    <s v="Koszty"/>
    <x v="4"/>
    <s v="IV. Inne"/>
    <n v="60503010"/>
    <s v="60503010 Zrealiz ujemne róż kurs od zabezp należ"/>
    <s v="Wynikowe"/>
    <n v="0"/>
    <n v="0"/>
    <n v="0"/>
    <n v="0"/>
    <n v="0"/>
    <n v="0.08"/>
    <n v="0"/>
    <n v="3.9999999999999994E-2"/>
    <n v="0"/>
    <n v="0"/>
    <n v="0.56999999999999995"/>
    <n v="0"/>
    <n v="0.69"/>
  </r>
  <r>
    <s v="Koszty"/>
    <x v="4"/>
    <s v="IV. Inne"/>
    <n v="60508010"/>
    <s v="60508010 Zrealiz dodatnie róż kurs od zabezp zobow"/>
    <s v="Wynikowe"/>
    <n v="-0.01"/>
    <n v="0"/>
    <n v="0"/>
    <n v="0"/>
    <n v="0"/>
    <n v="-3111.1699999999996"/>
    <n v="-653.32000000000016"/>
    <n v="-134.2800000000002"/>
    <n v="-1267.0499999999997"/>
    <n v="-41.109999999999673"/>
    <n v="-2244.2400000000007"/>
    <n v="-1562.1900000000005"/>
    <n v="-9013.3700000000008"/>
  </r>
  <r>
    <s v="Koszty"/>
    <x v="4"/>
    <s v="IV. Inne"/>
    <n v="60509010"/>
    <s v="60509010 Zrealiz ujemne róż kurs od zabezp zobow"/>
    <s v="Wynikowe"/>
    <n v="0"/>
    <n v="77.19"/>
    <n v="5409.21"/>
    <n v="360.15000000000055"/>
    <n v="0"/>
    <n v="434.97000000000025"/>
    <n v="1.3699999999998909"/>
    <n v="0"/>
    <n v="1892.1999999999998"/>
    <n v="560.11999999999898"/>
    <n v="0"/>
    <n v="0"/>
    <n v="8735.2099999999991"/>
  </r>
  <r>
    <s v="Koszty"/>
    <x v="4"/>
    <s v="IV. Inne"/>
    <n v="60509211"/>
    <s v="60509211 Zrealiz ujemne różnice (ręczne ksiegowanie)"/>
    <s v="Wynikowe"/>
    <n v="5744.06"/>
    <n v="0"/>
    <n v="0"/>
    <n v="0"/>
    <n v="0"/>
    <n v="0"/>
    <n v="0"/>
    <n v="0"/>
    <n v="-290.74000000000069"/>
    <n v="15996.48"/>
    <n v="-10813.17"/>
    <n v="850.86000000000058"/>
    <n v="11487.49"/>
  </r>
  <r>
    <s v="Przychody"/>
    <x v="2"/>
    <s v="I. Zysk z tytułu rozchodu niefinansowych aktywów trwałych"/>
    <n v="62502000"/>
    <s v="62502000 Sprzedaz środków trwałych"/>
    <s v="Wynikowe"/>
    <n v="383.73"/>
    <n v="40.649999999999977"/>
    <n v="53700"/>
    <n v="24.389999999999418"/>
    <n v="0"/>
    <n v="0"/>
    <n v="56.910000000003492"/>
    <n v="16.260000000002037"/>
    <n v="105.68999999999505"/>
    <n v="1.6200000000026193"/>
    <n v="0"/>
    <n v="0"/>
    <n v="54329.25"/>
  </r>
  <r>
    <s v="Przychody"/>
    <x v="2"/>
    <s v="I. Zysk z tytułu rozchodu niefinansowych aktywów trwałych"/>
    <n v="62503000"/>
    <s v="62503000 Wartość sprzedanych środków trwałych"/>
    <s v="Wynikowe"/>
    <n v="0"/>
    <n v="0"/>
    <n v="-2541.4899999999998"/>
    <n v="0"/>
    <n v="0"/>
    <n v="0"/>
    <n v="0"/>
    <n v="0"/>
    <n v="0"/>
    <n v="0"/>
    <n v="0"/>
    <n v="0"/>
    <n v="-2541.4899999999998"/>
  </r>
  <r>
    <s v="Przychody"/>
    <x v="5"/>
    <s v="I. Dywidendy i udziały w zyskach, w tym:"/>
    <n v="64510000"/>
    <s v="64510000 Przychody finansowe - odsetki"/>
    <s v="Wynikowe"/>
    <n v="11.41"/>
    <n v="0"/>
    <n v="6.879999999999999"/>
    <n v="0"/>
    <n v="0"/>
    <n v="0"/>
    <n v="0"/>
    <n v="0"/>
    <n v="0"/>
    <n v="0"/>
    <n v="0"/>
    <n v="0"/>
    <n v="18.29"/>
  </r>
  <r>
    <s v="Koszty"/>
    <x v="4"/>
    <s v="I. Odsetki, w tym:"/>
    <n v="65016000"/>
    <s v="65016000 Odsetki od przeterminowanych zobowiązań"/>
    <s v="Wynikowe"/>
    <n v="-0.31"/>
    <n v="260.31"/>
    <n v="50.120000000000005"/>
    <n v="43.46999999999997"/>
    <n v="0.21000000000003638"/>
    <n v="100.21999999999997"/>
    <n v="112.92000000000007"/>
    <n v="-29.960000000000036"/>
    <n v="3.4399999999999409"/>
    <n v="0"/>
    <n v="0.16000000000008185"/>
    <n v="131"/>
    <n v="671.58"/>
  </r>
  <r>
    <s v="Koszty"/>
    <x v="4"/>
    <s v="IV. Inne"/>
    <n v="65528010"/>
    <s v="65528010 Zrealiz dodatnie różnice kursowe od należ"/>
    <s v="Wynikowe"/>
    <n v="0"/>
    <n v="-0.01"/>
    <n v="-1.9999999999999997E-2"/>
    <n v="0"/>
    <n v="0"/>
    <n v="0"/>
    <n v="0"/>
    <n v="0"/>
    <n v="0"/>
    <n v="0"/>
    <n v="0"/>
    <n v="0"/>
    <n v="-0.03"/>
  </r>
  <r>
    <s v="Koszty"/>
    <x v="4"/>
    <s v="IV. Inne"/>
    <n v="65528110"/>
    <s v="65528110 Zrealiz ujemne różnice kursowe od należ"/>
    <s v="Wynikowe"/>
    <n v="15.15"/>
    <n v="0"/>
    <n v="0"/>
    <n v="0"/>
    <n v="0"/>
    <n v="0"/>
    <n v="0"/>
    <n v="0"/>
    <n v="0"/>
    <n v="0"/>
    <n v="0"/>
    <n v="0"/>
    <n v="15.15"/>
  </r>
  <r>
    <s v="Koszty"/>
    <x v="6"/>
    <m/>
    <n v="70000000"/>
    <s v="70000000 Podatek dochodowy - bieżacy okres"/>
    <s v="Wynikowe"/>
    <n v="0"/>
    <n v="44113.25"/>
    <n v="43210.75"/>
    <n v="320688.27"/>
    <n v="43662"/>
    <n v="43662"/>
    <n v="43662"/>
    <n v="43662"/>
    <n v="287538.99"/>
    <n v="43662"/>
    <n v="43662"/>
    <n v="-798771.91"/>
    <n v="158751.34999999998"/>
  </r>
  <r>
    <s v="Koszty"/>
    <x v="4"/>
    <s v="IV. Inne"/>
    <n v="60500000"/>
    <s v="60500000 Niezrealiz dodatnie róż kurs od zabezp należ (TFx)"/>
    <s v="Wynikowe"/>
    <n v="0"/>
    <n v="0"/>
    <n v="0"/>
    <n v="0"/>
    <n v="0"/>
    <n v="0"/>
    <n v="0"/>
    <n v="0"/>
    <n v="0"/>
    <n v="0"/>
    <n v="0"/>
    <n v="-416.67"/>
    <n v="-416.67"/>
  </r>
  <r>
    <s v="Koszty"/>
    <x v="4"/>
    <s v="IV. Inne"/>
    <n v="60501000"/>
    <s v="60501000 Niezrealiz ujemne róż kurs od zabezp należ (TFx)"/>
    <s v="Wynikowe"/>
    <n v="0"/>
    <n v="0"/>
    <n v="0"/>
    <n v="0"/>
    <n v="0"/>
    <n v="0"/>
    <n v="0"/>
    <n v="0"/>
    <n v="0"/>
    <n v="0"/>
    <n v="0"/>
    <n v="130.12"/>
    <n v="130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886DC-E050-4977-B86D-7FE39792E2CF}" name="Tabela przestawna2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1" firstHeaderRow="1" firstDataRow="1" firstDataCol="1"/>
  <pivotFields count="19">
    <pivotField showAll="0"/>
    <pivotField axis="axisRow" showAll="0">
      <items count="8">
        <item x="0"/>
        <item x="1"/>
        <item x="2"/>
        <item x="3"/>
        <item x="5"/>
        <item x="4"/>
        <item x="6"/>
        <item t="default"/>
      </items>
    </pivotField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2025" fld="1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B6940-E356-4206-8335-B46174704445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3:H11" firstHeaderRow="1" firstDataRow="1" firstDataCol="1"/>
  <pivotFields count="19">
    <pivotField showAll="0"/>
    <pivotField axis="axisRow" showAll="0">
      <items count="8">
        <item x="0"/>
        <item x="2"/>
        <item x="1"/>
        <item x="3"/>
        <item x="5"/>
        <item x="4"/>
        <item x="6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dataField="1" numFmtId="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2024" fld="1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B503E-9579-4206-9E9C-CBFFFF68BE51}" name="Tabela przestawna3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2:B45" firstHeaderRow="1" firstDataRow="1" firstDataCol="1"/>
  <pivotFields count="24"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12">
        <item x="7"/>
        <item x="9"/>
        <item sd="0" x="0"/>
        <item sd="0" x="3"/>
        <item sd="0" x="1"/>
        <item sd="0" x="6"/>
        <item x="4"/>
        <item sd="0" x="5"/>
        <item sd="0" x="2"/>
        <item sd="0" x="8"/>
        <item sd="0" x="10"/>
        <item t="default" sd="0"/>
      </items>
    </pivotField>
    <pivotField axis="axisRow" showAll="0">
      <items count="20">
        <item x="9"/>
        <item x="13"/>
        <item x="10"/>
        <item x="6"/>
        <item x="17"/>
        <item x="1"/>
        <item x="3"/>
        <item x="8"/>
        <item x="11"/>
        <item x="2"/>
        <item x="16"/>
        <item x="0"/>
        <item x="5"/>
        <item x="4"/>
        <item x="12"/>
        <item x="15"/>
        <item x="14"/>
        <item x="7"/>
        <item x="18"/>
        <item t="default"/>
      </items>
    </pivotField>
    <pivotField axis="axisRow" showAll="0">
      <items count="17">
        <item x="12"/>
        <item x="5"/>
        <item x="1"/>
        <item x="8"/>
        <item x="13"/>
        <item x="10"/>
        <item x="6"/>
        <item x="2"/>
        <item x="4"/>
        <item x="14"/>
        <item x="3"/>
        <item x="9"/>
        <item x="15"/>
        <item x="7"/>
        <item x="0"/>
        <item x="1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5">
    <field x="1"/>
    <field x="2"/>
    <field x="3"/>
    <field x="4"/>
    <field x="5"/>
  </rowFields>
  <rowItems count="43">
    <i>
      <x/>
    </i>
    <i r="1">
      <x v="2"/>
    </i>
    <i r="1">
      <x v="4"/>
    </i>
    <i r="1">
      <x v="8"/>
    </i>
    <i>
      <x v="1"/>
    </i>
    <i r="1">
      <x v="3"/>
    </i>
    <i r="1">
      <x v="5"/>
    </i>
    <i r="1">
      <x v="7"/>
    </i>
    <i>
      <x v="2"/>
    </i>
    <i r="1">
      <x/>
    </i>
    <i r="2">
      <x/>
    </i>
    <i r="3">
      <x v="14"/>
    </i>
    <i r="4">
      <x v="2"/>
    </i>
    <i r="1">
      <x v="9"/>
    </i>
    <i r="1">
      <x v="10"/>
    </i>
    <i>
      <x v="3"/>
    </i>
    <i r="1">
      <x v="1"/>
    </i>
    <i r="2">
      <x v="4"/>
    </i>
    <i r="3">
      <x v="4"/>
    </i>
    <i r="4">
      <x v="2"/>
    </i>
    <i r="2">
      <x v="8"/>
    </i>
    <i r="3">
      <x/>
    </i>
    <i r="4">
      <x v="2"/>
    </i>
    <i r="2">
      <x v="14"/>
    </i>
    <i r="3">
      <x/>
    </i>
    <i r="4">
      <x v="2"/>
    </i>
    <i r="3">
      <x v="4"/>
    </i>
    <i r="4">
      <x v="2"/>
    </i>
    <i r="1">
      <x v="6"/>
    </i>
    <i r="2">
      <x v="12"/>
    </i>
    <i r="3">
      <x v="14"/>
    </i>
    <i r="4">
      <x v="2"/>
    </i>
    <i r="2">
      <x v="16"/>
    </i>
    <i r="3">
      <x v="12"/>
    </i>
    <i r="4">
      <x v="2"/>
    </i>
    <i r="2">
      <x v="17"/>
    </i>
    <i r="3">
      <x v="9"/>
    </i>
    <i r="4">
      <x/>
    </i>
    <i r="3">
      <x v="11"/>
    </i>
    <i r="4">
      <x v="2"/>
    </i>
    <i r="3">
      <x v="13"/>
    </i>
    <i r="4">
      <x v="2"/>
    </i>
    <i t="grand">
      <x/>
    </i>
  </rowItems>
  <colItems count="1">
    <i/>
  </colItems>
  <dataFields count="1">
    <dataField name="Suma z BZ" fld="21" baseField="0" baseItem="0" numFmtId="4"/>
  </dataFields>
  <formats count="2">
    <format dxfId="68">
      <pivotArea outline="0" collapsedLevelsAreSubtotals="1" fieldPosition="0"/>
    </format>
    <format dxfId="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F4894-8C22-40E6-970F-93B9EBBD8CC6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:F18" firstHeaderRow="1" firstDataRow="1" firstDataCol="1"/>
  <pivotFields count="24"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12">
        <item x="7"/>
        <item x="9"/>
        <item x="0"/>
        <item x="3"/>
        <item x="1"/>
        <item x="6"/>
        <item x="4"/>
        <item x="5"/>
        <item x="2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</pivotFields>
  <rowFields count="2">
    <field x="1"/>
    <field x="2"/>
  </rowFields>
  <rowItems count="16">
    <i>
      <x/>
    </i>
    <i r="1">
      <x v="2"/>
    </i>
    <i r="1">
      <x v="4"/>
    </i>
    <i r="1">
      <x v="8"/>
    </i>
    <i>
      <x v="1"/>
    </i>
    <i r="1">
      <x v="3"/>
    </i>
    <i r="1">
      <x v="5"/>
    </i>
    <i r="1">
      <x v="7"/>
    </i>
    <i>
      <x v="2"/>
    </i>
    <i r="1">
      <x/>
    </i>
    <i r="1">
      <x v="9"/>
    </i>
    <i r="1">
      <x v="10"/>
    </i>
    <i>
      <x v="3"/>
    </i>
    <i r="1">
      <x v="1"/>
    </i>
    <i r="1">
      <x v="6"/>
    </i>
    <i t="grand">
      <x/>
    </i>
  </rowItems>
  <colItems count="1">
    <i/>
  </colItems>
  <dataFields count="1">
    <dataField name="Suma z BZ" fld="2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43608-8B42-4CDB-B4F0-942F0B8B22BA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9" firstHeaderRow="1" firstDataRow="1" firstDataCol="1"/>
  <pivotFields count="24"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12">
        <item x="7"/>
        <item x="9"/>
        <item x="0"/>
        <item x="3"/>
        <item x="1"/>
        <item x="6"/>
        <item x="4"/>
        <item x="5"/>
        <item x="2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2"/>
  </rowFields>
  <rowItems count="16">
    <i>
      <x/>
    </i>
    <i r="1">
      <x v="2"/>
    </i>
    <i r="1">
      <x v="4"/>
    </i>
    <i r="1">
      <x v="8"/>
    </i>
    <i>
      <x v="1"/>
    </i>
    <i r="1">
      <x v="3"/>
    </i>
    <i r="1">
      <x v="5"/>
    </i>
    <i r="1">
      <x v="7"/>
    </i>
    <i>
      <x v="2"/>
    </i>
    <i r="1">
      <x/>
    </i>
    <i r="1">
      <x v="9"/>
    </i>
    <i r="1">
      <x v="10"/>
    </i>
    <i>
      <x v="3"/>
    </i>
    <i r="1">
      <x v="1"/>
    </i>
    <i r="1">
      <x v="6"/>
    </i>
    <i t="grand">
      <x/>
    </i>
  </rowItems>
  <colItems count="1">
    <i/>
  </colItems>
  <dataFields count="1">
    <dataField name="Suma z BZ" fld="21" baseField="0" baseItem="0" numFmtId="4"/>
  </dataFields>
  <formats count="2">
    <format dxfId="36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C06E2-06CC-4332-BBF8-0F43FD7081BC}" name="Tabela przestawna5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3:F19" firstHeaderRow="1" firstDataRow="1" firstDataCol="1"/>
  <pivotFields count="24"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12">
        <item x="7"/>
        <item x="9"/>
        <item x="0"/>
        <item x="3"/>
        <item x="1"/>
        <item x="6"/>
        <item x="4"/>
        <item x="5"/>
        <item x="2"/>
        <item x="8"/>
        <item x="10"/>
        <item t="default"/>
      </items>
    </pivotField>
    <pivotField showAll="0">
      <items count="18">
        <item sd="0" x="10"/>
        <item sd="0" x="4"/>
        <item sd="0" x="12"/>
        <item sd="0" x="7"/>
        <item sd="0" x="1"/>
        <item sd="0" x="3"/>
        <item sd="0" x="9"/>
        <item sd="0" x="13"/>
        <item sd="0" x="2"/>
        <item sd="0" x="0"/>
        <item sd="0" x="6"/>
        <item sd="0" x="5"/>
        <item sd="0" x="14"/>
        <item sd="0" x="11"/>
        <item sd="0" x="15"/>
        <item sd="0" x="8"/>
        <item sd="0" x="16"/>
        <item t="default" sd="0"/>
      </items>
    </pivotField>
    <pivotField showAll="0">
      <items count="17">
        <item x="12"/>
        <item x="5"/>
        <item x="1"/>
        <item x="8"/>
        <item x="13"/>
        <item x="10"/>
        <item x="6"/>
        <item x="11"/>
        <item x="2"/>
        <item x="4"/>
        <item x="15"/>
        <item x="3"/>
        <item x="9"/>
        <item x="14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2"/>
  </rowFields>
  <rowItems count="16">
    <i>
      <x/>
    </i>
    <i r="1">
      <x v="2"/>
    </i>
    <i r="1">
      <x v="4"/>
    </i>
    <i r="1">
      <x v="8"/>
    </i>
    <i>
      <x v="1"/>
    </i>
    <i r="1">
      <x v="3"/>
    </i>
    <i r="1">
      <x v="5"/>
    </i>
    <i r="1">
      <x v="7"/>
    </i>
    <i>
      <x v="2"/>
    </i>
    <i r="1">
      <x/>
    </i>
    <i r="1">
      <x v="9"/>
    </i>
    <i r="1">
      <x v="10"/>
    </i>
    <i>
      <x v="3"/>
    </i>
    <i r="1">
      <x v="1"/>
    </i>
    <i r="1">
      <x v="6"/>
    </i>
    <i t="grand">
      <x/>
    </i>
  </rowItems>
  <colItems count="1">
    <i/>
  </colItems>
  <dataFields count="1">
    <dataField name="Suma z BZ" fld="21" baseField="0" baseItem="0" numFmtId="4"/>
  </dataFields>
  <formats count="2">
    <format dxfId="38">
      <pivotArea outline="0" collapsedLevelsAreSubtotals="1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D33D8A-E676-4FAF-8721-9DAABFAE932C}" name="_25" displayName="_25" ref="A1:S111" totalsRowShown="0" headerRowDxfId="114" dataDxfId="112" headerRowBorderDxfId="113" tableBorderDxfId="111" headerRowCellStyle="Normal 2 2" dataCellStyle="Normal 2">
  <autoFilter ref="A1:S111" xr:uid="{72BC1630-32D7-4169-9179-5E4A333ABC9C}"/>
  <tableColumns count="19">
    <tableColumn id="1" xr3:uid="{5DD6B147-3DFF-42DA-97BE-EB15FA8EF796}" name="Rodzaj1" dataDxfId="110" dataCellStyle="Normal 2">
      <calculatedColumnFormula>IF(ISNUMBER(SEARCH("przychody",B2)),"Przychody","Koszty")</calculatedColumnFormula>
    </tableColumn>
    <tableColumn id="2" xr3:uid="{90B420DF-84C1-48D9-B026-654C718C0563}" name="Rodzaj2" dataDxfId="109" dataCellStyle="Normal 3 3"/>
    <tableColumn id="3" xr3:uid="{F9706268-C9E1-4855-A3B6-E177F26A9127}" name="Rodzaj3" dataDxfId="108" dataCellStyle="Normal 3 3"/>
    <tableColumn id="4" xr3:uid="{826D138C-B024-476B-9A17-D1ABFCD540F7}" name="Numer konta" dataDxfId="107"/>
    <tableColumn id="5" xr3:uid="{F8BA832B-F308-421B-AD8B-64AE4DEBB3FB}" name="Nazwa konta" dataDxfId="106"/>
    <tableColumn id="6" xr3:uid="{8E6716E2-CCCB-4437-9ED6-3C88861076B6}" name="Rodzaj konta_x000a_(bilansowe/wynikowe)" dataDxfId="105"/>
    <tableColumn id="7" xr3:uid="{EBA9F1CF-C759-460A-9B3D-5E27C2F663C8}" name="2025-01" dataDxfId="104" dataCellStyle="Normal 2"/>
    <tableColumn id="8" xr3:uid="{D30CEE6B-8A71-434A-8B36-10231EF83ACC}" name="2025-02" dataDxfId="103" dataCellStyle="Normal 2"/>
    <tableColumn id="9" xr3:uid="{E8717646-10D6-491F-BE39-7F081DBE1F02}" name="2025-03" dataDxfId="102" dataCellStyle="Normal 2"/>
    <tableColumn id="10" xr3:uid="{175E7B74-6160-4A78-8750-85789CA521F1}" name="2025-04" dataDxfId="101" dataCellStyle="Normal 2"/>
    <tableColumn id="11" xr3:uid="{BC06FB8E-641C-49BA-87F0-27D71944BDB8}" name="2025-05" dataDxfId="100" dataCellStyle="Normal 2"/>
    <tableColumn id="12" xr3:uid="{AC79B558-875F-4163-AD88-5A5272284C13}" name="2025-06" dataDxfId="99" dataCellStyle="Normal 2"/>
    <tableColumn id="13" xr3:uid="{266B8B8A-2B2A-43CA-BC19-4298E340B861}" name="2025-07" dataDxfId="98" dataCellStyle="Normal 2"/>
    <tableColumn id="14" xr3:uid="{D420EEFA-4F15-4D2E-B69A-5DBCB078199A}" name="2025-08" dataDxfId="97" dataCellStyle="Normal 2"/>
    <tableColumn id="15" xr3:uid="{BCCB7AC1-3F15-4C76-AA53-05434AFCB992}" name="2025-09" dataDxfId="96" dataCellStyle="Normal 2"/>
    <tableColumn id="16" xr3:uid="{AD94A204-6010-4EAD-927F-3803FE3451B6}" name="2025-10" dataDxfId="95" dataCellStyle="Normal 2"/>
    <tableColumn id="17" xr3:uid="{6677773E-BE1E-461A-ACBF-FE6B8067C86E}" name="2025-11" dataDxfId="94" dataCellStyle="Normal 2"/>
    <tableColumn id="18" xr3:uid="{4C48E1D2-CCB2-4A37-BBF9-FF2C98FCCAEF}" name="2025-12" dataDxfId="93" dataCellStyle="Normal 2"/>
    <tableColumn id="19" xr3:uid="{5B273D33-8F47-4E4B-96A9-69E9FA839381}" name="2025" dataDxfId="92" dataCellStyle="Normal 2">
      <calculatedColumnFormula>SUM(_25[[#This Row],[2025-01]:[2025-12]])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5AC6CD-E1BE-460A-BBF0-16644E193502}" name="_24" displayName="_24" ref="A2:S107" totalsRowShown="0" headerRowDxfId="91" dataDxfId="89" headerRowBorderDxfId="90" tableBorderDxfId="88" headerRowCellStyle="Normal 2 2">
  <autoFilter ref="A2:S107" xr:uid="{7982E09C-8BFF-40F2-A2B6-9343A1B3BF51}"/>
  <tableColumns count="19">
    <tableColumn id="1" xr3:uid="{3D095231-78BF-48F5-95BD-27C0CD59D3DD}" name="Rodzaj1" dataDxfId="87" dataCellStyle="Normal 2">
      <calculatedColumnFormula>IF(ISNUMBER(SEARCH("przychody",B3)),"Przychody","Koszty")</calculatedColumnFormula>
    </tableColumn>
    <tableColumn id="2" xr3:uid="{201F951B-12BA-4160-868A-319943D0E5D3}" name="Rodzaj2" dataDxfId="86"/>
    <tableColumn id="3" xr3:uid="{2928578A-EBBD-4E80-A6D8-F758E3996457}" name="Rodzaj3" dataDxfId="85">
      <calculatedColumnFormula>_xlfn.XLOOKUP(E3,'25 RZiS Zmapowane P+'!$E$2:$E$111,'25 RZiS Zmapowane P+'!$C$2:$C$111,0)</calculatedColumnFormula>
    </tableColumn>
    <tableColumn id="4" xr3:uid="{0878EB08-7ECC-44C7-AFA3-2048BEB81FF3}" name="Numer konta" dataDxfId="84"/>
    <tableColumn id="5" xr3:uid="{E9AF091D-F265-4A3A-9C87-277D4D26D924}" name="Nazwa konta" dataDxfId="83"/>
    <tableColumn id="6" xr3:uid="{4A5842B7-E0BD-4098-A4CF-1AC2C0B64D06}" name="Rodzaj konta_x000a_(bilansowe/wynikowe)" dataDxfId="82"/>
    <tableColumn id="7" xr3:uid="{8786988B-23C8-42C6-92CD-5AE1900CD3DF}" name="2024-01" dataDxfId="81"/>
    <tableColumn id="8" xr3:uid="{6038EBC1-6A2A-49D8-B7EA-32B6ECB1CB4D}" name="2024-02" dataDxfId="80"/>
    <tableColumn id="9" xr3:uid="{C4656298-504E-42A0-A3D2-352E71929C81}" name="2024-03" dataDxfId="79"/>
    <tableColumn id="10" xr3:uid="{04953F2F-F33F-4026-8010-BB2A044374B4}" name="2024-04" dataDxfId="78"/>
    <tableColumn id="11" xr3:uid="{494D9551-D787-4216-B235-DAECF98B6C17}" name="2024-05" dataDxfId="77"/>
    <tableColumn id="12" xr3:uid="{AB46440C-DDD6-4A41-94A2-4A5C5BC9E3B2}" name="2024-06" dataDxfId="76"/>
    <tableColumn id="13" xr3:uid="{85EDAC59-F2C1-4E1C-9525-2AAAAED4C137}" name="2024-07" dataDxfId="75"/>
    <tableColumn id="14" xr3:uid="{B37A65F0-BD6A-4E26-A5BD-6594546E6B58}" name="2024-08" dataDxfId="74"/>
    <tableColumn id="15" xr3:uid="{AE2F4AE4-6641-493E-9D1E-6C9A4922A7B7}" name="2024-09" dataDxfId="73"/>
    <tableColumn id="16" xr3:uid="{00D07719-B37B-4FED-B523-57F0D519C62A}" name="2024-10" dataDxfId="72"/>
    <tableColumn id="17" xr3:uid="{6658A4DE-DEA2-4C2F-B9E1-0F25B22BCC2D}" name="2024-11" dataDxfId="71"/>
    <tableColumn id="18" xr3:uid="{455A6C6C-9E37-410B-8A01-172EAA86827F}" name="2024-12" dataDxfId="70"/>
    <tableColumn id="19" xr3:uid="{59C234A1-7643-4DC8-B379-9D7B325A23CE}" name="2024" dataDxfId="69">
      <calculatedColumnFormula>SUM(_24[[#This Row],[2024-01]:[2024-12]])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7C80F1-EABC-47F2-8744-032F405E90C5}" name="_25B" displayName="_25B" ref="A1:X64" totalsRowShown="0" headerRowDxfId="66" dataDxfId="64" headerRowBorderDxfId="65" tableBorderDxfId="63" headerRowCellStyle="Normal 2 2" dataCellStyle="Normal 2">
  <autoFilter ref="A1:X64" xr:uid="{A2E6D911-7EA5-4C4B-9A48-34F32C72E092}"/>
  <tableColumns count="24">
    <tableColumn id="1" xr3:uid="{CD9A8B25-65E7-4875-AF53-124A14D04B0D}" name="Rodzaj1" dataDxfId="62" dataCellStyle="Normal 3 3">
      <calculatedColumnFormula>IF(ISNUMBER(SEARCH("aktywa",B2)),"Aktywa","Pasywa")</calculatedColumnFormula>
    </tableColumn>
    <tableColumn id="2" xr3:uid="{4241072C-9E0F-4B8D-BA61-A3E27A0035F8}" name="Rodzaj2" dataDxfId="61" dataCellStyle="Normal 3 3"/>
    <tableColumn id="3" xr3:uid="{33E2F1F3-CB01-40C9-BBBC-73E9208E8DBE}" name="Rodzaj3" dataDxfId="60" dataCellStyle="Normal 3 3"/>
    <tableColumn id="4" xr3:uid="{A54A5475-FB25-4A34-9EF9-5548910BAA33}" name="Rodzaj4" dataDxfId="59" dataCellStyle="Normal 3 3"/>
    <tableColumn id="5" xr3:uid="{C674BC2E-1F5D-422D-88B8-9714C4E0580A}" name="Rodzaj5" dataDxfId="58" dataCellStyle="Normal 3 3"/>
    <tableColumn id="6" xr3:uid="{9364677C-1EC3-49A7-8718-9B35CF98E7E9}" name="Rodzaj6" dataDxfId="57" dataCellStyle="Normal 3 3"/>
    <tableColumn id="7" xr3:uid="{2C2FC1BB-AFBC-4CCA-B4B9-BD26DE13460D}" name="Numer konta" dataDxfId="56"/>
    <tableColumn id="8" xr3:uid="{9A59349F-DA23-474E-98D2-1F4DA9FBB61B}" name="Nazwa konta" dataDxfId="55"/>
    <tableColumn id="9" xr3:uid="{A72A4F5A-79FD-4089-9104-BF3E76A33F4E}" name="Rodzaj konta_x000a_(bilansowe/wynikowe)" dataDxfId="54"/>
    <tableColumn id="10" xr3:uid="{568C213E-A6C1-4CE7-A6F0-8C3978521561}" name="2025-01" dataDxfId="53" dataCellStyle="Normal 2"/>
    <tableColumn id="11" xr3:uid="{5D307D5D-EB83-4FD3-8302-D5E81CF73DA2}" name="2025-02" dataDxfId="52" dataCellStyle="Normal 2"/>
    <tableColumn id="12" xr3:uid="{7DCF4FED-EBDB-4B06-85E7-9D23B5D3521F}" name="2025-03" dataDxfId="51" dataCellStyle="Normal 2"/>
    <tableColumn id="13" xr3:uid="{8EA7C7F4-6AE5-41C1-B139-E489819FE3F4}" name="2025-04" dataDxfId="50" dataCellStyle="Normal 2"/>
    <tableColumn id="14" xr3:uid="{F8BCDA47-4294-4C68-97C7-4C0979D90589}" name="2025-05" dataDxfId="49" dataCellStyle="Normal 2"/>
    <tableColumn id="15" xr3:uid="{E1F46F7C-5DE4-412E-8648-55B5C04D3405}" name="2025-06" dataDxfId="48" dataCellStyle="Normal 2"/>
    <tableColumn id="16" xr3:uid="{D04705A3-CAE7-4CB5-B315-ED834ED70910}" name="2025-07" dataDxfId="47" dataCellStyle="Normal 2"/>
    <tableColumn id="17" xr3:uid="{CB2444D6-A2E4-4BEC-9C0A-79D46455D0B6}" name="2025-08" dataDxfId="46" dataCellStyle="Normal 2"/>
    <tableColumn id="18" xr3:uid="{05B27A7A-8A40-434E-BB27-890B6064BAB1}" name="2025-09" dataDxfId="45" dataCellStyle="Normal 2"/>
    <tableColumn id="19" xr3:uid="{A35D77B6-C86C-4392-A6B8-C8B2F9D4F46A}" name="2025-10" dataDxfId="44" dataCellStyle="Normal 2"/>
    <tableColumn id="20" xr3:uid="{C484C58F-E5EB-4F64-86A8-D02663E6C515}" name="2025-11" dataDxfId="43" dataCellStyle="Normal 2"/>
    <tableColumn id="21" xr3:uid="{7CDD95B5-F169-4E4E-BC8F-C722C4BD00DE}" name="2025-12" dataDxfId="42" dataCellStyle="Normal 2"/>
    <tableColumn id="22" xr3:uid="{B540253B-E817-4375-B059-D94A1D5FB4E3}" name="BZ" dataDxfId="41" dataCellStyle="Normal 2"/>
    <tableColumn id="23" xr3:uid="{98E184ED-EEE0-4E77-BC3A-7C0E000DAA23}" name="BZ 2025" dataDxfId="40" dataCellStyle="Normal 2"/>
    <tableColumn id="24" xr3:uid="{DFF4C157-589A-4CA8-A2E4-ACDD260B4F53}" name="Check:" dataDxfId="39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255DA4-7267-437F-B15C-F1605E2EBF9B}" name="_24B" displayName="_24B" ref="A1:X61" totalsRowShown="0" headerRowDxfId="34" dataDxfId="32" headerRowBorderDxfId="33" tableBorderDxfId="31" headerRowCellStyle="Normal 2 2">
  <autoFilter ref="A1:X61" xr:uid="{C96D5E08-DE52-473D-A9AA-8CA2C004407E}"/>
  <tableColumns count="24">
    <tableColumn id="1" xr3:uid="{697BFDF9-8F6F-4028-A92E-A47B2ACE5DCF}" name="Rodzaj1" dataDxfId="30"/>
    <tableColumn id="2" xr3:uid="{9F144BEE-C7C1-4C3A-8D81-54B5F7F7FFCC}" name="Rodzaj2" dataDxfId="29"/>
    <tableColumn id="3" xr3:uid="{56B48168-DB16-4F06-91E3-2257C97FD539}" name="Rodzaj3" dataDxfId="28"/>
    <tableColumn id="4" xr3:uid="{3774D504-6FE1-4C22-B1E8-01F63996D4E9}" name="Rodzaj4" dataDxfId="27"/>
    <tableColumn id="5" xr3:uid="{28F258EF-6C75-42A7-8C57-5263F340EAE0}" name="Rodzaj5" dataDxfId="26"/>
    <tableColumn id="6" xr3:uid="{57A17B6E-FF58-4037-8971-C7EC703770E9}" name="Rodzaj6" dataDxfId="25"/>
    <tableColumn id="7" xr3:uid="{EA767BCB-186F-4B4B-8965-9444AC950CB4}" name="Numer konta" dataDxfId="24"/>
    <tableColumn id="8" xr3:uid="{F9600F8D-BF79-4104-BC20-4FD2CD7DBA3F}" name="Nazwa konta" dataDxfId="23"/>
    <tableColumn id="9" xr3:uid="{AF86E1C3-25AC-4D5E-AE50-EF32492A6C47}" name="Rodzaj konta_x000a_(bilansowe/wynikowe)" dataDxfId="22"/>
    <tableColumn id="10" xr3:uid="{7DBA955B-5772-41BD-AA9A-381C39292ABD}" name="2024-01" dataDxfId="21"/>
    <tableColumn id="11" xr3:uid="{06555844-A84E-459A-A785-10F295507526}" name="2024-02" dataDxfId="20"/>
    <tableColumn id="12" xr3:uid="{5B8225CF-8E6D-47DC-9F95-06525C092EF7}" name="2024-03" dataDxfId="19"/>
    <tableColumn id="13" xr3:uid="{154AAB4A-E10E-415E-934A-C9A1FC2F525E}" name="2024-04" dataDxfId="18"/>
    <tableColumn id="14" xr3:uid="{42967A84-12C9-40E2-8A80-5AAA99BBE701}" name="2024-05" dataDxfId="17"/>
    <tableColumn id="15" xr3:uid="{557CD7DF-5A76-4FB4-9C5B-0A460102D51F}" name="2024-06" dataDxfId="16"/>
    <tableColumn id="16" xr3:uid="{DAF2810B-3708-4156-9BB3-D7504A39DB06}" name="2024-07" dataDxfId="15"/>
    <tableColumn id="17" xr3:uid="{5BFA7919-5F62-42D1-8F87-C01AA9A78301}" name="2024-08" dataDxfId="14"/>
    <tableColumn id="18" xr3:uid="{B2E7097A-AADA-44E2-A4CF-9DC6ADB5E892}" name="2024-09" dataDxfId="13"/>
    <tableColumn id="19" xr3:uid="{50146019-A48D-418B-A5BD-443E1794EBD0}" name="2024-10" dataDxfId="12"/>
    <tableColumn id="20" xr3:uid="{F6D02F25-482A-4E43-8144-5514D54BA0FC}" name="2024-11" dataDxfId="11"/>
    <tableColumn id="21" xr3:uid="{688CF859-2677-4E4B-A721-336FB913B675}" name="2024-12" dataDxfId="10"/>
    <tableColumn id="22" xr3:uid="{F802583C-0212-4489-871C-2200992095A2}" name="BZ" dataDxfId="9"/>
    <tableColumn id="23" xr3:uid="{9D6F7B50-83BC-4D69-81D9-B4A20873E71F}" name="BZ 2024" dataDxfId="8" dataCellStyle="Normal 2"/>
    <tableColumn id="24" xr3:uid="{467074E4-913F-496C-BF72-05AC1C008984}" name="Check:" dataDxfId="7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9F5F-CC90-4DCD-B3BB-756D78FB7046}">
  <sheetPr>
    <tabColor rgb="FF7030A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6449-B919-41E3-81E0-0D03C2C208A7}">
  <sheetPr>
    <tabColor rgb="FF00B050"/>
  </sheetPr>
  <dimension ref="A3:H21"/>
  <sheetViews>
    <sheetView workbookViewId="0">
      <selection activeCell="E21" sqref="E21"/>
    </sheetView>
  </sheetViews>
  <sheetFormatPr defaultRowHeight="14.4" x14ac:dyDescent="0.3"/>
  <cols>
    <col min="1" max="1" width="48.6640625" bestFit="1" customWidth="1"/>
    <col min="2" max="2" width="12.44140625" bestFit="1" customWidth="1"/>
    <col min="7" max="7" width="48.6640625" bestFit="1" customWidth="1"/>
    <col min="8" max="8" width="12.44140625" bestFit="1" customWidth="1"/>
  </cols>
  <sheetData>
    <row r="3" spans="1:8" x14ac:dyDescent="0.3">
      <c r="A3" s="26" t="s">
        <v>229</v>
      </c>
      <c r="B3" t="s">
        <v>372</v>
      </c>
      <c r="G3" s="26" t="s">
        <v>229</v>
      </c>
      <c r="H3" t="s">
        <v>371</v>
      </c>
    </row>
    <row r="4" spans="1:8" x14ac:dyDescent="0.3">
      <c r="A4" s="27" t="s">
        <v>231</v>
      </c>
      <c r="B4" s="15">
        <v>22183111</v>
      </c>
      <c r="G4" s="27" t="s">
        <v>231</v>
      </c>
      <c r="H4" s="15">
        <v>21358215.120000001</v>
      </c>
    </row>
    <row r="5" spans="1:8" x14ac:dyDescent="0.3">
      <c r="A5" s="27" t="s">
        <v>232</v>
      </c>
      <c r="B5" s="15">
        <v>21801950.370000005</v>
      </c>
      <c r="G5" s="27" t="s">
        <v>232</v>
      </c>
      <c r="H5" s="15">
        <v>21107239.010000002</v>
      </c>
    </row>
    <row r="6" spans="1:8" x14ac:dyDescent="0.3">
      <c r="A6" s="27" t="s">
        <v>233</v>
      </c>
      <c r="B6" s="15">
        <v>126275.61</v>
      </c>
      <c r="G6" s="27" t="s">
        <v>233</v>
      </c>
      <c r="H6" s="15">
        <v>482321.98000000004</v>
      </c>
    </row>
    <row r="7" spans="1:8" x14ac:dyDescent="0.3">
      <c r="A7" s="27" t="s">
        <v>234</v>
      </c>
      <c r="B7" s="15">
        <v>18914.54</v>
      </c>
      <c r="G7" s="27" t="s">
        <v>234</v>
      </c>
      <c r="H7" s="15">
        <v>19294.28</v>
      </c>
    </row>
    <row r="8" spans="1:8" x14ac:dyDescent="0.3">
      <c r="A8" s="27" t="s">
        <v>235</v>
      </c>
      <c r="B8" s="15">
        <v>18.29</v>
      </c>
      <c r="G8" s="27" t="s">
        <v>235</v>
      </c>
      <c r="H8" s="15">
        <v>362.63</v>
      </c>
    </row>
    <row r="9" spans="1:8" x14ac:dyDescent="0.3">
      <c r="A9" s="27" t="s">
        <v>236</v>
      </c>
      <c r="B9" s="15">
        <v>5152.2999999999975</v>
      </c>
      <c r="G9" s="27" t="s">
        <v>236</v>
      </c>
      <c r="H9" s="15">
        <v>-5155.1100000000006</v>
      </c>
    </row>
    <row r="10" spans="1:8" x14ac:dyDescent="0.3">
      <c r="A10" s="27" t="s">
        <v>237</v>
      </c>
      <c r="B10" s="15">
        <v>158751.34999999998</v>
      </c>
      <c r="G10" s="27" t="s">
        <v>237</v>
      </c>
      <c r="H10" s="15">
        <v>377232.6100000001</v>
      </c>
    </row>
    <row r="11" spans="1:8" x14ac:dyDescent="0.3">
      <c r="A11" s="27" t="s">
        <v>230</v>
      </c>
      <c r="B11" s="15">
        <v>44294173.460000001</v>
      </c>
      <c r="G11" s="27" t="s">
        <v>230</v>
      </c>
      <c r="H11" s="15">
        <v>43339510.520000003</v>
      </c>
    </row>
    <row r="13" spans="1:8" x14ac:dyDescent="0.3">
      <c r="A13" s="27" t="s">
        <v>373</v>
      </c>
      <c r="B13" s="15">
        <f>B6+B4+B8-B5-B7-B9-B10</f>
        <v>324636.3399999938</v>
      </c>
      <c r="C13" s="15"/>
      <c r="D13" s="15"/>
      <c r="E13" s="15"/>
      <c r="F13" s="15"/>
      <c r="G13" s="27" t="s">
        <v>373</v>
      </c>
      <c r="H13" s="15">
        <f t="shared" ref="H13" si="0">H6+H4+H8-H5-H7-H9-H10</f>
        <v>342288.93999999866</v>
      </c>
    </row>
    <row r="14" spans="1:8" x14ac:dyDescent="0.3">
      <c r="A14" s="27" t="s">
        <v>374</v>
      </c>
      <c r="B14" s="15">
        <f>SUMIF('2025 ZOiS'!D:D,"Wynikowe",'2025 ZOiS'!Q:Q)</f>
        <v>-324636.34000001044</v>
      </c>
      <c r="G14" s="27" t="s">
        <v>374</v>
      </c>
      <c r="H14" s="15">
        <f>SUMIF('2024 ZOiS'!D:D,"Wynikowe",'2024 ZOiS'!Q:Q)</f>
        <v>342288.94000000774</v>
      </c>
    </row>
    <row r="15" spans="1:8" x14ac:dyDescent="0.3">
      <c r="B15" s="15">
        <f>B13+B14</f>
        <v>-1.6647391021251678E-8</v>
      </c>
      <c r="H15" s="15">
        <f>H13-H14</f>
        <v>-9.0803951025009155E-9</v>
      </c>
    </row>
    <row r="21" spans="5:5" x14ac:dyDescent="0.3">
      <c r="E21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1630-32D7-4169-9179-5E4A333ABC9C}">
  <sheetPr>
    <tabColor rgb="FF92D050"/>
  </sheetPr>
  <dimension ref="A1:T119"/>
  <sheetViews>
    <sheetView topLeftCell="D91" workbookViewId="0">
      <selection activeCell="E104" sqref="E104"/>
    </sheetView>
  </sheetViews>
  <sheetFormatPr defaultRowHeight="14.4" x14ac:dyDescent="0.3"/>
  <cols>
    <col min="1" max="1" width="8.5546875" customWidth="1"/>
    <col min="2" max="2" width="22.6640625" style="29" bestFit="1" customWidth="1"/>
    <col min="3" max="3" width="22.88671875" bestFit="1" customWidth="1"/>
    <col min="4" max="4" width="11.88671875" customWidth="1"/>
    <col min="5" max="5" width="42" bestFit="1" customWidth="1"/>
    <col min="6" max="6" width="10.33203125" bestFit="1" customWidth="1"/>
    <col min="7" max="7" width="12" bestFit="1" customWidth="1"/>
    <col min="8" max="8" width="11.44140625" bestFit="1" customWidth="1"/>
    <col min="9" max="9" width="9.109375" customWidth="1"/>
    <col min="10" max="10" width="11.33203125" bestFit="1" customWidth="1"/>
    <col min="11" max="11" width="9.33203125" customWidth="1"/>
    <col min="12" max="12" width="9" customWidth="1"/>
    <col min="14" max="15" width="9.21875" customWidth="1"/>
    <col min="16" max="16" width="11.33203125" bestFit="1" customWidth="1"/>
    <col min="17" max="18" width="9.109375" customWidth="1"/>
    <col min="19" max="19" width="9.88671875" bestFit="1" customWidth="1"/>
  </cols>
  <sheetData>
    <row r="1" spans="1:20" ht="31.2" thickBot="1" x14ac:dyDescent="0.35">
      <c r="A1" s="50" t="s">
        <v>226</v>
      </c>
      <c r="B1" s="50" t="s">
        <v>227</v>
      </c>
      <c r="C1" s="50" t="s">
        <v>241</v>
      </c>
      <c r="D1" s="35" t="s">
        <v>1</v>
      </c>
      <c r="E1" s="34" t="s">
        <v>2</v>
      </c>
      <c r="F1" s="50" t="s">
        <v>3</v>
      </c>
      <c r="G1" s="34" t="s">
        <v>295</v>
      </c>
      <c r="H1" s="34" t="s">
        <v>296</v>
      </c>
      <c r="I1" s="34" t="s">
        <v>297</v>
      </c>
      <c r="J1" s="34" t="s">
        <v>298</v>
      </c>
      <c r="K1" s="34" t="s">
        <v>299</v>
      </c>
      <c r="L1" s="34" t="s">
        <v>300</v>
      </c>
      <c r="M1" s="34" t="s">
        <v>301</v>
      </c>
      <c r="N1" s="34" t="s">
        <v>302</v>
      </c>
      <c r="O1" s="34" t="s">
        <v>303</v>
      </c>
      <c r="P1" s="34" t="s">
        <v>304</v>
      </c>
      <c r="Q1" s="34" t="s">
        <v>305</v>
      </c>
      <c r="R1" s="34" t="s">
        <v>306</v>
      </c>
      <c r="S1" s="38" t="s">
        <v>369</v>
      </c>
      <c r="T1">
        <v>-1</v>
      </c>
    </row>
    <row r="2" spans="1:20" ht="20.399999999999999" x14ac:dyDescent="0.3">
      <c r="A2" s="51" t="str">
        <f>IF(ISNUMBER(SEARCH("przychody",B2)),"Przychody","Koszty")</f>
        <v>Przychody</v>
      </c>
      <c r="B2" s="28" t="s">
        <v>231</v>
      </c>
      <c r="C2" s="28" t="s">
        <v>242</v>
      </c>
      <c r="D2" s="21">
        <v>45510000</v>
      </c>
      <c r="E2" s="52" t="s">
        <v>7</v>
      </c>
      <c r="F2" s="52" t="s">
        <v>8</v>
      </c>
      <c r="G2" s="9">
        <v>1877205</v>
      </c>
      <c r="H2" s="9">
        <v>1844622</v>
      </c>
      <c r="I2" s="9">
        <v>1802379</v>
      </c>
      <c r="J2" s="9">
        <v>1430181</v>
      </c>
      <c r="K2" s="9">
        <v>1741817</v>
      </c>
      <c r="L2" s="9">
        <v>1686073</v>
      </c>
      <c r="M2" s="9">
        <v>1733363</v>
      </c>
      <c r="N2" s="9">
        <v>1733363</v>
      </c>
      <c r="O2" s="9">
        <v>1733363</v>
      </c>
      <c r="P2" s="9">
        <v>1711660</v>
      </c>
      <c r="Q2" s="9">
        <v>1711660</v>
      </c>
      <c r="R2" s="9">
        <v>3177425</v>
      </c>
      <c r="S2" s="9">
        <f>SUM(_25[[#This Row],[2025-01]:[2025-12]])</f>
        <v>22183111</v>
      </c>
    </row>
    <row r="3" spans="1:20" ht="20.399999999999999" x14ac:dyDescent="0.3">
      <c r="A3" s="51" t="str">
        <f t="shared" ref="A3:A66" si="0">IF(ISNUMBER(SEARCH("przychody",B3)),"Przychody","Koszty")</f>
        <v>Przychody</v>
      </c>
      <c r="B3" s="28" t="s">
        <v>231</v>
      </c>
      <c r="C3" s="28" t="s">
        <v>242</v>
      </c>
      <c r="D3" s="21">
        <v>44000000</v>
      </c>
      <c r="E3" s="52" t="s">
        <v>9</v>
      </c>
      <c r="F3" s="52" t="s">
        <v>8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f>SUM(_25[[#This Row],[2025-01]:[2025-12]])</f>
        <v>0</v>
      </c>
    </row>
    <row r="4" spans="1:20" ht="20.399999999999999" x14ac:dyDescent="0.3">
      <c r="A4" s="51" t="str">
        <f t="shared" si="0"/>
        <v>Przychody</v>
      </c>
      <c r="B4" s="28" t="s">
        <v>231</v>
      </c>
      <c r="C4" s="28" t="s">
        <v>242</v>
      </c>
      <c r="D4" s="21">
        <v>44000005</v>
      </c>
      <c r="E4" s="52" t="s">
        <v>10</v>
      </c>
      <c r="F4" s="52" t="s">
        <v>8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f>SUM(_25[[#This Row],[2025-01]:[2025-12]])</f>
        <v>0</v>
      </c>
    </row>
    <row r="5" spans="1:20" ht="20.399999999999999" x14ac:dyDescent="0.3">
      <c r="A5" s="51" t="str">
        <f t="shared" si="0"/>
        <v>Przychody</v>
      </c>
      <c r="B5" s="28" t="s">
        <v>231</v>
      </c>
      <c r="C5" s="28" t="s">
        <v>242</v>
      </c>
      <c r="D5" s="21">
        <v>44006000</v>
      </c>
      <c r="E5" s="52" t="s">
        <v>11</v>
      </c>
      <c r="F5" s="52" t="s">
        <v>8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f>SUM(_25[[#This Row],[2025-01]:[2025-12]])</f>
        <v>0</v>
      </c>
    </row>
    <row r="6" spans="1:20" ht="20.399999999999999" x14ac:dyDescent="0.3">
      <c r="A6" s="51" t="str">
        <f t="shared" si="0"/>
        <v>Koszty</v>
      </c>
      <c r="B6" s="28" t="s">
        <v>232</v>
      </c>
      <c r="C6" s="28" t="s">
        <v>243</v>
      </c>
      <c r="D6" s="21">
        <v>61000000</v>
      </c>
      <c r="E6" s="52" t="s">
        <v>13</v>
      </c>
      <c r="F6" s="52" t="s">
        <v>8</v>
      </c>
      <c r="G6" s="9">
        <v>926.5</v>
      </c>
      <c r="H6" s="9">
        <v>926.5</v>
      </c>
      <c r="I6" s="9">
        <v>926.5</v>
      </c>
      <c r="J6" s="9">
        <v>926.5</v>
      </c>
      <c r="K6" s="9">
        <v>926.5</v>
      </c>
      <c r="L6" s="9">
        <v>926.5</v>
      </c>
      <c r="M6" s="9">
        <v>926.5</v>
      </c>
      <c r="N6" s="9">
        <v>926.5</v>
      </c>
      <c r="O6" s="9">
        <v>926.5</v>
      </c>
      <c r="P6" s="9">
        <v>926.5</v>
      </c>
      <c r="Q6" s="9">
        <v>926.5</v>
      </c>
      <c r="R6" s="9">
        <v>926.5</v>
      </c>
      <c r="S6" s="9">
        <f>SUM(_25[[#This Row],[2025-01]:[2025-12]])</f>
        <v>11118</v>
      </c>
    </row>
    <row r="7" spans="1:20" ht="20.399999999999999" x14ac:dyDescent="0.3">
      <c r="A7" s="51" t="str">
        <f t="shared" si="0"/>
        <v>Koszty</v>
      </c>
      <c r="B7" s="28" t="s">
        <v>232</v>
      </c>
      <c r="C7" s="28" t="str">
        <f t="shared" ref="C7:C11" si="1">C6</f>
        <v>I. Amortyzacja</v>
      </c>
      <c r="D7" s="21">
        <v>61502000</v>
      </c>
      <c r="E7" s="52" t="s">
        <v>14</v>
      </c>
      <c r="F7" s="52" t="s">
        <v>8</v>
      </c>
      <c r="G7" s="9">
        <v>17326.2</v>
      </c>
      <c r="H7" s="9">
        <v>17326.2</v>
      </c>
      <c r="I7" s="9">
        <v>17326.21</v>
      </c>
      <c r="J7" s="9">
        <v>17326.199999999997</v>
      </c>
      <c r="K7" s="9">
        <v>17326.199999999997</v>
      </c>
      <c r="L7" s="9">
        <v>17326.200000000012</v>
      </c>
      <c r="M7" s="9">
        <v>17326.199999999997</v>
      </c>
      <c r="N7" s="9">
        <v>17326.199999999983</v>
      </c>
      <c r="O7" s="9">
        <v>17326.210000000021</v>
      </c>
      <c r="P7" s="9">
        <v>17326.199999999983</v>
      </c>
      <c r="Q7" s="9">
        <v>17326.200000000012</v>
      </c>
      <c r="R7" s="9">
        <v>17326.200000000012</v>
      </c>
      <c r="S7" s="9">
        <f>SUM(_25[[#This Row],[2025-01]:[2025-12]])</f>
        <v>207914.42</v>
      </c>
    </row>
    <row r="8" spans="1:20" ht="20.399999999999999" x14ac:dyDescent="0.3">
      <c r="A8" s="51" t="str">
        <f t="shared" si="0"/>
        <v>Koszty</v>
      </c>
      <c r="B8" s="28" t="s">
        <v>232</v>
      </c>
      <c r="C8" s="28" t="str">
        <f t="shared" si="1"/>
        <v>I. Amortyzacja</v>
      </c>
      <c r="D8" s="21">
        <v>61504000</v>
      </c>
      <c r="E8" s="52" t="s">
        <v>15</v>
      </c>
      <c r="F8" s="52" t="s">
        <v>8</v>
      </c>
      <c r="G8" s="9">
        <v>313.45999999999998</v>
      </c>
      <c r="H8" s="9">
        <v>313.45</v>
      </c>
      <c r="I8" s="9">
        <v>313.46000000000004</v>
      </c>
      <c r="J8" s="9">
        <v>313.45999999999992</v>
      </c>
      <c r="K8" s="9">
        <v>6769.34</v>
      </c>
      <c r="L8" s="9">
        <v>1604.6399999999994</v>
      </c>
      <c r="M8" s="9">
        <v>1604.6400000000012</v>
      </c>
      <c r="N8" s="9">
        <v>1604.6299999999992</v>
      </c>
      <c r="O8" s="9">
        <v>1604.6399999999994</v>
      </c>
      <c r="P8" s="9">
        <v>1604.630000000001</v>
      </c>
      <c r="Q8" s="9">
        <v>1604.6299999999992</v>
      </c>
      <c r="R8" s="9">
        <v>1604.6399999999994</v>
      </c>
      <c r="S8" s="9">
        <f>SUM(_25[[#This Row],[2025-01]:[2025-12]])</f>
        <v>19255.62</v>
      </c>
    </row>
    <row r="9" spans="1:20" ht="20.399999999999999" x14ac:dyDescent="0.3">
      <c r="A9" s="51" t="str">
        <f t="shared" si="0"/>
        <v>Koszty</v>
      </c>
      <c r="B9" s="28" t="s">
        <v>232</v>
      </c>
      <c r="C9" s="28" t="str">
        <f t="shared" si="1"/>
        <v>I. Amortyzacja</v>
      </c>
      <c r="D9" s="21">
        <v>61508000</v>
      </c>
      <c r="E9" s="52" t="s">
        <v>16</v>
      </c>
      <c r="F9" s="52" t="s">
        <v>8</v>
      </c>
      <c r="G9" s="9">
        <v>10218.299999999999</v>
      </c>
      <c r="H9" s="9">
        <v>8464.7900000000009</v>
      </c>
      <c r="I9" s="9">
        <v>11588.150000000001</v>
      </c>
      <c r="J9" s="9">
        <v>24240.209999999995</v>
      </c>
      <c r="K9" s="9">
        <v>459</v>
      </c>
      <c r="L9" s="9">
        <v>0</v>
      </c>
      <c r="M9" s="9">
        <v>16357.330000000002</v>
      </c>
      <c r="N9" s="9">
        <v>579</v>
      </c>
      <c r="O9" s="9">
        <v>4146.3399999999965</v>
      </c>
      <c r="P9" s="9">
        <v>12895.39</v>
      </c>
      <c r="Q9" s="9">
        <v>2065.0400000000081</v>
      </c>
      <c r="R9" s="9">
        <v>11369.440000000002</v>
      </c>
      <c r="S9" s="9">
        <f>SUM(_25[[#This Row],[2025-01]:[2025-12]])</f>
        <v>102382.99</v>
      </c>
    </row>
    <row r="10" spans="1:20" ht="20.399999999999999" x14ac:dyDescent="0.3">
      <c r="A10" s="51" t="str">
        <f t="shared" si="0"/>
        <v>Koszty</v>
      </c>
      <c r="B10" s="28" t="s">
        <v>232</v>
      </c>
      <c r="C10" s="28" t="str">
        <f t="shared" si="1"/>
        <v>I. Amortyzacja</v>
      </c>
      <c r="D10" s="21">
        <v>61512000</v>
      </c>
      <c r="E10" s="52" t="s">
        <v>17</v>
      </c>
      <c r="F10" s="52" t="s">
        <v>8</v>
      </c>
      <c r="G10" s="9">
        <v>965.04</v>
      </c>
      <c r="H10" s="9">
        <v>1635.1</v>
      </c>
      <c r="I10" s="9">
        <v>3421.14</v>
      </c>
      <c r="J10" s="9">
        <v>18409.02</v>
      </c>
      <c r="K10" s="9">
        <v>1749.8100000000013</v>
      </c>
      <c r="L10" s="9">
        <v>1749.7999999999993</v>
      </c>
      <c r="M10" s="9">
        <v>3748.5099999999984</v>
      </c>
      <c r="N10" s="9">
        <v>1749.8100000000049</v>
      </c>
      <c r="O10" s="9">
        <v>1749.7999999999956</v>
      </c>
      <c r="P10" s="9">
        <v>4649.8000000000029</v>
      </c>
      <c r="Q10" s="9">
        <v>1749.7999999999956</v>
      </c>
      <c r="R10" s="9">
        <v>816.9800000000032</v>
      </c>
      <c r="S10" s="9">
        <f>SUM(_25[[#This Row],[2025-01]:[2025-12]])</f>
        <v>42394.61</v>
      </c>
    </row>
    <row r="11" spans="1:20" ht="20.399999999999999" x14ac:dyDescent="0.3">
      <c r="A11" s="51" t="str">
        <f t="shared" si="0"/>
        <v>Koszty</v>
      </c>
      <c r="B11" s="28" t="s">
        <v>232</v>
      </c>
      <c r="C11" s="28" t="str">
        <f t="shared" si="1"/>
        <v>I. Amortyzacja</v>
      </c>
      <c r="D11" s="21">
        <v>61518000</v>
      </c>
      <c r="E11" s="52" t="s">
        <v>18</v>
      </c>
      <c r="F11" s="52" t="s">
        <v>8</v>
      </c>
      <c r="G11" s="9">
        <v>16100.98</v>
      </c>
      <c r="H11" s="9">
        <v>16101</v>
      </c>
      <c r="I11" s="9">
        <v>16100.990000000002</v>
      </c>
      <c r="J11" s="9">
        <v>13559.440000000002</v>
      </c>
      <c r="K11" s="9">
        <v>8113.5199999999895</v>
      </c>
      <c r="L11" s="9">
        <v>6162.7700000000041</v>
      </c>
      <c r="M11" s="9">
        <v>6162.4499999999971</v>
      </c>
      <c r="N11" s="9">
        <v>6162.4600000000064</v>
      </c>
      <c r="O11" s="9">
        <v>6162.4799999999959</v>
      </c>
      <c r="P11" s="9">
        <v>6162.4700000000012</v>
      </c>
      <c r="Q11" s="9">
        <v>6162.4600000000064</v>
      </c>
      <c r="R11" s="9">
        <v>6162.4599999999919</v>
      </c>
      <c r="S11" s="9">
        <f>SUM(_25[[#This Row],[2025-01]:[2025-12]])</f>
        <v>113113.48</v>
      </c>
    </row>
    <row r="12" spans="1:20" ht="20.399999999999999" x14ac:dyDescent="0.3">
      <c r="A12" s="51" t="str">
        <f t="shared" si="0"/>
        <v>Koszty</v>
      </c>
      <c r="B12" s="28" t="s">
        <v>232</v>
      </c>
      <c r="C12" s="28" t="s">
        <v>244</v>
      </c>
      <c r="D12" s="21">
        <v>58502000</v>
      </c>
      <c r="E12" s="52" t="s">
        <v>20</v>
      </c>
      <c r="F12" s="52" t="s">
        <v>8</v>
      </c>
      <c r="G12" s="9">
        <v>4570.88</v>
      </c>
      <c r="H12" s="9">
        <v>4099.71</v>
      </c>
      <c r="I12" s="9">
        <v>4862.369999999999</v>
      </c>
      <c r="J12" s="9">
        <v>4987.16</v>
      </c>
      <c r="K12" s="9">
        <v>4558.32</v>
      </c>
      <c r="L12" s="9">
        <v>4744.18</v>
      </c>
      <c r="M12" s="9">
        <v>8241.3600000000042</v>
      </c>
      <c r="N12" s="9">
        <v>5397.1099999999933</v>
      </c>
      <c r="O12" s="9">
        <v>5554.3700000000026</v>
      </c>
      <c r="P12" s="9">
        <v>4288.7099999999991</v>
      </c>
      <c r="Q12" s="9">
        <v>5699.5299999999988</v>
      </c>
      <c r="R12" s="9">
        <v>5270.5500000000029</v>
      </c>
      <c r="S12" s="9">
        <f>SUM(_25[[#This Row],[2025-01]:[2025-12]])</f>
        <v>62274.25</v>
      </c>
    </row>
    <row r="13" spans="1:20" ht="20.399999999999999" x14ac:dyDescent="0.3">
      <c r="A13" s="51" t="str">
        <f t="shared" si="0"/>
        <v>Koszty</v>
      </c>
      <c r="B13" s="28" t="s">
        <v>232</v>
      </c>
      <c r="C13" s="28" t="str">
        <f t="shared" ref="C13:C19" si="2">C12</f>
        <v>II. Zużycie materiałów i energii</v>
      </c>
      <c r="D13" s="21">
        <v>58502001</v>
      </c>
      <c r="E13" s="52" t="s">
        <v>21</v>
      </c>
      <c r="F13" s="52" t="s">
        <v>8</v>
      </c>
      <c r="G13" s="9">
        <v>928.32</v>
      </c>
      <c r="H13" s="9">
        <v>1511.1599999999999</v>
      </c>
      <c r="I13" s="9">
        <v>1199.06</v>
      </c>
      <c r="J13" s="9">
        <v>1726</v>
      </c>
      <c r="K13" s="9">
        <v>844.52000000000044</v>
      </c>
      <c r="L13" s="9">
        <v>966.36999999999989</v>
      </c>
      <c r="M13" s="9">
        <v>-148.65999999999985</v>
      </c>
      <c r="N13" s="9">
        <v>1216.8199999999997</v>
      </c>
      <c r="O13" s="9">
        <v>1255.33</v>
      </c>
      <c r="P13" s="9">
        <v>1280.2000000000007</v>
      </c>
      <c r="Q13" s="9">
        <v>814.71999999999935</v>
      </c>
      <c r="R13" s="9">
        <v>1139.1800000000003</v>
      </c>
      <c r="S13" s="9">
        <f>SUM(_25[[#This Row],[2025-01]:[2025-12]])</f>
        <v>12733.02</v>
      </c>
    </row>
    <row r="14" spans="1:20" ht="20.399999999999999" x14ac:dyDescent="0.3">
      <c r="A14" s="51" t="str">
        <f t="shared" si="0"/>
        <v>Koszty</v>
      </c>
      <c r="B14" s="28" t="s">
        <v>232</v>
      </c>
      <c r="C14" s="28" t="str">
        <f t="shared" si="2"/>
        <v>II. Zużycie materiałów i energii</v>
      </c>
      <c r="D14" s="21">
        <v>58502002</v>
      </c>
      <c r="E14" s="52" t="s">
        <v>22</v>
      </c>
      <c r="F14" s="52" t="s">
        <v>8</v>
      </c>
      <c r="G14" s="9">
        <v>872.32</v>
      </c>
      <c r="H14" s="9">
        <v>5284.06</v>
      </c>
      <c r="I14" s="9">
        <v>2746.1099999999997</v>
      </c>
      <c r="J14" s="9">
        <v>10086.230000000001</v>
      </c>
      <c r="K14" s="9">
        <v>4947.5799999999981</v>
      </c>
      <c r="L14" s="9">
        <v>1981.7900000000009</v>
      </c>
      <c r="M14" s="9">
        <v>7500.2000000000007</v>
      </c>
      <c r="N14" s="9">
        <v>4769.1999999999971</v>
      </c>
      <c r="O14" s="9">
        <v>5214.3600000000006</v>
      </c>
      <c r="P14" s="9">
        <v>4125.6300000000047</v>
      </c>
      <c r="Q14" s="9">
        <v>5412.4399999999951</v>
      </c>
      <c r="R14" s="9">
        <v>4570.4100000000035</v>
      </c>
      <c r="S14" s="9">
        <f>SUM(_25[[#This Row],[2025-01]:[2025-12]])</f>
        <v>57510.33</v>
      </c>
    </row>
    <row r="15" spans="1:20" ht="20.399999999999999" x14ac:dyDescent="0.3">
      <c r="A15" s="51" t="str">
        <f t="shared" si="0"/>
        <v>Koszty</v>
      </c>
      <c r="B15" s="28" t="s">
        <v>232</v>
      </c>
      <c r="C15" s="28" t="str">
        <f t="shared" si="2"/>
        <v>II. Zużycie materiałów i energii</v>
      </c>
      <c r="D15" s="21">
        <v>58508000</v>
      </c>
      <c r="E15" s="52" t="s">
        <v>23</v>
      </c>
      <c r="F15" s="52" t="s">
        <v>8</v>
      </c>
      <c r="G15" s="9">
        <v>3888.21</v>
      </c>
      <c r="H15" s="9">
        <v>8046.53</v>
      </c>
      <c r="I15" s="9">
        <v>5925.51</v>
      </c>
      <c r="J15" s="9">
        <v>10591.79</v>
      </c>
      <c r="K15" s="9">
        <v>3481.3299999999981</v>
      </c>
      <c r="L15" s="9">
        <v>5980.0600000000013</v>
      </c>
      <c r="M15" s="9">
        <v>5804.8000000000029</v>
      </c>
      <c r="N15" s="9">
        <v>2975.6199999999953</v>
      </c>
      <c r="O15" s="9">
        <v>28115.140000000007</v>
      </c>
      <c r="P15" s="9">
        <v>3405.8099999999977</v>
      </c>
      <c r="Q15" s="9">
        <v>26075.619999999995</v>
      </c>
      <c r="R15" s="9">
        <v>5416.4600000000064</v>
      </c>
      <c r="S15" s="9">
        <f>SUM(_25[[#This Row],[2025-01]:[2025-12]])</f>
        <v>109706.88</v>
      </c>
    </row>
    <row r="16" spans="1:20" ht="20.399999999999999" x14ac:dyDescent="0.3">
      <c r="A16" s="51" t="str">
        <f t="shared" si="0"/>
        <v>Koszty</v>
      </c>
      <c r="B16" s="28" t="s">
        <v>232</v>
      </c>
      <c r="C16" s="28" t="str">
        <f t="shared" si="2"/>
        <v>II. Zużycie materiałów i energii</v>
      </c>
      <c r="D16" s="21">
        <v>58552002</v>
      </c>
      <c r="E16" s="52" t="s">
        <v>24</v>
      </c>
      <c r="F16" s="52" t="s">
        <v>8</v>
      </c>
      <c r="G16" s="9">
        <v>0</v>
      </c>
      <c r="H16" s="9">
        <v>13424.82</v>
      </c>
      <c r="I16" s="9">
        <v>13326.330000000002</v>
      </c>
      <c r="J16" s="9">
        <v>7673.3799999999974</v>
      </c>
      <c r="K16" s="9">
        <v>3423.1399999999994</v>
      </c>
      <c r="L16" s="9">
        <v>6973.5999999999985</v>
      </c>
      <c r="M16" s="9">
        <v>9473.0200000000041</v>
      </c>
      <c r="N16" s="9">
        <v>6485.6500000000015</v>
      </c>
      <c r="O16" s="9">
        <v>11046.429999999993</v>
      </c>
      <c r="P16" s="9">
        <v>8643.36</v>
      </c>
      <c r="Q16" s="9">
        <v>13399.64</v>
      </c>
      <c r="R16" s="9">
        <v>6568.6500000000087</v>
      </c>
      <c r="S16" s="9">
        <f>SUM(_25[[#This Row],[2025-01]:[2025-12]])</f>
        <v>100438.02</v>
      </c>
    </row>
    <row r="17" spans="1:19" ht="20.399999999999999" x14ac:dyDescent="0.3">
      <c r="A17" s="51" t="str">
        <f t="shared" si="0"/>
        <v>Koszty</v>
      </c>
      <c r="B17" s="28" t="s">
        <v>232</v>
      </c>
      <c r="C17" s="28" t="str">
        <f t="shared" si="2"/>
        <v>II. Zużycie materiałów i energii</v>
      </c>
      <c r="D17" s="21">
        <v>58552003</v>
      </c>
      <c r="E17" s="52" t="s">
        <v>25</v>
      </c>
      <c r="F17" s="52" t="s">
        <v>8</v>
      </c>
      <c r="G17" s="9">
        <v>0</v>
      </c>
      <c r="H17" s="9">
        <v>4474.9399999999996</v>
      </c>
      <c r="I17" s="9">
        <v>4442.1099999999997</v>
      </c>
      <c r="J17" s="9">
        <v>2557.7900000000009</v>
      </c>
      <c r="K17" s="9">
        <v>1141.0399999999991</v>
      </c>
      <c r="L17" s="9">
        <v>2324.5200000000004</v>
      </c>
      <c r="M17" s="9">
        <v>3157.6499999999996</v>
      </c>
      <c r="N17" s="9">
        <v>2161.8899999999994</v>
      </c>
      <c r="O17" s="9">
        <v>3701.6400000000031</v>
      </c>
      <c r="P17" s="9">
        <v>2861.5599999999977</v>
      </c>
      <c r="Q17" s="9">
        <v>4466.5299999999988</v>
      </c>
      <c r="R17" s="9">
        <v>2189.5400000000009</v>
      </c>
      <c r="S17" s="9">
        <f>SUM(_25[[#This Row],[2025-01]:[2025-12]])</f>
        <v>33479.21</v>
      </c>
    </row>
    <row r="18" spans="1:19" ht="20.399999999999999" x14ac:dyDescent="0.3">
      <c r="A18" s="51" t="str">
        <f t="shared" si="0"/>
        <v>Koszty</v>
      </c>
      <c r="B18" s="28" t="s">
        <v>232</v>
      </c>
      <c r="C18" s="28" t="str">
        <f t="shared" si="2"/>
        <v>II. Zużycie materiałów i energii</v>
      </c>
      <c r="D18" s="21">
        <v>58552005</v>
      </c>
      <c r="E18" s="52" t="s">
        <v>26</v>
      </c>
      <c r="F18" s="52" t="s">
        <v>8</v>
      </c>
      <c r="G18" s="9">
        <v>6578.88</v>
      </c>
      <c r="H18" s="9">
        <v>7894.13</v>
      </c>
      <c r="I18" s="9">
        <v>4979.2499999999982</v>
      </c>
      <c r="J18" s="9">
        <v>5105.1900000000023</v>
      </c>
      <c r="K18" s="9">
        <v>7660.3499999999985</v>
      </c>
      <c r="L18" s="9">
        <v>7622.119999999999</v>
      </c>
      <c r="M18" s="9">
        <v>6784.3300000000017</v>
      </c>
      <c r="N18" s="9">
        <v>3820.2699999999968</v>
      </c>
      <c r="O18" s="9">
        <v>4466.2300000000032</v>
      </c>
      <c r="P18" s="9">
        <v>13632.850000000006</v>
      </c>
      <c r="Q18" s="9">
        <v>6401.2599999999948</v>
      </c>
      <c r="R18" s="9">
        <v>9230.7200000000012</v>
      </c>
      <c r="S18" s="9">
        <f>SUM(_25[[#This Row],[2025-01]:[2025-12]])</f>
        <v>84175.58</v>
      </c>
    </row>
    <row r="19" spans="1:19" ht="20.399999999999999" x14ac:dyDescent="0.3">
      <c r="A19" s="51" t="str">
        <f t="shared" si="0"/>
        <v>Koszty</v>
      </c>
      <c r="B19" s="28" t="s">
        <v>232</v>
      </c>
      <c r="C19" s="28" t="str">
        <f t="shared" si="2"/>
        <v>II. Zużycie materiałów i energii</v>
      </c>
      <c r="D19" s="21">
        <v>58552025</v>
      </c>
      <c r="E19" s="52" t="s">
        <v>27</v>
      </c>
      <c r="F19" s="52" t="s">
        <v>8</v>
      </c>
      <c r="G19" s="9">
        <v>2138.84</v>
      </c>
      <c r="H19" s="9">
        <v>2975.96</v>
      </c>
      <c r="I19" s="9">
        <v>1659.7200000000003</v>
      </c>
      <c r="J19" s="9">
        <v>1701.7399999999998</v>
      </c>
      <c r="K19" s="9">
        <v>2563.4300000000003</v>
      </c>
      <c r="L19" s="9">
        <v>2740.6999999999989</v>
      </c>
      <c r="M19" s="9">
        <v>2261.41</v>
      </c>
      <c r="N19" s="9">
        <v>1273.4099999999999</v>
      </c>
      <c r="O19" s="9">
        <v>1554.2299999999996</v>
      </c>
      <c r="P19" s="9">
        <v>4895.93</v>
      </c>
      <c r="Q19" s="9">
        <v>2133.7100000000028</v>
      </c>
      <c r="R19" s="9">
        <v>3138.3399999999965</v>
      </c>
      <c r="S19" s="9">
        <f>SUM(_25[[#This Row],[2025-01]:[2025-12]])</f>
        <v>29037.42</v>
      </c>
    </row>
    <row r="20" spans="1:19" ht="20.399999999999999" x14ac:dyDescent="0.3">
      <c r="A20" s="51" t="str">
        <f t="shared" si="0"/>
        <v>Koszty</v>
      </c>
      <c r="B20" s="28" t="s">
        <v>232</v>
      </c>
      <c r="C20" s="28" t="s">
        <v>245</v>
      </c>
      <c r="D20" s="21">
        <v>53080000</v>
      </c>
      <c r="E20" s="52" t="s">
        <v>29</v>
      </c>
      <c r="F20" s="52" t="s">
        <v>8</v>
      </c>
      <c r="G20" s="9">
        <v>22.83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f>SUM(_25[[#This Row],[2025-01]:[2025-12]])</f>
        <v>22.83</v>
      </c>
    </row>
    <row r="21" spans="1:19" ht="20.399999999999999" x14ac:dyDescent="0.3">
      <c r="A21" s="51" t="str">
        <f t="shared" si="0"/>
        <v>Koszty</v>
      </c>
      <c r="B21" s="28" t="s">
        <v>232</v>
      </c>
      <c r="C21" s="28" t="str">
        <f t="shared" ref="C21:C26" si="3">C20</f>
        <v>III. Usługi obce</v>
      </c>
      <c r="D21" s="21">
        <v>58500000</v>
      </c>
      <c r="E21" s="52" t="s">
        <v>30</v>
      </c>
      <c r="F21" s="52" t="s">
        <v>8</v>
      </c>
      <c r="G21" s="9">
        <v>43618.17</v>
      </c>
      <c r="H21" s="9">
        <v>6220.0900000000038</v>
      </c>
      <c r="I21" s="9">
        <v>65139.98</v>
      </c>
      <c r="J21" s="9">
        <v>37383.83</v>
      </c>
      <c r="K21" s="9">
        <v>37738.789999999979</v>
      </c>
      <c r="L21" s="9">
        <v>36686.810000000027</v>
      </c>
      <c r="M21" s="9">
        <v>36794.100000000006</v>
      </c>
      <c r="N21" s="9">
        <v>36392.289999999979</v>
      </c>
      <c r="O21" s="9">
        <v>36321.900000000023</v>
      </c>
      <c r="P21" s="9">
        <v>37209.570000000007</v>
      </c>
      <c r="Q21" s="9">
        <v>37838.259999999951</v>
      </c>
      <c r="R21" s="9">
        <v>36875.410000000033</v>
      </c>
      <c r="S21" s="9">
        <f>SUM(_25[[#This Row],[2025-01]:[2025-12]])</f>
        <v>448219.2</v>
      </c>
    </row>
    <row r="22" spans="1:19" ht="20.399999999999999" x14ac:dyDescent="0.3">
      <c r="A22" s="51" t="str">
        <f t="shared" si="0"/>
        <v>Koszty</v>
      </c>
      <c r="B22" s="28" t="s">
        <v>232</v>
      </c>
      <c r="C22" s="28" t="str">
        <f t="shared" si="3"/>
        <v>III. Usługi obce</v>
      </c>
      <c r="D22" s="21">
        <v>58500010</v>
      </c>
      <c r="E22" s="52" t="s">
        <v>31</v>
      </c>
      <c r="F22" s="52" t="s">
        <v>8</v>
      </c>
      <c r="G22" s="9">
        <v>8194.9699999999993</v>
      </c>
      <c r="H22" s="9">
        <v>2573.17</v>
      </c>
      <c r="I22" s="9">
        <v>11589.29</v>
      </c>
      <c r="J22" s="9">
        <v>9158.130000000001</v>
      </c>
      <c r="K22" s="9">
        <v>9058.4900000000016</v>
      </c>
      <c r="L22" s="9">
        <v>7898.7699999999968</v>
      </c>
      <c r="M22" s="9">
        <v>8730.43</v>
      </c>
      <c r="N22" s="9">
        <v>8932.14</v>
      </c>
      <c r="O22" s="9">
        <v>8810.9700000000012</v>
      </c>
      <c r="P22" s="9">
        <v>8314.8199999999924</v>
      </c>
      <c r="Q22" s="9">
        <v>9074.4900000000052</v>
      </c>
      <c r="R22" s="9">
        <v>8581.9600000000064</v>
      </c>
      <c r="S22" s="9">
        <f>SUM(_25[[#This Row],[2025-01]:[2025-12]])</f>
        <v>100917.63</v>
      </c>
    </row>
    <row r="23" spans="1:19" ht="20.399999999999999" x14ac:dyDescent="0.3">
      <c r="A23" s="51" t="str">
        <f t="shared" si="0"/>
        <v>Koszty</v>
      </c>
      <c r="B23" s="28" t="s">
        <v>232</v>
      </c>
      <c r="C23" s="28" t="str">
        <f t="shared" si="3"/>
        <v>III. Usługi obce</v>
      </c>
      <c r="D23" s="21">
        <v>58502003</v>
      </c>
      <c r="E23" s="52" t="s">
        <v>32</v>
      </c>
      <c r="F23" s="52" t="s">
        <v>8</v>
      </c>
      <c r="G23" s="9">
        <v>1876.68</v>
      </c>
      <c r="H23" s="9">
        <v>1894.43</v>
      </c>
      <c r="I23" s="9">
        <v>1894.4299999999998</v>
      </c>
      <c r="J23" s="9">
        <v>2340.5</v>
      </c>
      <c r="K23" s="9">
        <v>2102.4900000000007</v>
      </c>
      <c r="L23" s="9">
        <v>2102.4899999999998</v>
      </c>
      <c r="M23" s="9">
        <v>2102.4899999999998</v>
      </c>
      <c r="N23" s="9">
        <v>2102.4899999999998</v>
      </c>
      <c r="O23" s="9">
        <v>2102.4900000000016</v>
      </c>
      <c r="P23" s="9">
        <v>2102.489999999998</v>
      </c>
      <c r="Q23" s="9">
        <v>2102.4900000000016</v>
      </c>
      <c r="R23" s="9">
        <v>2102.489999999998</v>
      </c>
      <c r="S23" s="9">
        <f>SUM(_25[[#This Row],[2025-01]:[2025-12]])</f>
        <v>24825.96</v>
      </c>
    </row>
    <row r="24" spans="1:19" ht="20.399999999999999" x14ac:dyDescent="0.3">
      <c r="A24" s="51" t="str">
        <f t="shared" si="0"/>
        <v>Koszty</v>
      </c>
      <c r="B24" s="28" t="s">
        <v>232</v>
      </c>
      <c r="C24" s="28" t="str">
        <f t="shared" si="3"/>
        <v>III. Usługi obce</v>
      </c>
      <c r="D24" s="21">
        <v>58504000</v>
      </c>
      <c r="E24" s="52" t="s">
        <v>33</v>
      </c>
      <c r="F24" s="52" t="s">
        <v>8</v>
      </c>
      <c r="G24" s="9">
        <v>2588.6799999999998</v>
      </c>
      <c r="H24" s="9">
        <v>1438.6800000000003</v>
      </c>
      <c r="I24" s="9">
        <v>1438.6799999999998</v>
      </c>
      <c r="J24" s="9">
        <v>1984.9800000000005</v>
      </c>
      <c r="K24" s="9">
        <v>2770.2099999999991</v>
      </c>
      <c r="L24" s="9">
        <v>3070.2100000000009</v>
      </c>
      <c r="M24" s="9">
        <v>1570.2099999999991</v>
      </c>
      <c r="N24" s="9">
        <v>1570.2100000000009</v>
      </c>
      <c r="O24" s="9">
        <v>1570.2099999999991</v>
      </c>
      <c r="P24" s="9">
        <v>1570.2099999999991</v>
      </c>
      <c r="Q24" s="9">
        <v>1570.2100000000028</v>
      </c>
      <c r="R24" s="9">
        <v>1570.2099999999991</v>
      </c>
      <c r="S24" s="9">
        <f>SUM(_25[[#This Row],[2025-01]:[2025-12]])</f>
        <v>22712.7</v>
      </c>
    </row>
    <row r="25" spans="1:19" ht="20.399999999999999" x14ac:dyDescent="0.3">
      <c r="A25" s="51" t="str">
        <f t="shared" si="0"/>
        <v>Koszty</v>
      </c>
      <c r="B25" s="28" t="s">
        <v>232</v>
      </c>
      <c r="C25" s="28" t="str">
        <f t="shared" si="3"/>
        <v>III. Usługi obce</v>
      </c>
      <c r="D25" s="21">
        <v>58504001</v>
      </c>
      <c r="E25" s="52" t="s">
        <v>34</v>
      </c>
      <c r="F25" s="52" t="s">
        <v>8</v>
      </c>
      <c r="G25" s="9">
        <v>14370.53</v>
      </c>
      <c r="H25" s="9">
        <v>3620.9600000000009</v>
      </c>
      <c r="I25" s="9">
        <v>18678.359999999997</v>
      </c>
      <c r="J25" s="9">
        <v>11848.599999999999</v>
      </c>
      <c r="K25" s="9">
        <v>20305.130000000005</v>
      </c>
      <c r="L25" s="9">
        <v>10875.580000000002</v>
      </c>
      <c r="M25" s="9">
        <v>14371.050000000003</v>
      </c>
      <c r="N25" s="9">
        <v>10492.939999999988</v>
      </c>
      <c r="O25" s="9">
        <v>13155.200000000012</v>
      </c>
      <c r="P25" s="9">
        <v>14632.729999999981</v>
      </c>
      <c r="Q25" s="9">
        <v>12723.920000000013</v>
      </c>
      <c r="R25" s="9">
        <v>12812.350000000006</v>
      </c>
      <c r="S25" s="9">
        <f>SUM(_25[[#This Row],[2025-01]:[2025-12]])</f>
        <v>157887.35</v>
      </c>
    </row>
    <row r="26" spans="1:19" ht="20.399999999999999" x14ac:dyDescent="0.3">
      <c r="A26" s="51" t="str">
        <f t="shared" si="0"/>
        <v>Koszty</v>
      </c>
      <c r="B26" s="28" t="s">
        <v>232</v>
      </c>
      <c r="C26" s="28" t="str">
        <f t="shared" si="3"/>
        <v>III. Usługi obce</v>
      </c>
      <c r="D26" s="21">
        <v>58504002</v>
      </c>
      <c r="E26" s="52" t="s">
        <v>35</v>
      </c>
      <c r="F26" s="52" t="s">
        <v>8</v>
      </c>
      <c r="G26" s="9">
        <v>8520.75</v>
      </c>
      <c r="H26" s="9">
        <v>1218.8600000000006</v>
      </c>
      <c r="I26" s="9">
        <v>8818.86</v>
      </c>
      <c r="J26" s="9">
        <v>8292.6999999999971</v>
      </c>
      <c r="K26" s="9">
        <v>6702.4199999999983</v>
      </c>
      <c r="L26" s="9">
        <v>8542.4200000000055</v>
      </c>
      <c r="M26" s="9">
        <v>9100.5299999999988</v>
      </c>
      <c r="N26" s="9">
        <v>8504.3099999999977</v>
      </c>
      <c r="O26" s="9">
        <v>9100.5300000000061</v>
      </c>
      <c r="P26" s="9">
        <v>8504.3099999999977</v>
      </c>
      <c r="Q26" s="9">
        <v>8802.4199999999983</v>
      </c>
      <c r="R26" s="9">
        <v>16700.53</v>
      </c>
      <c r="S26" s="9">
        <f>SUM(_25[[#This Row],[2025-01]:[2025-12]])</f>
        <v>102808.64</v>
      </c>
    </row>
    <row r="27" spans="1:19" ht="20.399999999999999" x14ac:dyDescent="0.3">
      <c r="A27" s="51" t="str">
        <f t="shared" si="0"/>
        <v>Koszty</v>
      </c>
      <c r="B27" s="28" t="s">
        <v>232</v>
      </c>
      <c r="C27" s="28" t="s">
        <v>246</v>
      </c>
      <c r="D27" s="21">
        <v>58506000</v>
      </c>
      <c r="E27" s="52" t="s">
        <v>36</v>
      </c>
      <c r="F27" s="52" t="s">
        <v>8</v>
      </c>
      <c r="G27" s="9">
        <v>0</v>
      </c>
      <c r="H27" s="9">
        <v>33385</v>
      </c>
      <c r="I27" s="9">
        <v>1</v>
      </c>
      <c r="J27" s="9">
        <v>0</v>
      </c>
      <c r="K27" s="9">
        <v>0</v>
      </c>
      <c r="L27" s="9">
        <v>3</v>
      </c>
      <c r="M27" s="9">
        <v>350</v>
      </c>
      <c r="N27" s="9">
        <v>1</v>
      </c>
      <c r="O27" s="9">
        <v>192</v>
      </c>
      <c r="P27" s="9">
        <v>900</v>
      </c>
      <c r="Q27" s="9">
        <v>-900</v>
      </c>
      <c r="R27" s="9">
        <v>0</v>
      </c>
      <c r="S27" s="9">
        <f>SUM(_25[[#This Row],[2025-01]:[2025-12]])</f>
        <v>33932</v>
      </c>
    </row>
    <row r="28" spans="1:19" ht="20.399999999999999" x14ac:dyDescent="0.3">
      <c r="A28" s="51" t="str">
        <f t="shared" si="0"/>
        <v>Koszty</v>
      </c>
      <c r="B28" s="28" t="s">
        <v>232</v>
      </c>
      <c r="C28" s="28" t="s">
        <v>245</v>
      </c>
      <c r="D28" s="21">
        <v>58506001</v>
      </c>
      <c r="E28" s="52" t="s">
        <v>37</v>
      </c>
      <c r="F28" s="52" t="s">
        <v>8</v>
      </c>
      <c r="G28" s="9">
        <v>28945.74</v>
      </c>
      <c r="H28" s="9">
        <v>4579.9999999999964</v>
      </c>
      <c r="I28" s="9">
        <v>9520</v>
      </c>
      <c r="J28" s="9">
        <v>4100</v>
      </c>
      <c r="K28" s="9">
        <v>3500</v>
      </c>
      <c r="L28" s="9">
        <v>3500</v>
      </c>
      <c r="M28" s="9">
        <v>3980</v>
      </c>
      <c r="N28" s="9">
        <v>3500</v>
      </c>
      <c r="O28" s="9">
        <v>3500</v>
      </c>
      <c r="P28" s="9">
        <v>3500.0000000000073</v>
      </c>
      <c r="Q28" s="9">
        <v>4160</v>
      </c>
      <c r="R28" s="9">
        <v>3740</v>
      </c>
      <c r="S28" s="9">
        <f>SUM(_25[[#This Row],[2025-01]:[2025-12]])</f>
        <v>76525.740000000005</v>
      </c>
    </row>
    <row r="29" spans="1:19" ht="20.399999999999999" x14ac:dyDescent="0.3">
      <c r="A29" s="51" t="str">
        <f t="shared" si="0"/>
        <v>Koszty</v>
      </c>
      <c r="B29" s="28" t="s">
        <v>232</v>
      </c>
      <c r="C29" s="28" t="str">
        <f t="shared" ref="C29:C49" si="4">C28</f>
        <v>III. Usługi obce</v>
      </c>
      <c r="D29" s="21">
        <v>58506003</v>
      </c>
      <c r="E29" s="52" t="s">
        <v>38</v>
      </c>
      <c r="F29" s="52" t="s">
        <v>8</v>
      </c>
      <c r="G29" s="9">
        <v>0</v>
      </c>
      <c r="H29" s="9">
        <v>12267.4</v>
      </c>
      <c r="I29" s="9">
        <v>12302.38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5020</v>
      </c>
      <c r="P29" s="9">
        <v>0</v>
      </c>
      <c r="Q29" s="9">
        <v>0</v>
      </c>
      <c r="R29" s="9">
        <v>24800</v>
      </c>
      <c r="S29" s="9">
        <f>SUM(_25[[#This Row],[2025-01]:[2025-12]])</f>
        <v>54389.78</v>
      </c>
    </row>
    <row r="30" spans="1:19" ht="20.399999999999999" x14ac:dyDescent="0.3">
      <c r="A30" s="51" t="str">
        <f t="shared" si="0"/>
        <v>Koszty</v>
      </c>
      <c r="B30" s="28" t="s">
        <v>232</v>
      </c>
      <c r="C30" s="28" t="str">
        <f t="shared" si="4"/>
        <v>III. Usługi obce</v>
      </c>
      <c r="D30" s="21">
        <v>58506004</v>
      </c>
      <c r="E30" s="52" t="s">
        <v>39</v>
      </c>
      <c r="F30" s="52" t="s">
        <v>8</v>
      </c>
      <c r="G30" s="9">
        <v>0</v>
      </c>
      <c r="H30" s="9">
        <v>0</v>
      </c>
      <c r="I30" s="9">
        <v>0</v>
      </c>
      <c r="J30" s="9">
        <v>41544.949999999997</v>
      </c>
      <c r="K30" s="9">
        <v>0</v>
      </c>
      <c r="L30" s="9">
        <v>0</v>
      </c>
      <c r="M30" s="9">
        <v>80044.84</v>
      </c>
      <c r="N30" s="9">
        <v>0</v>
      </c>
      <c r="O30" s="9">
        <v>24470.60000000002</v>
      </c>
      <c r="P30" s="9">
        <v>0</v>
      </c>
      <c r="Q30" s="9">
        <v>22658.129999999976</v>
      </c>
      <c r="R30" s="9">
        <v>15496.600000000006</v>
      </c>
      <c r="S30" s="9">
        <f>SUM(_25[[#This Row],[2025-01]:[2025-12]])</f>
        <v>184215.12</v>
      </c>
    </row>
    <row r="31" spans="1:19" ht="20.399999999999999" x14ac:dyDescent="0.3">
      <c r="A31" s="51" t="str">
        <f t="shared" si="0"/>
        <v>Koszty</v>
      </c>
      <c r="B31" s="28" t="s">
        <v>232</v>
      </c>
      <c r="C31" s="28" t="str">
        <f t="shared" si="4"/>
        <v>III. Usługi obce</v>
      </c>
      <c r="D31" s="21">
        <v>58506006</v>
      </c>
      <c r="E31" s="52" t="s">
        <v>40</v>
      </c>
      <c r="F31" s="52" t="s">
        <v>8</v>
      </c>
      <c r="G31" s="9">
        <v>6232.2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499</v>
      </c>
      <c r="O31" s="9">
        <v>0</v>
      </c>
      <c r="P31" s="9">
        <v>0</v>
      </c>
      <c r="Q31" s="9">
        <v>0</v>
      </c>
      <c r="R31" s="9">
        <v>0</v>
      </c>
      <c r="S31" s="9">
        <f>SUM(_25[[#This Row],[2025-01]:[2025-12]])</f>
        <v>6731.2</v>
      </c>
    </row>
    <row r="32" spans="1:19" ht="20.399999999999999" x14ac:dyDescent="0.3">
      <c r="A32" s="51" t="str">
        <f t="shared" si="0"/>
        <v>Koszty</v>
      </c>
      <c r="B32" s="28" t="s">
        <v>232</v>
      </c>
      <c r="C32" s="28" t="str">
        <f t="shared" si="4"/>
        <v>III. Usługi obce</v>
      </c>
      <c r="D32" s="21">
        <v>58507000</v>
      </c>
      <c r="E32" s="52" t="s">
        <v>41</v>
      </c>
      <c r="F32" s="52" t="s">
        <v>8</v>
      </c>
      <c r="G32" s="9">
        <v>2011</v>
      </c>
      <c r="H32" s="9">
        <v>1985.88</v>
      </c>
      <c r="I32" s="9">
        <v>1529.17</v>
      </c>
      <c r="J32" s="9">
        <v>1038.8000000000002</v>
      </c>
      <c r="K32" s="9">
        <v>6022.7999999999993</v>
      </c>
      <c r="L32" s="9">
        <v>4702.3999999999996</v>
      </c>
      <c r="M32" s="9">
        <v>25.950000000000728</v>
      </c>
      <c r="N32" s="9">
        <v>866.40000000000146</v>
      </c>
      <c r="O32" s="9">
        <v>3533.7999999999993</v>
      </c>
      <c r="P32" s="9">
        <v>1863.8499999999985</v>
      </c>
      <c r="Q32" s="9">
        <v>312.45999999999913</v>
      </c>
      <c r="R32" s="9">
        <v>2305.9000000000015</v>
      </c>
      <c r="S32" s="9">
        <f>SUM(_25[[#This Row],[2025-01]:[2025-12]])</f>
        <v>26198.41</v>
      </c>
    </row>
    <row r="33" spans="1:19" ht="20.399999999999999" x14ac:dyDescent="0.3">
      <c r="A33" s="51" t="str">
        <f t="shared" si="0"/>
        <v>Koszty</v>
      </c>
      <c r="B33" s="28" t="s">
        <v>232</v>
      </c>
      <c r="C33" s="28" t="str">
        <f t="shared" si="4"/>
        <v>III. Usługi obce</v>
      </c>
      <c r="D33" s="21">
        <v>58507001</v>
      </c>
      <c r="E33" s="52" t="s">
        <v>42</v>
      </c>
      <c r="F33" s="52" t="s">
        <v>8</v>
      </c>
      <c r="G33" s="9">
        <v>0</v>
      </c>
      <c r="H33" s="9">
        <v>0</v>
      </c>
      <c r="I33" s="9">
        <v>1755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147</v>
      </c>
      <c r="Q33" s="9">
        <v>0</v>
      </c>
      <c r="R33" s="9">
        <v>0</v>
      </c>
      <c r="S33" s="9">
        <f>SUM(_25[[#This Row],[2025-01]:[2025-12]])</f>
        <v>1902</v>
      </c>
    </row>
    <row r="34" spans="1:19" ht="20.399999999999999" x14ac:dyDescent="0.3">
      <c r="A34" s="51" t="str">
        <f t="shared" si="0"/>
        <v>Koszty</v>
      </c>
      <c r="B34" s="28" t="s">
        <v>232</v>
      </c>
      <c r="C34" s="28" t="str">
        <f t="shared" si="4"/>
        <v>III. Usługi obce</v>
      </c>
      <c r="D34" s="21">
        <v>58521000</v>
      </c>
      <c r="E34" s="52" t="s">
        <v>43</v>
      </c>
      <c r="F34" s="52" t="s">
        <v>8</v>
      </c>
      <c r="G34" s="9">
        <v>5551.22</v>
      </c>
      <c r="H34" s="9">
        <v>4237.8399999999992</v>
      </c>
      <c r="I34" s="9">
        <v>4189.3700000000008</v>
      </c>
      <c r="J34" s="9">
        <v>4301.6899999999987</v>
      </c>
      <c r="K34" s="9">
        <v>4306.5</v>
      </c>
      <c r="L34" s="9">
        <v>4199.25</v>
      </c>
      <c r="M34" s="9">
        <v>4188.0800000000017</v>
      </c>
      <c r="N34" s="9">
        <v>4320.84</v>
      </c>
      <c r="O34" s="9">
        <v>4167.2900000000009</v>
      </c>
      <c r="P34" s="9">
        <v>4213.2699999999968</v>
      </c>
      <c r="Q34" s="9">
        <v>4302.2200000000012</v>
      </c>
      <c r="R34" s="9">
        <v>4548.9599999999991</v>
      </c>
      <c r="S34" s="9">
        <f>SUM(_25[[#This Row],[2025-01]:[2025-12]])</f>
        <v>52526.53</v>
      </c>
    </row>
    <row r="35" spans="1:19" ht="20.399999999999999" x14ac:dyDescent="0.3">
      <c r="A35" s="51" t="str">
        <f t="shared" si="0"/>
        <v>Koszty</v>
      </c>
      <c r="B35" s="28" t="s">
        <v>232</v>
      </c>
      <c r="C35" s="28" t="str">
        <f t="shared" si="4"/>
        <v>III. Usługi obce</v>
      </c>
      <c r="D35" s="21">
        <v>58522000</v>
      </c>
      <c r="E35" s="52" t="s">
        <v>44</v>
      </c>
      <c r="F35" s="52" t="s">
        <v>8</v>
      </c>
      <c r="G35" s="9">
        <v>1882.58</v>
      </c>
      <c r="H35" s="9">
        <v>3244.0200000000004</v>
      </c>
      <c r="I35" s="9">
        <v>1787.7799999999997</v>
      </c>
      <c r="J35" s="9">
        <v>1568.1799999999994</v>
      </c>
      <c r="K35" s="9">
        <v>1232.58</v>
      </c>
      <c r="L35" s="9">
        <v>1224.0200000000004</v>
      </c>
      <c r="M35" s="9">
        <v>360.21999999999935</v>
      </c>
      <c r="N35" s="9">
        <v>2063.5500000000011</v>
      </c>
      <c r="O35" s="9">
        <v>1459.83</v>
      </c>
      <c r="P35" s="9">
        <v>1478.3999999999996</v>
      </c>
      <c r="Q35" s="9">
        <v>1142.8199999999997</v>
      </c>
      <c r="R35" s="9">
        <v>1147.7900000000009</v>
      </c>
      <c r="S35" s="9">
        <f>SUM(_25[[#This Row],[2025-01]:[2025-12]])</f>
        <v>18591.77</v>
      </c>
    </row>
    <row r="36" spans="1:19" ht="20.399999999999999" x14ac:dyDescent="0.3">
      <c r="A36" s="51" t="str">
        <f t="shared" si="0"/>
        <v>Koszty</v>
      </c>
      <c r="B36" s="28" t="s">
        <v>232</v>
      </c>
      <c r="C36" s="28" t="str">
        <f t="shared" si="4"/>
        <v>III. Usługi obce</v>
      </c>
      <c r="D36" s="21">
        <v>58525000</v>
      </c>
      <c r="E36" s="52" t="s">
        <v>45</v>
      </c>
      <c r="F36" s="52" t="s">
        <v>8</v>
      </c>
      <c r="G36" s="9">
        <v>1950</v>
      </c>
      <c r="H36" s="9">
        <v>0</v>
      </c>
      <c r="I36" s="9">
        <v>4519.99</v>
      </c>
      <c r="J36" s="9">
        <v>2329.9899999999998</v>
      </c>
      <c r="K36" s="9">
        <v>2329.9899999999998</v>
      </c>
      <c r="L36" s="9">
        <v>2190</v>
      </c>
      <c r="M36" s="9">
        <v>2190</v>
      </c>
      <c r="N36" s="9">
        <v>2190.0000000000018</v>
      </c>
      <c r="O36" s="9">
        <v>2190</v>
      </c>
      <c r="P36" s="9">
        <v>2190</v>
      </c>
      <c r="Q36" s="9">
        <v>2190</v>
      </c>
      <c r="R36" s="9">
        <v>2430</v>
      </c>
      <c r="S36" s="9">
        <f>SUM(_25[[#This Row],[2025-01]:[2025-12]])</f>
        <v>26699.97</v>
      </c>
    </row>
    <row r="37" spans="1:19" ht="20.399999999999999" x14ac:dyDescent="0.3">
      <c r="A37" s="51" t="str">
        <f t="shared" si="0"/>
        <v>Koszty</v>
      </c>
      <c r="B37" s="28" t="s">
        <v>232</v>
      </c>
      <c r="C37" s="28" t="str">
        <f t="shared" si="4"/>
        <v>III. Usługi obce</v>
      </c>
      <c r="D37" s="21">
        <v>58527000</v>
      </c>
      <c r="E37" s="52" t="s">
        <v>46</v>
      </c>
      <c r="F37" s="52" t="s">
        <v>8</v>
      </c>
      <c r="G37" s="9">
        <v>1483.23</v>
      </c>
      <c r="H37" s="9">
        <v>2603.4299999999998</v>
      </c>
      <c r="I37" s="9">
        <v>-1191.9699999999998</v>
      </c>
      <c r="J37" s="9">
        <v>1153.83</v>
      </c>
      <c r="K37" s="9">
        <v>1127.3300000000004</v>
      </c>
      <c r="L37" s="9">
        <v>1485.0499999999993</v>
      </c>
      <c r="M37" s="9">
        <v>2146.3999999999996</v>
      </c>
      <c r="N37" s="9">
        <v>1513.8500000000004</v>
      </c>
      <c r="O37" s="9">
        <v>1259.5599999999995</v>
      </c>
      <c r="P37" s="9">
        <v>1010.2200000000012</v>
      </c>
      <c r="Q37" s="9">
        <v>1281.6800000000003</v>
      </c>
      <c r="R37" s="9">
        <v>5077.3099999999977</v>
      </c>
      <c r="S37" s="9">
        <f>SUM(_25[[#This Row],[2025-01]:[2025-12]])</f>
        <v>18949.919999999998</v>
      </c>
    </row>
    <row r="38" spans="1:19" ht="20.399999999999999" x14ac:dyDescent="0.3">
      <c r="A38" s="51" t="str">
        <f t="shared" si="0"/>
        <v>Koszty</v>
      </c>
      <c r="B38" s="28" t="s">
        <v>232</v>
      </c>
      <c r="C38" s="28" t="str">
        <f t="shared" si="4"/>
        <v>III. Usługi obce</v>
      </c>
      <c r="D38" s="21">
        <v>58530200</v>
      </c>
      <c r="E38" s="52" t="s">
        <v>47</v>
      </c>
      <c r="F38" s="52" t="s">
        <v>8</v>
      </c>
      <c r="G38" s="9">
        <v>11019.62</v>
      </c>
      <c r="H38" s="9">
        <v>8006.1</v>
      </c>
      <c r="I38" s="9">
        <v>7596.0999999999985</v>
      </c>
      <c r="J38" s="9">
        <v>13813.099999999999</v>
      </c>
      <c r="K38" s="9">
        <v>7546.0999999999985</v>
      </c>
      <c r="L38" s="9">
        <v>7776.1000000000058</v>
      </c>
      <c r="M38" s="9">
        <v>7643.0999999999985</v>
      </c>
      <c r="N38" s="9">
        <v>6511.1000000000058</v>
      </c>
      <c r="O38" s="9">
        <v>6971.0999999999913</v>
      </c>
      <c r="P38" s="9">
        <v>10946.100000000006</v>
      </c>
      <c r="Q38" s="9">
        <v>8639.0999999999913</v>
      </c>
      <c r="R38" s="9">
        <v>3006</v>
      </c>
      <c r="S38" s="9">
        <f>SUM(_25[[#This Row],[2025-01]:[2025-12]])</f>
        <v>99473.62</v>
      </c>
    </row>
    <row r="39" spans="1:19" ht="20.399999999999999" x14ac:dyDescent="0.3">
      <c r="A39" s="51" t="str">
        <f t="shared" si="0"/>
        <v>Koszty</v>
      </c>
      <c r="B39" s="28" t="s">
        <v>232</v>
      </c>
      <c r="C39" s="28" t="str">
        <f t="shared" si="4"/>
        <v>III. Usługi obce</v>
      </c>
      <c r="D39" s="21">
        <v>58530500</v>
      </c>
      <c r="E39" s="52" t="s">
        <v>48</v>
      </c>
      <c r="F39" s="52" t="s">
        <v>8</v>
      </c>
      <c r="G39" s="9">
        <v>3390</v>
      </c>
      <c r="H39" s="9">
        <v>4580</v>
      </c>
      <c r="I39" s="9">
        <v>4050</v>
      </c>
      <c r="J39" s="9">
        <v>5530</v>
      </c>
      <c r="K39" s="9">
        <v>4170</v>
      </c>
      <c r="L39" s="9">
        <v>3690</v>
      </c>
      <c r="M39" s="9">
        <v>4340</v>
      </c>
      <c r="N39" s="9">
        <v>2140</v>
      </c>
      <c r="O39" s="9">
        <v>4060</v>
      </c>
      <c r="P39" s="9">
        <v>5730</v>
      </c>
      <c r="Q39" s="9">
        <v>10320.199999999997</v>
      </c>
      <c r="R39" s="9">
        <v>5600</v>
      </c>
      <c r="S39" s="9">
        <f>SUM(_25[[#This Row],[2025-01]:[2025-12]])</f>
        <v>57600.2</v>
      </c>
    </row>
    <row r="40" spans="1:19" ht="20.399999999999999" x14ac:dyDescent="0.3">
      <c r="A40" s="51" t="str">
        <f t="shared" si="0"/>
        <v>Koszty</v>
      </c>
      <c r="B40" s="28" t="s">
        <v>232</v>
      </c>
      <c r="C40" s="28" t="str">
        <f t="shared" si="4"/>
        <v>III. Usługi obce</v>
      </c>
      <c r="D40" s="21">
        <v>58530700</v>
      </c>
      <c r="E40" s="52" t="s">
        <v>49</v>
      </c>
      <c r="F40" s="52" t="s">
        <v>8</v>
      </c>
      <c r="G40" s="9">
        <v>207.45</v>
      </c>
      <c r="H40" s="9">
        <v>0</v>
      </c>
      <c r="I40" s="9">
        <v>0</v>
      </c>
      <c r="J40" s="9">
        <v>1179.2</v>
      </c>
      <c r="K40" s="9">
        <v>14.699999999999818</v>
      </c>
      <c r="L40" s="9">
        <v>3210.27</v>
      </c>
      <c r="M40" s="9">
        <v>1121.4300000000003</v>
      </c>
      <c r="N40" s="9">
        <v>0</v>
      </c>
      <c r="O40" s="9">
        <v>0</v>
      </c>
      <c r="P40" s="9">
        <v>868.34000000000015</v>
      </c>
      <c r="Q40" s="9">
        <v>926.85999999999967</v>
      </c>
      <c r="R40" s="9">
        <v>0</v>
      </c>
      <c r="S40" s="9">
        <f>SUM(_25[[#This Row],[2025-01]:[2025-12]])</f>
        <v>7528.25</v>
      </c>
    </row>
    <row r="41" spans="1:19" ht="20.399999999999999" x14ac:dyDescent="0.3">
      <c r="A41" s="51" t="str">
        <f t="shared" si="0"/>
        <v>Koszty</v>
      </c>
      <c r="B41" s="28" t="s">
        <v>232</v>
      </c>
      <c r="C41" s="28" t="str">
        <f t="shared" si="4"/>
        <v>III. Usługi obce</v>
      </c>
      <c r="D41" s="21">
        <v>58550000</v>
      </c>
      <c r="E41" s="52" t="s">
        <v>50</v>
      </c>
      <c r="F41" s="52" t="s">
        <v>8</v>
      </c>
      <c r="G41" s="9">
        <v>1397.57</v>
      </c>
      <c r="H41" s="9">
        <v>1497.57</v>
      </c>
      <c r="I41" s="9">
        <v>1497.5700000000002</v>
      </c>
      <c r="J41" s="9">
        <v>1395.1599999999999</v>
      </c>
      <c r="K41" s="9">
        <v>1028.9700000000003</v>
      </c>
      <c r="L41" s="9">
        <v>1128.9700000000003</v>
      </c>
      <c r="M41" s="9">
        <v>928.97000000000025</v>
      </c>
      <c r="N41" s="9">
        <v>1028.9699999999993</v>
      </c>
      <c r="O41" s="9">
        <v>1028.9699999999993</v>
      </c>
      <c r="P41" s="9">
        <v>1028.9700000000012</v>
      </c>
      <c r="Q41" s="9">
        <v>1028.9699999999993</v>
      </c>
      <c r="R41" s="9">
        <v>1128.9699999999993</v>
      </c>
      <c r="S41" s="9">
        <f>SUM(_25[[#This Row],[2025-01]:[2025-12]])</f>
        <v>14119.63</v>
      </c>
    </row>
    <row r="42" spans="1:19" ht="20.399999999999999" x14ac:dyDescent="0.3">
      <c r="A42" s="51" t="str">
        <f t="shared" si="0"/>
        <v>Koszty</v>
      </c>
      <c r="B42" s="28" t="s">
        <v>232</v>
      </c>
      <c r="C42" s="28" t="str">
        <f t="shared" si="4"/>
        <v>III. Usługi obce</v>
      </c>
      <c r="D42" s="21">
        <v>58552001</v>
      </c>
      <c r="E42" s="52" t="s">
        <v>51</v>
      </c>
      <c r="F42" s="52" t="s">
        <v>8</v>
      </c>
      <c r="G42" s="9">
        <v>18877.650000000001</v>
      </c>
      <c r="H42" s="9">
        <v>19680.739999999998</v>
      </c>
      <c r="I42" s="9">
        <v>19279.29</v>
      </c>
      <c r="J42" s="9">
        <v>24313.439999999995</v>
      </c>
      <c r="K42" s="9">
        <v>21698.340000000011</v>
      </c>
      <c r="L42" s="9">
        <v>21695.119999999995</v>
      </c>
      <c r="M42" s="9">
        <v>21660.199999999997</v>
      </c>
      <c r="N42" s="9">
        <v>19965.01999999999</v>
      </c>
      <c r="O42" s="9">
        <v>19963.660000000003</v>
      </c>
      <c r="P42" s="9">
        <v>21851.800000000017</v>
      </c>
      <c r="Q42" s="9">
        <v>23424.190000000002</v>
      </c>
      <c r="R42" s="9">
        <v>20279.789999999979</v>
      </c>
      <c r="S42" s="9">
        <f>SUM(_25[[#This Row],[2025-01]:[2025-12]])</f>
        <v>252689.24</v>
      </c>
    </row>
    <row r="43" spans="1:19" ht="20.399999999999999" x14ac:dyDescent="0.3">
      <c r="A43" s="51" t="str">
        <f t="shared" si="0"/>
        <v>Koszty</v>
      </c>
      <c r="B43" s="28" t="s">
        <v>232</v>
      </c>
      <c r="C43" s="28" t="str">
        <f t="shared" si="4"/>
        <v>III. Usługi obce</v>
      </c>
      <c r="D43" s="21">
        <v>58552004</v>
      </c>
      <c r="E43" s="52" t="s">
        <v>52</v>
      </c>
      <c r="F43" s="52" t="s">
        <v>8</v>
      </c>
      <c r="G43" s="9">
        <v>9351.02</v>
      </c>
      <c r="H43" s="9">
        <v>8281.119999999999</v>
      </c>
      <c r="I43" s="9">
        <v>8805.39</v>
      </c>
      <c r="J43" s="9">
        <v>8246.9000000000015</v>
      </c>
      <c r="K43" s="9">
        <v>8218.9800000000032</v>
      </c>
      <c r="L43" s="9">
        <v>8065.8999999999942</v>
      </c>
      <c r="M43" s="9">
        <v>8252.4000000000015</v>
      </c>
      <c r="N43" s="9">
        <v>7792.8400000000038</v>
      </c>
      <c r="O43" s="9">
        <v>7792.3399999999965</v>
      </c>
      <c r="P43" s="9">
        <v>8138.7700000000041</v>
      </c>
      <c r="Q43" s="9">
        <v>8561.5199999999895</v>
      </c>
      <c r="R43" s="9">
        <v>7716.0200000000041</v>
      </c>
      <c r="S43" s="9">
        <f>SUM(_25[[#This Row],[2025-01]:[2025-12]])</f>
        <v>99223.2</v>
      </c>
    </row>
    <row r="44" spans="1:19" ht="20.399999999999999" x14ac:dyDescent="0.3">
      <c r="A44" s="51" t="str">
        <f t="shared" si="0"/>
        <v>Koszty</v>
      </c>
      <c r="B44" s="28" t="s">
        <v>232</v>
      </c>
      <c r="C44" s="28" t="str">
        <f t="shared" si="4"/>
        <v>III. Usługi obce</v>
      </c>
      <c r="D44" s="21">
        <v>58552026</v>
      </c>
      <c r="E44" s="52" t="s">
        <v>53</v>
      </c>
      <c r="F44" s="52" t="s">
        <v>8</v>
      </c>
      <c r="G44" s="9">
        <v>2454.41</v>
      </c>
      <c r="H44" s="9">
        <v>1651.3600000000006</v>
      </c>
      <c r="I44" s="9">
        <v>2052.9799999999996</v>
      </c>
      <c r="J44" s="9">
        <v>6897.2000000000007</v>
      </c>
      <c r="K44" s="9">
        <v>4357.8600000000006</v>
      </c>
      <c r="L44" s="9">
        <v>4354.0299999999988</v>
      </c>
      <c r="M44" s="9">
        <v>4312.2599999999984</v>
      </c>
      <c r="N44" s="9">
        <v>4307.510000000002</v>
      </c>
      <c r="O44" s="9">
        <v>4305.8799999999974</v>
      </c>
      <c r="P44" s="9">
        <v>4313.32</v>
      </c>
      <c r="Q44" s="9">
        <v>6193.6700000000055</v>
      </c>
      <c r="R44" s="9">
        <v>2433.3899999999994</v>
      </c>
      <c r="S44" s="9">
        <f>SUM(_25[[#This Row],[2025-01]:[2025-12]])</f>
        <v>47633.87</v>
      </c>
    </row>
    <row r="45" spans="1:19" ht="20.399999999999999" x14ac:dyDescent="0.3">
      <c r="A45" s="51" t="str">
        <f t="shared" si="0"/>
        <v>Koszty</v>
      </c>
      <c r="B45" s="28" t="s">
        <v>232</v>
      </c>
      <c r="C45" s="28" t="str">
        <f t="shared" si="4"/>
        <v>III. Usługi obce</v>
      </c>
      <c r="D45" s="21">
        <v>58552027</v>
      </c>
      <c r="E45" s="52" t="s">
        <v>54</v>
      </c>
      <c r="F45" s="52" t="s">
        <v>8</v>
      </c>
      <c r="G45" s="9">
        <v>15.18</v>
      </c>
      <c r="H45" s="9">
        <v>997.08</v>
      </c>
      <c r="I45" s="9">
        <v>506.13000000000011</v>
      </c>
      <c r="J45" s="9">
        <v>1805.09</v>
      </c>
      <c r="K45" s="9">
        <v>506.13000000000011</v>
      </c>
      <c r="L45" s="9">
        <v>506.12999999999965</v>
      </c>
      <c r="M45" s="9">
        <v>506.13000000000011</v>
      </c>
      <c r="N45" s="9">
        <v>506.13000000000011</v>
      </c>
      <c r="O45" s="9">
        <v>506.13000000000011</v>
      </c>
      <c r="P45" s="9">
        <v>506.13000000000011</v>
      </c>
      <c r="Q45" s="9">
        <v>1011.6799999999994</v>
      </c>
      <c r="R45" s="9">
        <v>0.58000000000083674</v>
      </c>
      <c r="S45" s="9">
        <f>SUM(_25[[#This Row],[2025-01]:[2025-12]])</f>
        <v>7372.52</v>
      </c>
    </row>
    <row r="46" spans="1:19" ht="20.399999999999999" x14ac:dyDescent="0.3">
      <c r="A46" s="51" t="str">
        <f t="shared" si="0"/>
        <v>Koszty</v>
      </c>
      <c r="B46" s="28" t="s">
        <v>232</v>
      </c>
      <c r="C46" s="28" t="str">
        <f t="shared" si="4"/>
        <v>III. Usługi obce</v>
      </c>
      <c r="D46" s="21">
        <v>58554000</v>
      </c>
      <c r="E46" s="52" t="s">
        <v>55</v>
      </c>
      <c r="F46" s="52" t="s">
        <v>8</v>
      </c>
      <c r="G46" s="9">
        <v>0</v>
      </c>
      <c r="H46" s="9">
        <v>561.09</v>
      </c>
      <c r="I46" s="9">
        <v>485.21999999999991</v>
      </c>
      <c r="J46" s="9">
        <v>251.34000000000015</v>
      </c>
      <c r="K46" s="9">
        <v>221.01</v>
      </c>
      <c r="L46" s="9">
        <v>0</v>
      </c>
      <c r="M46" s="9">
        <v>59.799999999999955</v>
      </c>
      <c r="N46" s="9">
        <v>155.05999999999995</v>
      </c>
      <c r="O46" s="9">
        <v>158.81999999999994</v>
      </c>
      <c r="P46" s="9">
        <v>83.600000000000136</v>
      </c>
      <c r="Q46" s="9">
        <v>72.380000000000109</v>
      </c>
      <c r="R46" s="9">
        <v>108.64999999999964</v>
      </c>
      <c r="S46" s="9">
        <f>SUM(_25[[#This Row],[2025-01]:[2025-12]])</f>
        <v>2156.9699999999998</v>
      </c>
    </row>
    <row r="47" spans="1:19" ht="20.399999999999999" x14ac:dyDescent="0.3">
      <c r="A47" s="51" t="str">
        <f t="shared" si="0"/>
        <v>Koszty</v>
      </c>
      <c r="B47" s="28" t="s">
        <v>232</v>
      </c>
      <c r="C47" s="28" t="str">
        <f t="shared" si="4"/>
        <v>III. Usługi obce</v>
      </c>
      <c r="D47" s="21">
        <v>58568000</v>
      </c>
      <c r="E47" s="52" t="s">
        <v>56</v>
      </c>
      <c r="F47" s="52" t="s">
        <v>8</v>
      </c>
      <c r="G47" s="9">
        <v>455</v>
      </c>
      <c r="H47" s="9">
        <v>0</v>
      </c>
      <c r="I47" s="9">
        <v>0</v>
      </c>
      <c r="J47" s="9">
        <v>0</v>
      </c>
      <c r="K47" s="9">
        <v>375</v>
      </c>
      <c r="L47" s="9">
        <v>0</v>
      </c>
      <c r="M47" s="9">
        <v>318.75</v>
      </c>
      <c r="N47" s="9">
        <v>0</v>
      </c>
      <c r="O47" s="9">
        <v>0</v>
      </c>
      <c r="P47" s="9">
        <v>0</v>
      </c>
      <c r="Q47" s="9">
        <v>0</v>
      </c>
      <c r="R47" s="9">
        <v>4185</v>
      </c>
      <c r="S47" s="9">
        <f>SUM(_25[[#This Row],[2025-01]:[2025-12]])</f>
        <v>5333.75</v>
      </c>
    </row>
    <row r="48" spans="1:19" ht="20.399999999999999" x14ac:dyDescent="0.3">
      <c r="A48" s="51" t="str">
        <f t="shared" si="0"/>
        <v>Koszty</v>
      </c>
      <c r="B48" s="28" t="s">
        <v>232</v>
      </c>
      <c r="C48" s="28" t="str">
        <f t="shared" si="4"/>
        <v>III. Usługi obce</v>
      </c>
      <c r="D48" s="21">
        <v>58570000</v>
      </c>
      <c r="E48" s="52" t="s">
        <v>57</v>
      </c>
      <c r="F48" s="52" t="s">
        <v>8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2465.0100000000002</v>
      </c>
      <c r="Q48" s="9">
        <v>0</v>
      </c>
      <c r="R48" s="9">
        <v>662.04</v>
      </c>
      <c r="S48" s="9">
        <f>SUM(_25[[#This Row],[2025-01]:[2025-12]])</f>
        <v>3127.05</v>
      </c>
    </row>
    <row r="49" spans="1:19" ht="20.399999999999999" x14ac:dyDescent="0.3">
      <c r="A49" s="51" t="str">
        <f t="shared" si="0"/>
        <v>Koszty</v>
      </c>
      <c r="B49" s="28" t="s">
        <v>232</v>
      </c>
      <c r="C49" s="28" t="str">
        <f t="shared" si="4"/>
        <v>III. Usługi obce</v>
      </c>
      <c r="D49" s="21">
        <v>58590000</v>
      </c>
      <c r="E49" s="52" t="s">
        <v>58</v>
      </c>
      <c r="F49" s="52" t="s">
        <v>8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975</v>
      </c>
      <c r="O49" s="9">
        <v>567.16000000000008</v>
      </c>
      <c r="P49" s="9">
        <v>2944.3100000000004</v>
      </c>
      <c r="Q49" s="9">
        <v>489.03999999999996</v>
      </c>
      <c r="R49" s="9">
        <v>1846.8099999999995</v>
      </c>
      <c r="S49" s="9">
        <f>SUM(_25[[#This Row],[2025-01]:[2025-12]])</f>
        <v>6822.32</v>
      </c>
    </row>
    <row r="50" spans="1:19" ht="20.399999999999999" x14ac:dyDescent="0.3">
      <c r="A50" s="51" t="str">
        <f t="shared" si="0"/>
        <v>Koszty</v>
      </c>
      <c r="B50" s="28" t="s">
        <v>232</v>
      </c>
      <c r="C50" s="28" t="s">
        <v>249</v>
      </c>
      <c r="D50" s="21">
        <v>59080000</v>
      </c>
      <c r="E50" s="52" t="s">
        <v>59</v>
      </c>
      <c r="F50" s="52" t="s">
        <v>8</v>
      </c>
      <c r="G50" s="9">
        <v>0</v>
      </c>
      <c r="H50" s="9">
        <v>9505.77</v>
      </c>
      <c r="I50" s="9">
        <v>9304.18</v>
      </c>
      <c r="J50" s="9">
        <v>6741.0299999999988</v>
      </c>
      <c r="K50" s="9">
        <v>3010.6000000000022</v>
      </c>
      <c r="L50" s="9">
        <v>3789.66</v>
      </c>
      <c r="M50" s="9">
        <v>10725.920000000002</v>
      </c>
      <c r="N50" s="9">
        <v>4167.4799999999959</v>
      </c>
      <c r="O50" s="9">
        <v>5261.7799999999988</v>
      </c>
      <c r="P50" s="9">
        <v>5056.6399999999994</v>
      </c>
      <c r="Q50" s="9">
        <v>5493.0800000000017</v>
      </c>
      <c r="R50" s="9">
        <v>10405.059999999998</v>
      </c>
      <c r="S50" s="9">
        <f>SUM(_25[[#This Row],[2025-01]:[2025-12]])</f>
        <v>73461.2</v>
      </c>
    </row>
    <row r="51" spans="1:19" ht="20.399999999999999" x14ac:dyDescent="0.3">
      <c r="A51" s="51" t="str">
        <f t="shared" si="0"/>
        <v>Koszty</v>
      </c>
      <c r="B51" s="28" t="s">
        <v>232</v>
      </c>
      <c r="C51" s="28" t="s">
        <v>245</v>
      </c>
      <c r="D51" s="21">
        <v>59504050</v>
      </c>
      <c r="E51" s="52" t="s">
        <v>60</v>
      </c>
      <c r="F51" s="52" t="s">
        <v>8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f>SUM(_25[[#This Row],[2025-01]:[2025-12]])</f>
        <v>0</v>
      </c>
    </row>
    <row r="52" spans="1:19" ht="20.399999999999999" x14ac:dyDescent="0.3">
      <c r="A52" s="51" t="str">
        <f t="shared" si="0"/>
        <v>Koszty</v>
      </c>
      <c r="B52" s="28" t="s">
        <v>232</v>
      </c>
      <c r="C52" s="28" t="s">
        <v>245</v>
      </c>
      <c r="D52" s="21">
        <v>65518000</v>
      </c>
      <c r="E52" s="52" t="s">
        <v>61</v>
      </c>
      <c r="F52" s="52" t="s">
        <v>8</v>
      </c>
      <c r="G52" s="9">
        <v>1839.17</v>
      </c>
      <c r="H52" s="9">
        <v>1610.73</v>
      </c>
      <c r="I52" s="9">
        <v>1491.7599999999998</v>
      </c>
      <c r="J52" s="9">
        <v>1092.5</v>
      </c>
      <c r="K52" s="9">
        <v>1059.6400000000003</v>
      </c>
      <c r="L52" s="9">
        <v>2080.9499999999998</v>
      </c>
      <c r="M52" s="9">
        <v>2692.84</v>
      </c>
      <c r="N52" s="9">
        <v>940.01000000000022</v>
      </c>
      <c r="O52" s="9">
        <v>1459.2399999999998</v>
      </c>
      <c r="P52" s="9">
        <v>1356.7600000000002</v>
      </c>
      <c r="Q52" s="9">
        <v>2192.3799999999992</v>
      </c>
      <c r="R52" s="9">
        <v>895.4900000000016</v>
      </c>
      <c r="S52" s="9">
        <f>SUM(_25[[#This Row],[2025-01]:[2025-12]])</f>
        <v>18711.47</v>
      </c>
    </row>
    <row r="53" spans="1:19" ht="20.399999999999999" x14ac:dyDescent="0.3">
      <c r="A53" s="51" t="str">
        <f t="shared" si="0"/>
        <v>Koszty</v>
      </c>
      <c r="B53" s="28" t="s">
        <v>232</v>
      </c>
      <c r="C53" s="28" t="s">
        <v>246</v>
      </c>
      <c r="D53" s="21">
        <v>59080040</v>
      </c>
      <c r="E53" s="52" t="s">
        <v>63</v>
      </c>
      <c r="F53" s="52" t="s">
        <v>8</v>
      </c>
      <c r="G53" s="9">
        <v>11977</v>
      </c>
      <c r="H53" s="9">
        <v>11654</v>
      </c>
      <c r="I53" s="9">
        <v>0</v>
      </c>
      <c r="J53" s="9">
        <v>24681</v>
      </c>
      <c r="K53" s="9">
        <v>12213</v>
      </c>
      <c r="L53" s="9">
        <v>0</v>
      </c>
      <c r="M53" s="9">
        <v>24954</v>
      </c>
      <c r="N53" s="9">
        <v>12672</v>
      </c>
      <c r="O53" s="9">
        <v>9702</v>
      </c>
      <c r="P53" s="9">
        <v>9640</v>
      </c>
      <c r="Q53" s="9">
        <v>9660</v>
      </c>
      <c r="R53" s="9">
        <v>10065</v>
      </c>
      <c r="S53" s="9">
        <f>SUM(_25[[#This Row],[2025-01]:[2025-12]])</f>
        <v>137218</v>
      </c>
    </row>
    <row r="54" spans="1:19" ht="20.399999999999999" x14ac:dyDescent="0.3">
      <c r="A54" s="51" t="str">
        <f t="shared" si="0"/>
        <v>Koszty</v>
      </c>
      <c r="B54" s="28" t="s">
        <v>232</v>
      </c>
      <c r="C54" s="28" t="s">
        <v>246</v>
      </c>
      <c r="D54" s="21">
        <v>59500040</v>
      </c>
      <c r="E54" s="52" t="s">
        <v>64</v>
      </c>
      <c r="F54" s="52" t="s">
        <v>8</v>
      </c>
      <c r="G54" s="9">
        <v>2191.5500000000002</v>
      </c>
      <c r="H54" s="9">
        <v>2191.5500000000002</v>
      </c>
      <c r="I54" s="9">
        <v>2191.5499999999993</v>
      </c>
      <c r="J54" s="9">
        <v>2267.6800000000003</v>
      </c>
      <c r="K54" s="9">
        <v>2224.4300000000003</v>
      </c>
      <c r="L54" s="9">
        <v>2224.4300000000003</v>
      </c>
      <c r="M54" s="9">
        <v>2224.4300000000003</v>
      </c>
      <c r="N54" s="9">
        <v>2224.4299999999985</v>
      </c>
      <c r="O54" s="9">
        <v>2224.4300000000003</v>
      </c>
      <c r="P54" s="9">
        <v>2224.4300000000003</v>
      </c>
      <c r="Q54" s="9">
        <v>2224.4300000000003</v>
      </c>
      <c r="R54" s="9">
        <v>2227.4300000000003</v>
      </c>
      <c r="S54" s="9">
        <f>SUM(_25[[#This Row],[2025-01]:[2025-12]])</f>
        <v>26640.77</v>
      </c>
    </row>
    <row r="55" spans="1:19" ht="20.399999999999999" x14ac:dyDescent="0.3">
      <c r="A55" s="51" t="str">
        <f t="shared" si="0"/>
        <v>Koszty</v>
      </c>
      <c r="B55" s="28" t="s">
        <v>232</v>
      </c>
      <c r="C55" s="28" t="s">
        <v>246</v>
      </c>
      <c r="D55" s="21">
        <v>59500050</v>
      </c>
      <c r="E55" s="52" t="s">
        <v>65</v>
      </c>
      <c r="F55" s="52" t="s">
        <v>8</v>
      </c>
      <c r="G55" s="9">
        <v>5209.71</v>
      </c>
      <c r="H55" s="9">
        <v>5352.19</v>
      </c>
      <c r="I55" s="9">
        <v>4832.4700000000012</v>
      </c>
      <c r="J55" s="9">
        <v>4774.4600000000009</v>
      </c>
      <c r="K55" s="9">
        <v>4283.239999999998</v>
      </c>
      <c r="L55" s="9">
        <v>4688.010000000002</v>
      </c>
      <c r="M55" s="9">
        <v>4874.4799999999959</v>
      </c>
      <c r="N55" s="9">
        <v>3914.9400000000023</v>
      </c>
      <c r="O55" s="9">
        <v>4540.8300000000017</v>
      </c>
      <c r="P55" s="9">
        <v>5433.43</v>
      </c>
      <c r="Q55" s="9">
        <v>5472.9499999999971</v>
      </c>
      <c r="R55" s="9">
        <v>4650.4000000000015</v>
      </c>
      <c r="S55" s="9">
        <f>SUM(_25[[#This Row],[2025-01]:[2025-12]])</f>
        <v>58027.11</v>
      </c>
    </row>
    <row r="56" spans="1:19" ht="20.399999999999999" x14ac:dyDescent="0.3">
      <c r="A56" s="51" t="str">
        <f t="shared" si="0"/>
        <v>Koszty</v>
      </c>
      <c r="B56" s="28" t="s">
        <v>232</v>
      </c>
      <c r="C56" s="28" t="s">
        <v>246</v>
      </c>
      <c r="D56" s="21">
        <v>59500051</v>
      </c>
      <c r="E56" s="52" t="s">
        <v>66</v>
      </c>
      <c r="F56" s="52" t="s">
        <v>8</v>
      </c>
      <c r="G56" s="9">
        <v>1510.99</v>
      </c>
      <c r="H56" s="9">
        <v>756.58999999999992</v>
      </c>
      <c r="I56" s="9">
        <v>936.36999999999989</v>
      </c>
      <c r="J56" s="9">
        <v>1281.04</v>
      </c>
      <c r="K56" s="9">
        <v>925.61000000000058</v>
      </c>
      <c r="L56" s="9">
        <v>1060.2199999999993</v>
      </c>
      <c r="M56" s="9">
        <v>1118.9300000000003</v>
      </c>
      <c r="N56" s="9">
        <v>454.85999999999967</v>
      </c>
      <c r="O56" s="9">
        <v>1094.0800000000008</v>
      </c>
      <c r="P56" s="9">
        <v>1297.8099999999995</v>
      </c>
      <c r="Q56" s="9">
        <v>1471.4099999999999</v>
      </c>
      <c r="R56" s="9">
        <v>885.32999999999993</v>
      </c>
      <c r="S56" s="9">
        <f>SUM(_25[[#This Row],[2025-01]:[2025-12]])</f>
        <v>12793.24</v>
      </c>
    </row>
    <row r="57" spans="1:19" ht="20.399999999999999" x14ac:dyDescent="0.3">
      <c r="A57" s="51" t="str">
        <f t="shared" si="0"/>
        <v>Koszty</v>
      </c>
      <c r="B57" s="28" t="s">
        <v>232</v>
      </c>
      <c r="C57" s="28" t="s">
        <v>247</v>
      </c>
      <c r="D57" s="21">
        <v>59000000</v>
      </c>
      <c r="E57" s="52" t="s">
        <v>68</v>
      </c>
      <c r="F57" s="52" t="s">
        <v>8</v>
      </c>
      <c r="G57" s="9">
        <v>1107101.93</v>
      </c>
      <c r="H57" s="9">
        <v>1089088.72</v>
      </c>
      <c r="I57" s="9">
        <v>1091297.8200000003</v>
      </c>
      <c r="J57" s="9">
        <v>1092961.2399999998</v>
      </c>
      <c r="K57" s="9">
        <v>1071577.2700000005</v>
      </c>
      <c r="L57" s="9">
        <v>1060328.3499999996</v>
      </c>
      <c r="M57" s="9">
        <v>1058152.5099999998</v>
      </c>
      <c r="N57" s="9">
        <v>1086590.2100000009</v>
      </c>
      <c r="O57" s="9">
        <v>1078871.1099999994</v>
      </c>
      <c r="P57" s="9">
        <v>1085071.1099999994</v>
      </c>
      <c r="Q57" s="9">
        <v>1091726.67</v>
      </c>
      <c r="R57" s="9">
        <v>1102354.8200000003</v>
      </c>
      <c r="S57" s="9">
        <f>SUM(_25[[#This Row],[2025-01]:[2025-12]])</f>
        <v>13015121.76</v>
      </c>
    </row>
    <row r="58" spans="1:19" ht="20.399999999999999" x14ac:dyDescent="0.3">
      <c r="A58" s="51" t="str">
        <f t="shared" si="0"/>
        <v>Koszty</v>
      </c>
      <c r="B58" s="28" t="s">
        <v>232</v>
      </c>
      <c r="C58" s="28" t="s">
        <v>247</v>
      </c>
      <c r="D58" s="21">
        <v>59002000</v>
      </c>
      <c r="E58" s="52" t="s">
        <v>69</v>
      </c>
      <c r="F58" s="52" t="s">
        <v>8</v>
      </c>
      <c r="G58" s="9">
        <v>0</v>
      </c>
      <c r="H58" s="9">
        <v>0</v>
      </c>
      <c r="I58" s="9">
        <v>0</v>
      </c>
      <c r="J58" s="9">
        <v>-44723</v>
      </c>
      <c r="K58" s="9">
        <v>0</v>
      </c>
      <c r="L58" s="9">
        <v>214871.88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1212000</v>
      </c>
      <c r="S58" s="9">
        <f>SUM(_25[[#This Row],[2025-01]:[2025-12]])</f>
        <v>1382148.88</v>
      </c>
    </row>
    <row r="59" spans="1:19" ht="20.399999999999999" x14ac:dyDescent="0.3">
      <c r="A59" s="51" t="str">
        <f t="shared" si="0"/>
        <v>Koszty</v>
      </c>
      <c r="B59" s="28" t="s">
        <v>232</v>
      </c>
      <c r="C59" s="28" t="s">
        <v>247</v>
      </c>
      <c r="D59" s="21">
        <v>59002200</v>
      </c>
      <c r="E59" s="52" t="s">
        <v>70</v>
      </c>
      <c r="F59" s="52" t="s">
        <v>8</v>
      </c>
      <c r="G59" s="9">
        <v>0</v>
      </c>
      <c r="H59" s="9">
        <v>0</v>
      </c>
      <c r="I59" s="9">
        <v>0</v>
      </c>
      <c r="J59" s="9">
        <v>1471.54</v>
      </c>
      <c r="K59" s="9">
        <v>0</v>
      </c>
      <c r="L59" s="9">
        <v>0</v>
      </c>
      <c r="M59" s="9">
        <v>579.46</v>
      </c>
      <c r="N59" s="9">
        <v>118.32999999999993</v>
      </c>
      <c r="O59" s="9">
        <v>201.01000000000022</v>
      </c>
      <c r="P59" s="9">
        <v>589.17000000000007</v>
      </c>
      <c r="Q59" s="9">
        <v>0</v>
      </c>
      <c r="R59" s="9">
        <v>1120.6899999999996</v>
      </c>
      <c r="S59" s="9">
        <f>SUM(_25[[#This Row],[2025-01]:[2025-12]])</f>
        <v>4080.2</v>
      </c>
    </row>
    <row r="60" spans="1:19" ht="20.399999999999999" x14ac:dyDescent="0.3">
      <c r="A60" s="51" t="str">
        <f t="shared" si="0"/>
        <v>Koszty</v>
      </c>
      <c r="B60" s="28" t="s">
        <v>232</v>
      </c>
      <c r="C60" s="28" t="s">
        <v>247</v>
      </c>
      <c r="D60" s="21">
        <v>59018300</v>
      </c>
      <c r="E60" s="52" t="s">
        <v>71</v>
      </c>
      <c r="F60" s="52" t="s">
        <v>8</v>
      </c>
      <c r="G60" s="9">
        <v>0</v>
      </c>
      <c r="H60" s="9">
        <v>-2375</v>
      </c>
      <c r="I60" s="9">
        <v>30575</v>
      </c>
      <c r="J60" s="9">
        <v>0</v>
      </c>
      <c r="K60" s="9">
        <v>45000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7639.1699999999983</v>
      </c>
      <c r="R60" s="9">
        <v>-9219.0699999999924</v>
      </c>
      <c r="S60" s="9">
        <f>SUM(_25[[#This Row],[2025-01]:[2025-12]])</f>
        <v>71620.100000000006</v>
      </c>
    </row>
    <row r="61" spans="1:19" ht="20.399999999999999" x14ac:dyDescent="0.3">
      <c r="A61" s="51" t="str">
        <f t="shared" si="0"/>
        <v>Koszty</v>
      </c>
      <c r="B61" s="28" t="s">
        <v>232</v>
      </c>
      <c r="C61" s="28" t="s">
        <v>247</v>
      </c>
      <c r="D61" s="21">
        <v>59040000</v>
      </c>
      <c r="E61" s="52" t="s">
        <v>72</v>
      </c>
      <c r="F61" s="52" t="s">
        <v>8</v>
      </c>
      <c r="G61" s="9">
        <v>17114.62</v>
      </c>
      <c r="H61" s="9">
        <v>-5987.0099999999984</v>
      </c>
      <c r="I61" s="9">
        <v>-15628.310000000001</v>
      </c>
      <c r="J61" s="9">
        <v>0</v>
      </c>
      <c r="K61" s="9">
        <v>0</v>
      </c>
      <c r="L61" s="9">
        <v>2232.4199999999996</v>
      </c>
      <c r="M61" s="9">
        <v>2678.7200000000003</v>
      </c>
      <c r="N61" s="9">
        <v>2776.87</v>
      </c>
      <c r="O61" s="9">
        <v>2985.4</v>
      </c>
      <c r="P61" s="9">
        <v>3493.5700000000006</v>
      </c>
      <c r="Q61" s="9">
        <v>863.51999999999862</v>
      </c>
      <c r="R61" s="9">
        <v>1028.3400000000001</v>
      </c>
      <c r="S61" s="9">
        <f>SUM(_25[[#This Row],[2025-01]:[2025-12]])</f>
        <v>11558.139999999998</v>
      </c>
    </row>
    <row r="62" spans="1:19" ht="20.399999999999999" x14ac:dyDescent="0.3">
      <c r="A62" s="51" t="str">
        <f t="shared" si="0"/>
        <v>Koszty</v>
      </c>
      <c r="B62" s="28" t="s">
        <v>232</v>
      </c>
      <c r="C62" s="28" t="s">
        <v>247</v>
      </c>
      <c r="D62" s="21">
        <v>59070000</v>
      </c>
      <c r="E62" s="52" t="s">
        <v>73</v>
      </c>
      <c r="F62" s="52" t="s">
        <v>8</v>
      </c>
      <c r="G62" s="9">
        <v>25990</v>
      </c>
      <c r="H62" s="9">
        <v>25150</v>
      </c>
      <c r="I62" s="9">
        <v>29415</v>
      </c>
      <c r="J62" s="9">
        <v>33680</v>
      </c>
      <c r="K62" s="9">
        <v>29400</v>
      </c>
      <c r="L62" s="9">
        <v>30460</v>
      </c>
      <c r="M62" s="9">
        <v>35830</v>
      </c>
      <c r="N62" s="9">
        <v>40960</v>
      </c>
      <c r="O62" s="9">
        <v>38926</v>
      </c>
      <c r="P62" s="9">
        <v>36376</v>
      </c>
      <c r="Q62" s="9">
        <v>36685</v>
      </c>
      <c r="R62" s="9">
        <v>33980</v>
      </c>
      <c r="S62" s="9">
        <f>SUM(_25[[#This Row],[2025-01]:[2025-12]])</f>
        <v>396852</v>
      </c>
    </row>
    <row r="63" spans="1:19" ht="20.399999999999999" x14ac:dyDescent="0.3">
      <c r="A63" s="51" t="str">
        <f t="shared" si="0"/>
        <v>Koszty</v>
      </c>
      <c r="B63" s="28" t="s">
        <v>232</v>
      </c>
      <c r="C63" s="28" t="s">
        <v>247</v>
      </c>
      <c r="D63" s="21">
        <v>59004000</v>
      </c>
      <c r="E63" s="52" t="s">
        <v>74</v>
      </c>
      <c r="F63" s="52" t="s">
        <v>8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262148.3</v>
      </c>
      <c r="S63" s="9">
        <f>SUM(_25[[#This Row],[2025-01]:[2025-12]])</f>
        <v>262148.3</v>
      </c>
    </row>
    <row r="64" spans="1:19" ht="20.399999999999999" x14ac:dyDescent="0.3">
      <c r="A64" s="51" t="str">
        <f t="shared" si="0"/>
        <v>Koszty</v>
      </c>
      <c r="B64" s="28" t="s">
        <v>232</v>
      </c>
      <c r="C64" s="28" t="s">
        <v>248</v>
      </c>
      <c r="D64" s="21">
        <v>58507002</v>
      </c>
      <c r="E64" s="52" t="s">
        <v>76</v>
      </c>
      <c r="F64" s="52" t="s">
        <v>8</v>
      </c>
      <c r="G64" s="9">
        <v>21220.58</v>
      </c>
      <c r="H64" s="9">
        <v>7029.16</v>
      </c>
      <c r="I64" s="9">
        <v>11903.499999999996</v>
      </c>
      <c r="J64" s="9">
        <v>8527.0400000000009</v>
      </c>
      <c r="K64" s="9">
        <v>1374.8800000000047</v>
      </c>
      <c r="L64" s="9">
        <v>5674.8799999999974</v>
      </c>
      <c r="M64" s="9">
        <v>9601.989999999998</v>
      </c>
      <c r="N64" s="9">
        <v>474.88000000000466</v>
      </c>
      <c r="O64" s="9">
        <v>14393.599999999991</v>
      </c>
      <c r="P64" s="9">
        <v>51698.410000000018</v>
      </c>
      <c r="Q64" s="9">
        <v>960</v>
      </c>
      <c r="R64" s="9">
        <v>240</v>
      </c>
      <c r="S64" s="9">
        <f>SUM(_25[[#This Row],[2025-01]:[2025-12]])</f>
        <v>133098.92000000001</v>
      </c>
    </row>
    <row r="65" spans="1:19" ht="20.399999999999999" x14ac:dyDescent="0.3">
      <c r="A65" s="51" t="str">
        <f t="shared" si="0"/>
        <v>Koszty</v>
      </c>
      <c r="B65" s="28" t="s">
        <v>232</v>
      </c>
      <c r="C65" s="28" t="s">
        <v>248</v>
      </c>
      <c r="D65" s="21">
        <v>58507006</v>
      </c>
      <c r="E65" s="52" t="s">
        <v>77</v>
      </c>
      <c r="F65" s="52" t="s">
        <v>8</v>
      </c>
      <c r="G65" s="9">
        <v>1980</v>
      </c>
      <c r="H65" s="9">
        <v>3020</v>
      </c>
      <c r="I65" s="9">
        <v>0</v>
      </c>
      <c r="J65" s="9">
        <v>500</v>
      </c>
      <c r="K65" s="9">
        <v>500</v>
      </c>
      <c r="L65" s="9">
        <v>2440</v>
      </c>
      <c r="M65" s="9">
        <v>2968</v>
      </c>
      <c r="N65" s="9">
        <v>500</v>
      </c>
      <c r="O65" s="9">
        <v>2000</v>
      </c>
      <c r="P65" s="9">
        <v>3100</v>
      </c>
      <c r="Q65" s="9">
        <v>3494</v>
      </c>
      <c r="R65" s="9">
        <v>1496</v>
      </c>
      <c r="S65" s="9">
        <f>SUM(_25[[#This Row],[2025-01]:[2025-12]])</f>
        <v>21998</v>
      </c>
    </row>
    <row r="66" spans="1:19" ht="20.399999999999999" x14ac:dyDescent="0.3">
      <c r="A66" s="51" t="str">
        <f t="shared" si="0"/>
        <v>Koszty</v>
      </c>
      <c r="B66" s="28" t="s">
        <v>232</v>
      </c>
      <c r="C66" s="28" t="s">
        <v>248</v>
      </c>
      <c r="D66" s="21">
        <v>59004001</v>
      </c>
      <c r="E66" s="52" t="s">
        <v>78</v>
      </c>
      <c r="F66" s="52" t="s">
        <v>8</v>
      </c>
      <c r="G66" s="9">
        <v>0</v>
      </c>
      <c r="H66" s="9">
        <v>0</v>
      </c>
      <c r="I66" s="9">
        <v>0</v>
      </c>
      <c r="J66" s="9">
        <v>-241383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481843.8</v>
      </c>
      <c r="S66" s="9">
        <f>SUM(_25[[#This Row],[2025-01]:[2025-12]])</f>
        <v>240460.79999999999</v>
      </c>
    </row>
    <row r="67" spans="1:19" ht="20.399999999999999" x14ac:dyDescent="0.3">
      <c r="A67" s="51" t="str">
        <f t="shared" ref="A67:A107" si="5">IF(ISNUMBER(SEARCH("przychody",B67)),"Przychody","Koszty")</f>
        <v>Koszty</v>
      </c>
      <c r="B67" s="28" t="s">
        <v>232</v>
      </c>
      <c r="C67" s="28" t="s">
        <v>248</v>
      </c>
      <c r="D67" s="21">
        <v>59016000</v>
      </c>
      <c r="E67" s="52" t="s">
        <v>79</v>
      </c>
      <c r="F67" s="52" t="s">
        <v>8</v>
      </c>
      <c r="G67" s="9">
        <v>219109.5</v>
      </c>
      <c r="H67" s="9">
        <v>215264.16999999998</v>
      </c>
      <c r="I67" s="9">
        <v>214357.06</v>
      </c>
      <c r="J67" s="9">
        <v>422721.10000000009</v>
      </c>
      <c r="K67" s="9">
        <v>192860.25</v>
      </c>
      <c r="L67" s="9">
        <v>229520.07999999984</v>
      </c>
      <c r="M67" s="9">
        <v>189010.01</v>
      </c>
      <c r="N67" s="9">
        <v>185913.06000000006</v>
      </c>
      <c r="O67" s="9">
        <v>178428.41999999993</v>
      </c>
      <c r="P67" s="9">
        <v>173144.49000000022</v>
      </c>
      <c r="Q67" s="9">
        <v>157969.96999999974</v>
      </c>
      <c r="R67" s="9">
        <v>-94923</v>
      </c>
      <c r="S67" s="9">
        <f>SUM(_25[[#This Row],[2025-01]:[2025-12]])</f>
        <v>2283375.11</v>
      </c>
    </row>
    <row r="68" spans="1:19" ht="20.399999999999999" x14ac:dyDescent="0.3">
      <c r="A68" s="51" t="str">
        <f t="shared" si="5"/>
        <v>Koszty</v>
      </c>
      <c r="B68" s="28" t="s">
        <v>232</v>
      </c>
      <c r="C68" s="28" t="s">
        <v>248</v>
      </c>
      <c r="D68" s="21">
        <v>59026000</v>
      </c>
      <c r="E68" s="52" t="s">
        <v>80</v>
      </c>
      <c r="F68" s="52" t="s">
        <v>8</v>
      </c>
      <c r="G68" s="9">
        <v>0</v>
      </c>
      <c r="H68" s="9">
        <v>0</v>
      </c>
      <c r="I68" s="9">
        <v>6372</v>
      </c>
      <c r="J68" s="9">
        <v>6490</v>
      </c>
      <c r="K68" s="9">
        <v>6490</v>
      </c>
      <c r="L68" s="9">
        <v>6490</v>
      </c>
      <c r="M68" s="9">
        <v>6490</v>
      </c>
      <c r="N68" s="9">
        <v>6549</v>
      </c>
      <c r="O68" s="9">
        <v>6490</v>
      </c>
      <c r="P68" s="9">
        <v>6549</v>
      </c>
      <c r="Q68" s="9">
        <v>15193.5</v>
      </c>
      <c r="R68" s="9">
        <v>-2095.5</v>
      </c>
      <c r="S68" s="9">
        <f>SUM(_25[[#This Row],[2025-01]:[2025-12]])</f>
        <v>65018</v>
      </c>
    </row>
    <row r="69" spans="1:19" ht="20.399999999999999" x14ac:dyDescent="0.3">
      <c r="A69" s="51" t="str">
        <f t="shared" si="5"/>
        <v>Koszty</v>
      </c>
      <c r="B69" s="28" t="s">
        <v>232</v>
      </c>
      <c r="C69" s="28" t="s">
        <v>248</v>
      </c>
      <c r="D69" s="21">
        <v>59028000</v>
      </c>
      <c r="E69" s="52" t="s">
        <v>81</v>
      </c>
      <c r="F69" s="52" t="s">
        <v>8</v>
      </c>
      <c r="G69" s="9">
        <v>12508.95</v>
      </c>
      <c r="H69" s="9">
        <v>12363.61</v>
      </c>
      <c r="I69" s="9">
        <v>12435.929999999997</v>
      </c>
      <c r="J69" s="9">
        <v>12493.029999999999</v>
      </c>
      <c r="K69" s="9">
        <v>12402.440000000002</v>
      </c>
      <c r="L69" s="9">
        <v>12453.939999999995</v>
      </c>
      <c r="M69" s="9">
        <v>12403.450000000012</v>
      </c>
      <c r="N69" s="9">
        <v>12467.159999999989</v>
      </c>
      <c r="O69" s="9">
        <v>12630.270000000004</v>
      </c>
      <c r="P69" s="9">
        <v>13610.960000000006</v>
      </c>
      <c r="Q69" s="9">
        <v>13414.319999999992</v>
      </c>
      <c r="R69" s="9">
        <v>13373.190000000002</v>
      </c>
      <c r="S69" s="9">
        <f>SUM(_25[[#This Row],[2025-01]:[2025-12]])</f>
        <v>152557.25</v>
      </c>
    </row>
    <row r="70" spans="1:19" ht="20.399999999999999" x14ac:dyDescent="0.3">
      <c r="A70" s="51" t="str">
        <f t="shared" si="5"/>
        <v>Koszty</v>
      </c>
      <c r="B70" s="28" t="s">
        <v>232</v>
      </c>
      <c r="C70" s="28" t="s">
        <v>248</v>
      </c>
      <c r="D70" s="21">
        <v>59036001</v>
      </c>
      <c r="E70" s="52" t="s">
        <v>82</v>
      </c>
      <c r="F70" s="52" t="s">
        <v>8</v>
      </c>
      <c r="G70" s="9">
        <v>21850</v>
      </c>
      <c r="H70" s="9">
        <v>21660</v>
      </c>
      <c r="I70" s="9">
        <v>21660</v>
      </c>
      <c r="J70" s="9">
        <v>21470</v>
      </c>
      <c r="K70" s="9">
        <v>21470</v>
      </c>
      <c r="L70" s="9">
        <v>42560</v>
      </c>
      <c r="M70" s="9">
        <v>0</v>
      </c>
      <c r="N70" s="9">
        <v>21660</v>
      </c>
      <c r="O70" s="9">
        <v>21470</v>
      </c>
      <c r="P70" s="9">
        <v>42940</v>
      </c>
      <c r="Q70" s="9">
        <v>0</v>
      </c>
      <c r="R70" s="9">
        <v>43510</v>
      </c>
      <c r="S70" s="9">
        <f>SUM(_25[[#This Row],[2025-01]:[2025-12]])</f>
        <v>280250</v>
      </c>
    </row>
    <row r="71" spans="1:19" ht="20.399999999999999" x14ac:dyDescent="0.3">
      <c r="A71" s="51" t="str">
        <f t="shared" si="5"/>
        <v>Koszty</v>
      </c>
      <c r="B71" s="28" t="s">
        <v>232</v>
      </c>
      <c r="C71" s="28" t="s">
        <v>249</v>
      </c>
      <c r="D71" s="21">
        <v>58540000</v>
      </c>
      <c r="E71" s="52" t="s">
        <v>84</v>
      </c>
      <c r="F71" s="52" t="s">
        <v>8</v>
      </c>
      <c r="G71" s="9">
        <v>0</v>
      </c>
      <c r="H71" s="9">
        <v>280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f>SUM(_25[[#This Row],[2025-01]:[2025-12]])</f>
        <v>280</v>
      </c>
    </row>
    <row r="72" spans="1:19" ht="20.399999999999999" x14ac:dyDescent="0.3">
      <c r="A72" s="51" t="str">
        <f t="shared" si="5"/>
        <v>Koszty</v>
      </c>
      <c r="B72" s="28" t="s">
        <v>232</v>
      </c>
      <c r="C72" s="28" t="s">
        <v>249</v>
      </c>
      <c r="D72" s="21">
        <v>58540100</v>
      </c>
      <c r="E72" s="52" t="s">
        <v>85</v>
      </c>
      <c r="F72" s="52" t="s">
        <v>8</v>
      </c>
      <c r="G72" s="9">
        <v>12586.41</v>
      </c>
      <c r="H72" s="9">
        <v>426.29000000000087</v>
      </c>
      <c r="I72" s="9">
        <v>-66.340000000000146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f>SUM(_25[[#This Row],[2025-01]:[2025-12]])</f>
        <v>12946.36</v>
      </c>
    </row>
    <row r="73" spans="1:19" ht="20.399999999999999" x14ac:dyDescent="0.3">
      <c r="A73" s="51" t="str">
        <f t="shared" si="5"/>
        <v>Koszty</v>
      </c>
      <c r="B73" s="28" t="s">
        <v>232</v>
      </c>
      <c r="C73" s="28" t="s">
        <v>249</v>
      </c>
      <c r="D73" s="21">
        <v>58540111</v>
      </c>
      <c r="E73" s="52" t="s">
        <v>86</v>
      </c>
      <c r="F73" s="52" t="s">
        <v>8</v>
      </c>
      <c r="G73" s="9">
        <v>4975.05</v>
      </c>
      <c r="H73" s="9">
        <v>63.630000000000109</v>
      </c>
      <c r="I73" s="9">
        <v>433.57999999999993</v>
      </c>
      <c r="J73" s="9">
        <v>15.679999999999382</v>
      </c>
      <c r="K73" s="9">
        <v>0</v>
      </c>
      <c r="L73" s="9">
        <v>266.6200000000008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f>SUM(_25[[#This Row],[2025-01]:[2025-12]])</f>
        <v>5754.56</v>
      </c>
    </row>
    <row r="74" spans="1:19" ht="20.399999999999999" x14ac:dyDescent="0.3">
      <c r="A74" s="51" t="str">
        <f t="shared" si="5"/>
        <v>Koszty</v>
      </c>
      <c r="B74" s="28" t="s">
        <v>232</v>
      </c>
      <c r="C74" s="28" t="s">
        <v>249</v>
      </c>
      <c r="D74" s="21">
        <v>58540200</v>
      </c>
      <c r="E74" s="52" t="s">
        <v>87</v>
      </c>
      <c r="F74" s="52" t="s">
        <v>8</v>
      </c>
      <c r="G74" s="9">
        <v>621.61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f>SUM(_25[[#This Row],[2025-01]:[2025-12]])</f>
        <v>621.61</v>
      </c>
    </row>
    <row r="75" spans="1:19" ht="20.399999999999999" x14ac:dyDescent="0.3">
      <c r="A75" s="51" t="str">
        <f t="shared" si="5"/>
        <v>Koszty</v>
      </c>
      <c r="B75" s="28" t="s">
        <v>232</v>
      </c>
      <c r="C75" s="28" t="s">
        <v>249</v>
      </c>
      <c r="D75" s="21">
        <v>58540201</v>
      </c>
      <c r="E75" s="52" t="s">
        <v>88</v>
      </c>
      <c r="F75" s="52" t="s">
        <v>8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f>SUM(_25[[#This Row],[2025-01]:[2025-12]])</f>
        <v>0</v>
      </c>
    </row>
    <row r="76" spans="1:19" ht="20.399999999999999" x14ac:dyDescent="0.3">
      <c r="A76" s="51" t="str">
        <f t="shared" si="5"/>
        <v>Koszty</v>
      </c>
      <c r="B76" s="28" t="s">
        <v>232</v>
      </c>
      <c r="C76" s="28" t="s">
        <v>249</v>
      </c>
      <c r="D76" s="21">
        <v>58540211</v>
      </c>
      <c r="E76" s="52" t="s">
        <v>89</v>
      </c>
      <c r="F76" s="52" t="s">
        <v>8</v>
      </c>
      <c r="G76" s="9">
        <v>1120.44</v>
      </c>
      <c r="H76" s="9">
        <v>-95.190000000000055</v>
      </c>
      <c r="I76" s="9">
        <v>674.07999999999993</v>
      </c>
      <c r="J76" s="9">
        <v>0</v>
      </c>
      <c r="K76" s="9">
        <v>0</v>
      </c>
      <c r="L76" s="9">
        <v>0</v>
      </c>
      <c r="M76" s="9">
        <v>0</v>
      </c>
      <c r="N76" s="9">
        <v>212.03999999999996</v>
      </c>
      <c r="O76" s="9">
        <v>0</v>
      </c>
      <c r="P76" s="9">
        <v>1010.8499999999999</v>
      </c>
      <c r="Q76" s="9">
        <v>-89.549999999999727</v>
      </c>
      <c r="R76" s="9">
        <v>0</v>
      </c>
      <c r="S76" s="9">
        <f>SUM(_25[[#This Row],[2025-01]:[2025-12]])</f>
        <v>2832.67</v>
      </c>
    </row>
    <row r="77" spans="1:19" ht="20.399999999999999" x14ac:dyDescent="0.3">
      <c r="A77" s="51" t="str">
        <f t="shared" si="5"/>
        <v>Koszty</v>
      </c>
      <c r="B77" s="28" t="s">
        <v>232</v>
      </c>
      <c r="C77" s="28" t="s">
        <v>249</v>
      </c>
      <c r="D77" s="21">
        <v>58540300</v>
      </c>
      <c r="E77" s="52" t="s">
        <v>90</v>
      </c>
      <c r="F77" s="52" t="s">
        <v>8</v>
      </c>
      <c r="G77" s="9">
        <v>10962.29</v>
      </c>
      <c r="H77" s="9">
        <v>6420.0799999999981</v>
      </c>
      <c r="I77" s="9">
        <v>3113.1700000000019</v>
      </c>
      <c r="J77" s="9">
        <v>4855.0599999999977</v>
      </c>
      <c r="K77" s="9">
        <v>600</v>
      </c>
      <c r="L77" s="9">
        <v>3723.84</v>
      </c>
      <c r="M77" s="9">
        <v>0</v>
      </c>
      <c r="N77" s="9">
        <v>1110</v>
      </c>
      <c r="O77" s="9">
        <v>2137.2999999999993</v>
      </c>
      <c r="P77" s="9">
        <v>5490</v>
      </c>
      <c r="Q77" s="9">
        <v>1890</v>
      </c>
      <c r="R77" s="9">
        <v>300</v>
      </c>
      <c r="S77" s="9">
        <f>SUM(_25[[#This Row],[2025-01]:[2025-12]])</f>
        <v>40601.74</v>
      </c>
    </row>
    <row r="78" spans="1:19" ht="20.399999999999999" x14ac:dyDescent="0.3">
      <c r="A78" s="51" t="str">
        <f t="shared" si="5"/>
        <v>Koszty</v>
      </c>
      <c r="B78" s="28" t="s">
        <v>232</v>
      </c>
      <c r="C78" s="28" t="s">
        <v>249</v>
      </c>
      <c r="D78" s="21">
        <v>58540800</v>
      </c>
      <c r="E78" s="52" t="s">
        <v>91</v>
      </c>
      <c r="F78" s="52" t="s">
        <v>8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f>SUM(_25[[#This Row],[2025-01]:[2025-12]])</f>
        <v>0</v>
      </c>
    </row>
    <row r="79" spans="1:19" ht="20.399999999999999" x14ac:dyDescent="0.3">
      <c r="A79" s="51" t="str">
        <f t="shared" si="5"/>
        <v>Koszty</v>
      </c>
      <c r="B79" s="28" t="s">
        <v>232</v>
      </c>
      <c r="C79" s="28" t="s">
        <v>249</v>
      </c>
      <c r="D79" s="21">
        <v>58560000</v>
      </c>
      <c r="E79" s="52" t="s">
        <v>92</v>
      </c>
      <c r="F79" s="52" t="s">
        <v>8</v>
      </c>
      <c r="G79" s="9">
        <v>0</v>
      </c>
      <c r="H79" s="9">
        <v>4050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f>SUM(_25[[#This Row],[2025-01]:[2025-12]])</f>
        <v>4050</v>
      </c>
    </row>
    <row r="80" spans="1:19" ht="20.399999999999999" x14ac:dyDescent="0.3">
      <c r="A80" s="51" t="str">
        <f t="shared" si="5"/>
        <v>Koszty</v>
      </c>
      <c r="B80" s="28" t="s">
        <v>232</v>
      </c>
      <c r="C80" s="28" t="s">
        <v>249</v>
      </c>
      <c r="D80" s="21">
        <v>58562000</v>
      </c>
      <c r="E80" s="52" t="s">
        <v>93</v>
      </c>
      <c r="F80" s="52" t="s">
        <v>8</v>
      </c>
      <c r="G80" s="9">
        <v>0</v>
      </c>
      <c r="H80" s="9">
        <v>4550.46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12872.41</v>
      </c>
      <c r="S80" s="9">
        <f>SUM(_25[[#This Row],[2025-01]:[2025-12]])</f>
        <v>17422.87</v>
      </c>
    </row>
    <row r="81" spans="1:19" ht="20.399999999999999" x14ac:dyDescent="0.3">
      <c r="A81" s="51" t="str">
        <f t="shared" si="5"/>
        <v>Koszty</v>
      </c>
      <c r="B81" s="28" t="s">
        <v>232</v>
      </c>
      <c r="C81" s="28" t="s">
        <v>249</v>
      </c>
      <c r="D81" s="21">
        <v>58564000</v>
      </c>
      <c r="E81" s="52" t="s">
        <v>94</v>
      </c>
      <c r="F81" s="52" t="s">
        <v>8</v>
      </c>
      <c r="G81" s="9">
        <v>3409.93</v>
      </c>
      <c r="H81" s="9">
        <v>5900.57</v>
      </c>
      <c r="I81" s="9">
        <v>2854.2999999999993</v>
      </c>
      <c r="J81" s="9">
        <v>4180.1000000000004</v>
      </c>
      <c r="K81" s="9">
        <v>1474.8999999999996</v>
      </c>
      <c r="L81" s="9">
        <v>2676.7800000000025</v>
      </c>
      <c r="M81" s="9">
        <v>3746.8999999999978</v>
      </c>
      <c r="N81" s="9">
        <v>2740.7000000000007</v>
      </c>
      <c r="O81" s="9">
        <v>4408.0999999999985</v>
      </c>
      <c r="P81" s="9">
        <v>7527.4100000000035</v>
      </c>
      <c r="Q81" s="9">
        <v>44.5</v>
      </c>
      <c r="R81" s="9">
        <v>1245.6999999999971</v>
      </c>
      <c r="S81" s="9">
        <f>SUM(_25[[#This Row],[2025-01]:[2025-12]])</f>
        <v>40209.89</v>
      </c>
    </row>
    <row r="82" spans="1:19" ht="20.399999999999999" x14ac:dyDescent="0.3">
      <c r="A82" s="51" t="str">
        <f t="shared" si="5"/>
        <v>Koszty</v>
      </c>
      <c r="B82" s="28" t="s">
        <v>232</v>
      </c>
      <c r="C82" s="28" t="s">
        <v>249</v>
      </c>
      <c r="D82" s="21">
        <v>58564010</v>
      </c>
      <c r="E82" s="52" t="s">
        <v>95</v>
      </c>
      <c r="F82" s="52" t="s">
        <v>8</v>
      </c>
      <c r="G82" s="9">
        <v>2421.67</v>
      </c>
      <c r="H82" s="9">
        <v>1254.4000000000001</v>
      </c>
      <c r="I82" s="9">
        <v>0</v>
      </c>
      <c r="J82" s="9">
        <v>265.59999999999991</v>
      </c>
      <c r="K82" s="9">
        <v>396</v>
      </c>
      <c r="L82" s="9">
        <v>1454.58</v>
      </c>
      <c r="M82" s="9">
        <v>0</v>
      </c>
      <c r="N82" s="9">
        <v>3779.9400000000005</v>
      </c>
      <c r="O82" s="9">
        <v>111.69999999999891</v>
      </c>
      <c r="P82" s="9">
        <v>909.51000000000022</v>
      </c>
      <c r="Q82" s="9">
        <v>218.05000000000109</v>
      </c>
      <c r="R82" s="9">
        <v>1088.7999999999993</v>
      </c>
      <c r="S82" s="9">
        <f>SUM(_25[[#This Row],[2025-01]:[2025-12]])</f>
        <v>11900.25</v>
      </c>
    </row>
    <row r="83" spans="1:19" ht="20.399999999999999" x14ac:dyDescent="0.3">
      <c r="A83" s="51" t="str">
        <f t="shared" si="5"/>
        <v>Koszty</v>
      </c>
      <c r="B83" s="28" t="s">
        <v>232</v>
      </c>
      <c r="C83" s="28" t="s">
        <v>249</v>
      </c>
      <c r="D83" s="21">
        <v>58564020</v>
      </c>
      <c r="E83" s="52" t="s">
        <v>96</v>
      </c>
      <c r="F83" s="52" t="s">
        <v>8</v>
      </c>
      <c r="G83" s="9">
        <v>-35000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-4000</v>
      </c>
      <c r="O83" s="9">
        <v>0</v>
      </c>
      <c r="P83" s="9">
        <v>0</v>
      </c>
      <c r="Q83" s="9">
        <v>0</v>
      </c>
      <c r="R83" s="9">
        <v>0</v>
      </c>
      <c r="S83" s="9">
        <f>SUM(_25[[#This Row],[2025-01]:[2025-12]])</f>
        <v>-39000</v>
      </c>
    </row>
    <row r="84" spans="1:19" ht="20.399999999999999" x14ac:dyDescent="0.3">
      <c r="A84" s="51" t="str">
        <f t="shared" si="5"/>
        <v>Koszty</v>
      </c>
      <c r="B84" s="28" t="s">
        <v>232</v>
      </c>
      <c r="C84" s="28" t="s">
        <v>249</v>
      </c>
      <c r="D84" s="21">
        <v>58566000</v>
      </c>
      <c r="E84" s="52" t="s">
        <v>97</v>
      </c>
      <c r="F84" s="52" t="s">
        <v>8</v>
      </c>
      <c r="G84" s="9">
        <v>2301.39</v>
      </c>
      <c r="H84" s="9">
        <v>4048.6600000000003</v>
      </c>
      <c r="I84" s="9">
        <v>14173.369999999999</v>
      </c>
      <c r="J84" s="9">
        <v>0</v>
      </c>
      <c r="K84" s="9">
        <v>2531.4600000000028</v>
      </c>
      <c r="L84" s="9">
        <v>3135.2999999999993</v>
      </c>
      <c r="M84" s="9">
        <v>36.790000000000873</v>
      </c>
      <c r="N84" s="9">
        <v>1061.5</v>
      </c>
      <c r="O84" s="9">
        <v>0</v>
      </c>
      <c r="P84" s="9">
        <v>0</v>
      </c>
      <c r="Q84" s="9">
        <v>0</v>
      </c>
      <c r="R84" s="9">
        <v>-4670.5300000000025</v>
      </c>
      <c r="S84" s="9">
        <f>SUM(_25[[#This Row],[2025-01]:[2025-12]])</f>
        <v>22617.94</v>
      </c>
    </row>
    <row r="85" spans="1:19" ht="20.399999999999999" x14ac:dyDescent="0.3">
      <c r="A85" s="51" t="str">
        <f t="shared" si="5"/>
        <v>Koszty</v>
      </c>
      <c r="B85" s="28" t="s">
        <v>232</v>
      </c>
      <c r="C85" s="28" t="s">
        <v>249</v>
      </c>
      <c r="D85" s="21">
        <v>58566010</v>
      </c>
      <c r="E85" s="52" t="s">
        <v>98</v>
      </c>
      <c r="F85" s="52" t="s">
        <v>8</v>
      </c>
      <c r="G85" s="9">
        <v>0</v>
      </c>
      <c r="H85" s="9">
        <v>1450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2710</v>
      </c>
      <c r="S85" s="9">
        <f>SUM(_25[[#This Row],[2025-01]:[2025-12]])</f>
        <v>4160</v>
      </c>
    </row>
    <row r="86" spans="1:19" ht="20.399999999999999" x14ac:dyDescent="0.3">
      <c r="A86" s="51" t="str">
        <f t="shared" si="5"/>
        <v>Koszty</v>
      </c>
      <c r="B86" s="28" t="s">
        <v>232</v>
      </c>
      <c r="C86" s="28" t="s">
        <v>249</v>
      </c>
      <c r="D86" s="21">
        <v>58568002</v>
      </c>
      <c r="E86" s="52" t="s">
        <v>99</v>
      </c>
      <c r="F86" s="52" t="s">
        <v>8</v>
      </c>
      <c r="G86" s="9">
        <v>1667.89</v>
      </c>
      <c r="H86" s="9">
        <v>273</v>
      </c>
      <c r="I86" s="9">
        <v>37339.03</v>
      </c>
      <c r="J86" s="9">
        <v>2730</v>
      </c>
      <c r="K86" s="9">
        <v>-1000</v>
      </c>
      <c r="L86" s="9">
        <v>0</v>
      </c>
      <c r="M86" s="9">
        <v>357.93000000000029</v>
      </c>
      <c r="N86" s="9">
        <v>9.9899999999979627</v>
      </c>
      <c r="O86" s="9">
        <v>0</v>
      </c>
      <c r="P86" s="9">
        <v>0</v>
      </c>
      <c r="Q86" s="9">
        <v>0</v>
      </c>
      <c r="R86" s="9">
        <v>42364.19</v>
      </c>
      <c r="S86" s="9">
        <f>SUM(_25[[#This Row],[2025-01]:[2025-12]])</f>
        <v>83742.03</v>
      </c>
    </row>
    <row r="87" spans="1:19" ht="20.399999999999999" x14ac:dyDescent="0.3">
      <c r="A87" s="51" t="str">
        <f t="shared" si="5"/>
        <v>Koszty</v>
      </c>
      <c r="B87" s="28" t="s">
        <v>232</v>
      </c>
      <c r="C87" s="28" t="s">
        <v>249</v>
      </c>
      <c r="D87" s="21">
        <v>58568011</v>
      </c>
      <c r="E87" s="52" t="s">
        <v>100</v>
      </c>
      <c r="F87" s="52" t="s">
        <v>8</v>
      </c>
      <c r="G87" s="9">
        <v>1000</v>
      </c>
      <c r="H87" s="9">
        <v>0</v>
      </c>
      <c r="I87" s="9">
        <v>0</v>
      </c>
      <c r="J87" s="9">
        <v>0</v>
      </c>
      <c r="K87" s="9">
        <v>261.23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-1261.23</v>
      </c>
      <c r="S87" s="9">
        <f>SUM(_25[[#This Row],[2025-01]:[2025-12]])</f>
        <v>0</v>
      </c>
    </row>
    <row r="88" spans="1:19" ht="20.399999999999999" x14ac:dyDescent="0.3">
      <c r="A88" s="51" t="str">
        <f t="shared" si="5"/>
        <v>Przychody</v>
      </c>
      <c r="B88" s="28" t="s">
        <v>233</v>
      </c>
      <c r="C88" s="28" t="s">
        <v>251</v>
      </c>
      <c r="D88" s="21">
        <v>46012000</v>
      </c>
      <c r="E88" s="52" t="s">
        <v>153</v>
      </c>
      <c r="F88" s="52" t="s">
        <v>8</v>
      </c>
      <c r="G88" s="9">
        <v>0</v>
      </c>
      <c r="H88" s="9">
        <v>0</v>
      </c>
      <c r="I88" s="9">
        <v>0</v>
      </c>
      <c r="J88" s="9">
        <v>-150.34</v>
      </c>
      <c r="K88" s="9">
        <v>0</v>
      </c>
      <c r="L88" s="9">
        <v>0</v>
      </c>
      <c r="M88" s="9">
        <v>1833.23</v>
      </c>
      <c r="N88" s="9">
        <v>0</v>
      </c>
      <c r="O88" s="9">
        <v>-213.94000000000005</v>
      </c>
      <c r="P88" s="9">
        <v>-128.84000000000015</v>
      </c>
      <c r="Q88" s="9">
        <v>-13164.900000000001</v>
      </c>
      <c r="R88" s="9">
        <v>13164.900000000001</v>
      </c>
      <c r="S88" s="9">
        <f>SUM(_25[[#This Row],[2025-01]:[2025-12]])</f>
        <v>1340.1100000000006</v>
      </c>
    </row>
    <row r="89" spans="1:19" ht="20.399999999999999" x14ac:dyDescent="0.3">
      <c r="A89" s="51" t="str">
        <f t="shared" si="5"/>
        <v>Przychody</v>
      </c>
      <c r="B89" s="28" t="s">
        <v>233</v>
      </c>
      <c r="C89" s="28" t="s">
        <v>251</v>
      </c>
      <c r="D89" s="21">
        <v>46050000</v>
      </c>
      <c r="E89" s="52" t="s">
        <v>154</v>
      </c>
      <c r="F89" s="52" t="s">
        <v>8</v>
      </c>
      <c r="G89" s="9">
        <v>5245.76</v>
      </c>
      <c r="H89" s="9">
        <v>3478.6299999999992</v>
      </c>
      <c r="I89" s="9">
        <v>4157.630000000001</v>
      </c>
      <c r="J89" s="9">
        <v>2017.3999999999996</v>
      </c>
      <c r="K89" s="9">
        <v>1102.4599999999991</v>
      </c>
      <c r="L89" s="9">
        <v>2051.2100000000009</v>
      </c>
      <c r="M89" s="9">
        <v>2255.3600000000006</v>
      </c>
      <c r="N89" s="9">
        <v>3308.4300000000003</v>
      </c>
      <c r="O89" s="9">
        <v>3064.2299999999996</v>
      </c>
      <c r="P89" s="9">
        <v>42153.759999999995</v>
      </c>
      <c r="Q89" s="9">
        <v>1761.7799999999988</v>
      </c>
      <c r="R89" s="9">
        <v>2551.0900000000111</v>
      </c>
      <c r="S89" s="9">
        <f>SUM(_25[[#This Row],[2025-01]:[2025-12]])</f>
        <v>73147.740000000005</v>
      </c>
    </row>
    <row r="90" spans="1:19" x14ac:dyDescent="0.3">
      <c r="A90" s="51" t="str">
        <f t="shared" si="5"/>
        <v>Koszty</v>
      </c>
      <c r="B90" s="28" t="s">
        <v>234</v>
      </c>
      <c r="C90" s="28" t="s">
        <v>253</v>
      </c>
      <c r="D90" s="21">
        <v>58556000</v>
      </c>
      <c r="E90" s="52" t="s">
        <v>155</v>
      </c>
      <c r="F90" s="52" t="s">
        <v>8</v>
      </c>
      <c r="G90" s="9">
        <v>0</v>
      </c>
      <c r="H90" s="9">
        <v>0</v>
      </c>
      <c r="I90" s="9">
        <v>0</v>
      </c>
      <c r="J90" s="9">
        <v>10000</v>
      </c>
      <c r="K90" s="9">
        <v>0</v>
      </c>
      <c r="L90" s="9">
        <v>500</v>
      </c>
      <c r="M90" s="9">
        <v>0</v>
      </c>
      <c r="N90" s="9">
        <v>0</v>
      </c>
      <c r="O90" s="9">
        <v>0</v>
      </c>
      <c r="P90" s="9">
        <v>0</v>
      </c>
      <c r="Q90" s="9">
        <v>4000</v>
      </c>
      <c r="R90" s="9">
        <v>3485.5</v>
      </c>
      <c r="S90" s="9">
        <f>SUM(_25[[#This Row],[2025-01]:[2025-12]])</f>
        <v>17985.5</v>
      </c>
    </row>
    <row r="91" spans="1:19" ht="20.399999999999999" x14ac:dyDescent="0.3">
      <c r="A91" s="51" t="str">
        <f t="shared" si="5"/>
        <v>Przychody</v>
      </c>
      <c r="B91" s="28" t="s">
        <v>233</v>
      </c>
      <c r="C91" s="28" t="s">
        <v>251</v>
      </c>
      <c r="D91" s="21">
        <v>60000010</v>
      </c>
      <c r="E91" s="52" t="s">
        <v>156</v>
      </c>
      <c r="F91" s="52" t="s">
        <v>8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f>SUM(_25[[#This Row],[2025-01]:[2025-12]])</f>
        <v>0</v>
      </c>
    </row>
    <row r="92" spans="1:19" ht="20.399999999999999" x14ac:dyDescent="0.3">
      <c r="A92" s="51" t="str">
        <f t="shared" si="5"/>
        <v>Koszty</v>
      </c>
      <c r="B92" s="28" t="s">
        <v>234</v>
      </c>
      <c r="C92" s="28" t="s">
        <v>252</v>
      </c>
      <c r="D92" s="21">
        <v>60002000</v>
      </c>
      <c r="E92" s="52" t="s">
        <v>157</v>
      </c>
      <c r="F92" s="52" t="s">
        <v>8</v>
      </c>
      <c r="G92" s="9">
        <v>929.04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f>SUM(_25[[#This Row],[2025-01]:[2025-12]])</f>
        <v>929.04</v>
      </c>
    </row>
    <row r="93" spans="1:19" x14ac:dyDescent="0.3">
      <c r="A93" s="51" t="str">
        <f t="shared" si="5"/>
        <v>Koszty</v>
      </c>
      <c r="B93" s="28" t="s">
        <v>236</v>
      </c>
      <c r="C93" s="28" t="s">
        <v>239</v>
      </c>
      <c r="D93" s="21">
        <v>60502010</v>
      </c>
      <c r="E93" s="52" t="s">
        <v>158</v>
      </c>
      <c r="F93" s="52" t="s">
        <v>8</v>
      </c>
      <c r="G93" s="9">
        <v>-2.08</v>
      </c>
      <c r="H93" s="9">
        <v>0</v>
      </c>
      <c r="I93" s="9">
        <v>-4.0000000000000036E-2</v>
      </c>
      <c r="J93" s="9">
        <v>0</v>
      </c>
      <c r="K93" s="9">
        <v>-6.0000000000000053E-2</v>
      </c>
      <c r="L93" s="9">
        <v>0</v>
      </c>
      <c r="M93" s="9">
        <v>-4.0000000000000036E-2</v>
      </c>
      <c r="N93" s="9">
        <v>0</v>
      </c>
      <c r="O93" s="9">
        <v>0</v>
      </c>
      <c r="P93" s="9">
        <v>0</v>
      </c>
      <c r="Q93" s="9">
        <v>0</v>
      </c>
      <c r="R93" s="9">
        <v>136.82</v>
      </c>
      <c r="S93" s="9">
        <f>SUM(_25[[#This Row],[2025-01]:[2025-12]])</f>
        <v>134.6</v>
      </c>
    </row>
    <row r="94" spans="1:19" x14ac:dyDescent="0.3">
      <c r="A94" s="51" t="str">
        <f t="shared" si="5"/>
        <v>Koszty</v>
      </c>
      <c r="B94" s="28" t="s">
        <v>236</v>
      </c>
      <c r="C94" s="28" t="s">
        <v>239</v>
      </c>
      <c r="D94" s="21">
        <v>60502211</v>
      </c>
      <c r="E94" s="52" t="s">
        <v>159</v>
      </c>
      <c r="F94" s="52" t="s">
        <v>8</v>
      </c>
      <c r="G94" s="9">
        <v>-271.12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-5041.0200000000004</v>
      </c>
      <c r="Q94" s="9">
        <v>-44.059999999999491</v>
      </c>
      <c r="R94" s="9">
        <v>-1236.2700000000004</v>
      </c>
      <c r="S94" s="9">
        <f>SUM(_25[[#This Row],[2025-01]:[2025-12]])</f>
        <v>-6592.47</v>
      </c>
    </row>
    <row r="95" spans="1:19" x14ac:dyDescent="0.3">
      <c r="A95" s="51" t="str">
        <f t="shared" si="5"/>
        <v>Koszty</v>
      </c>
      <c r="B95" s="28" t="s">
        <v>236</v>
      </c>
      <c r="C95" s="28" t="s">
        <v>239</v>
      </c>
      <c r="D95" s="21">
        <v>60503010</v>
      </c>
      <c r="E95" s="52" t="s">
        <v>160</v>
      </c>
      <c r="F95" s="52" t="s">
        <v>8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0.08</v>
      </c>
      <c r="M95" s="9">
        <v>0</v>
      </c>
      <c r="N95" s="9">
        <v>3.9999999999999994E-2</v>
      </c>
      <c r="O95" s="9">
        <v>0</v>
      </c>
      <c r="P95" s="9">
        <v>0</v>
      </c>
      <c r="Q95" s="9">
        <v>0.56999999999999995</v>
      </c>
      <c r="R95" s="9">
        <v>0</v>
      </c>
      <c r="S95" s="9">
        <f>SUM(_25[[#This Row],[2025-01]:[2025-12]])</f>
        <v>0.69</v>
      </c>
    </row>
    <row r="96" spans="1:19" x14ac:dyDescent="0.3">
      <c r="A96" s="51" t="str">
        <f t="shared" si="5"/>
        <v>Koszty</v>
      </c>
      <c r="B96" s="28" t="s">
        <v>236</v>
      </c>
      <c r="C96" s="28" t="s">
        <v>239</v>
      </c>
      <c r="D96" s="21">
        <v>60508010</v>
      </c>
      <c r="E96" s="52" t="s">
        <v>161</v>
      </c>
      <c r="F96" s="52" t="s">
        <v>8</v>
      </c>
      <c r="G96" s="9">
        <v>-0.01</v>
      </c>
      <c r="H96" s="9">
        <v>0</v>
      </c>
      <c r="I96" s="9">
        <v>0</v>
      </c>
      <c r="J96" s="9">
        <v>0</v>
      </c>
      <c r="K96" s="9">
        <v>0</v>
      </c>
      <c r="L96" s="9">
        <v>-3111.1699999999996</v>
      </c>
      <c r="M96" s="9">
        <v>-653.32000000000016</v>
      </c>
      <c r="N96" s="9">
        <v>-134.2800000000002</v>
      </c>
      <c r="O96" s="9">
        <v>-1267.0499999999997</v>
      </c>
      <c r="P96" s="9">
        <v>-41.109999999999673</v>
      </c>
      <c r="Q96" s="9">
        <v>-2244.2400000000007</v>
      </c>
      <c r="R96" s="9">
        <v>-1562.1900000000005</v>
      </c>
      <c r="S96" s="9">
        <f>SUM(_25[[#This Row],[2025-01]:[2025-12]])</f>
        <v>-9013.3700000000008</v>
      </c>
    </row>
    <row r="97" spans="1:19" x14ac:dyDescent="0.3">
      <c r="A97" s="51" t="str">
        <f t="shared" si="5"/>
        <v>Koszty</v>
      </c>
      <c r="B97" s="28" t="s">
        <v>236</v>
      </c>
      <c r="C97" s="28" t="s">
        <v>239</v>
      </c>
      <c r="D97" s="21">
        <v>60509010</v>
      </c>
      <c r="E97" s="52" t="s">
        <v>162</v>
      </c>
      <c r="F97" s="52" t="s">
        <v>8</v>
      </c>
      <c r="G97" s="9">
        <v>0</v>
      </c>
      <c r="H97" s="9">
        <v>77.19</v>
      </c>
      <c r="I97" s="9">
        <v>5409.21</v>
      </c>
      <c r="J97" s="9">
        <v>360.15000000000055</v>
      </c>
      <c r="K97" s="9">
        <v>0</v>
      </c>
      <c r="L97" s="9">
        <v>434.97000000000025</v>
      </c>
      <c r="M97" s="9">
        <v>1.3699999999998909</v>
      </c>
      <c r="N97" s="9">
        <v>0</v>
      </c>
      <c r="O97" s="9">
        <v>1892.1999999999998</v>
      </c>
      <c r="P97" s="9">
        <v>560.11999999999898</v>
      </c>
      <c r="Q97" s="9">
        <v>0</v>
      </c>
      <c r="R97" s="9">
        <v>0</v>
      </c>
      <c r="S97" s="9">
        <f>SUM(_25[[#This Row],[2025-01]:[2025-12]])</f>
        <v>8735.2099999999991</v>
      </c>
    </row>
    <row r="98" spans="1:19" x14ac:dyDescent="0.3">
      <c r="A98" s="51" t="str">
        <f t="shared" si="5"/>
        <v>Koszty</v>
      </c>
      <c r="B98" s="28" t="s">
        <v>236</v>
      </c>
      <c r="C98" s="28" t="s">
        <v>239</v>
      </c>
      <c r="D98" s="21">
        <v>60509211</v>
      </c>
      <c r="E98" s="52" t="s">
        <v>163</v>
      </c>
      <c r="F98" s="52" t="s">
        <v>8</v>
      </c>
      <c r="G98" s="9">
        <v>5744.06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-290.74000000000069</v>
      </c>
      <c r="P98" s="9">
        <v>15996.48</v>
      </c>
      <c r="Q98" s="9">
        <v>-10813.17</v>
      </c>
      <c r="R98" s="9">
        <v>850.86000000000058</v>
      </c>
      <c r="S98" s="9">
        <f>SUM(_25[[#This Row],[2025-01]:[2025-12]])</f>
        <v>11487.49</v>
      </c>
    </row>
    <row r="99" spans="1:19" ht="20.399999999999999" x14ac:dyDescent="0.3">
      <c r="A99" s="51" t="str">
        <f t="shared" si="5"/>
        <v>Przychody</v>
      </c>
      <c r="B99" s="28" t="s">
        <v>233</v>
      </c>
      <c r="C99" s="28" t="s">
        <v>250</v>
      </c>
      <c r="D99" s="21">
        <v>62502000</v>
      </c>
      <c r="E99" s="52" t="s">
        <v>164</v>
      </c>
      <c r="F99" s="52" t="s">
        <v>8</v>
      </c>
      <c r="G99" s="9">
        <v>383.73</v>
      </c>
      <c r="H99" s="9">
        <v>40.649999999999977</v>
      </c>
      <c r="I99" s="9">
        <v>53700</v>
      </c>
      <c r="J99" s="9">
        <v>24.389999999999418</v>
      </c>
      <c r="K99" s="9">
        <v>0</v>
      </c>
      <c r="L99" s="9">
        <v>0</v>
      </c>
      <c r="M99" s="9">
        <v>56.910000000003492</v>
      </c>
      <c r="N99" s="9">
        <v>16.260000000002037</v>
      </c>
      <c r="O99" s="9">
        <v>105.68999999999505</v>
      </c>
      <c r="P99" s="9">
        <v>1.6200000000026193</v>
      </c>
      <c r="Q99" s="9">
        <v>0</v>
      </c>
      <c r="R99" s="9">
        <v>0</v>
      </c>
      <c r="S99" s="9">
        <f>SUM(_25[[#This Row],[2025-01]:[2025-12]])</f>
        <v>54329.25</v>
      </c>
    </row>
    <row r="100" spans="1:19" ht="20.399999999999999" x14ac:dyDescent="0.3">
      <c r="A100" s="51" t="str">
        <f t="shared" si="5"/>
        <v>Przychody</v>
      </c>
      <c r="B100" s="28" t="s">
        <v>233</v>
      </c>
      <c r="C100" s="28" t="s">
        <v>250</v>
      </c>
      <c r="D100" s="21">
        <v>62503000</v>
      </c>
      <c r="E100" s="52" t="s">
        <v>165</v>
      </c>
      <c r="F100" s="52" t="s">
        <v>8</v>
      </c>
      <c r="G100" s="9">
        <v>0</v>
      </c>
      <c r="H100" s="9">
        <v>0</v>
      </c>
      <c r="I100" s="9">
        <v>-2541.4899999999998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f>SUM(_25[[#This Row],[2025-01]:[2025-12]])</f>
        <v>-2541.4899999999998</v>
      </c>
    </row>
    <row r="101" spans="1:19" ht="20.399999999999999" x14ac:dyDescent="0.3">
      <c r="A101" s="51" t="str">
        <f t="shared" si="5"/>
        <v>Przychody</v>
      </c>
      <c r="B101" s="28" t="s">
        <v>235</v>
      </c>
      <c r="C101" s="28" t="s">
        <v>254</v>
      </c>
      <c r="D101" s="21">
        <v>64510000</v>
      </c>
      <c r="E101" s="52" t="s">
        <v>166</v>
      </c>
      <c r="F101" s="52" t="s">
        <v>8</v>
      </c>
      <c r="G101" s="9">
        <v>11.41</v>
      </c>
      <c r="H101" s="9">
        <v>0</v>
      </c>
      <c r="I101" s="9">
        <v>6.879999999999999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f>SUM(_25[[#This Row],[2025-01]:[2025-12]])</f>
        <v>18.29</v>
      </c>
    </row>
    <row r="102" spans="1:19" x14ac:dyDescent="0.3">
      <c r="A102" s="51" t="str">
        <f t="shared" si="5"/>
        <v>Koszty</v>
      </c>
      <c r="B102" s="28" t="s">
        <v>236</v>
      </c>
      <c r="C102" s="28" t="s">
        <v>238</v>
      </c>
      <c r="D102" s="21">
        <v>65016000</v>
      </c>
      <c r="E102" s="52" t="s">
        <v>167</v>
      </c>
      <c r="F102" s="52" t="s">
        <v>8</v>
      </c>
      <c r="G102" s="9">
        <v>-0.31</v>
      </c>
      <c r="H102" s="9">
        <v>260.31</v>
      </c>
      <c r="I102" s="9">
        <v>50.120000000000005</v>
      </c>
      <c r="J102" s="9">
        <v>43.46999999999997</v>
      </c>
      <c r="K102" s="9">
        <v>0.21000000000003638</v>
      </c>
      <c r="L102" s="9">
        <v>100.21999999999997</v>
      </c>
      <c r="M102" s="9">
        <v>112.92000000000007</v>
      </c>
      <c r="N102" s="9">
        <v>-29.960000000000036</v>
      </c>
      <c r="O102" s="9">
        <v>3.4399999999999409</v>
      </c>
      <c r="P102" s="9">
        <v>0</v>
      </c>
      <c r="Q102" s="9">
        <v>0.16000000000008185</v>
      </c>
      <c r="R102" s="9">
        <v>131</v>
      </c>
      <c r="S102" s="9">
        <f>SUM(_25[[#This Row],[2025-01]:[2025-12]])</f>
        <v>671.58</v>
      </c>
    </row>
    <row r="103" spans="1:19" x14ac:dyDescent="0.3">
      <c r="A103" s="51" t="str">
        <f t="shared" si="5"/>
        <v>Koszty</v>
      </c>
      <c r="B103" s="28" t="s">
        <v>236</v>
      </c>
      <c r="C103" s="28" t="s">
        <v>239</v>
      </c>
      <c r="D103" s="21">
        <v>65528010</v>
      </c>
      <c r="E103" s="52" t="s">
        <v>168</v>
      </c>
      <c r="F103" s="52" t="s">
        <v>8</v>
      </c>
      <c r="G103" s="9">
        <v>0</v>
      </c>
      <c r="H103" s="9">
        <v>-0.01</v>
      </c>
      <c r="I103" s="9">
        <v>-1.9999999999999997E-2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f>SUM(_25[[#This Row],[2025-01]:[2025-12]])</f>
        <v>-0.03</v>
      </c>
    </row>
    <row r="104" spans="1:19" x14ac:dyDescent="0.3">
      <c r="A104" s="51" t="str">
        <f t="shared" si="5"/>
        <v>Koszty</v>
      </c>
      <c r="B104" s="28" t="s">
        <v>236</v>
      </c>
      <c r="C104" s="28" t="s">
        <v>239</v>
      </c>
      <c r="D104" s="21">
        <v>65528110</v>
      </c>
      <c r="E104" s="52" t="s">
        <v>169</v>
      </c>
      <c r="F104" s="52" t="s">
        <v>8</v>
      </c>
      <c r="G104" s="9">
        <v>15.15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f>SUM(_25[[#This Row],[2025-01]:[2025-12]])</f>
        <v>15.15</v>
      </c>
    </row>
    <row r="105" spans="1:19" x14ac:dyDescent="0.3">
      <c r="A105" s="51" t="str">
        <f t="shared" si="5"/>
        <v>Koszty</v>
      </c>
      <c r="B105" s="28" t="s">
        <v>237</v>
      </c>
      <c r="C105" s="28"/>
      <c r="D105" s="21">
        <v>70000000</v>
      </c>
      <c r="E105" s="52" t="s">
        <v>170</v>
      </c>
      <c r="F105" s="52" t="s">
        <v>8</v>
      </c>
      <c r="G105" s="9">
        <v>0</v>
      </c>
      <c r="H105" s="9">
        <v>44113.25</v>
      </c>
      <c r="I105" s="9">
        <v>43210.75</v>
      </c>
      <c r="J105" s="9">
        <v>320688.27</v>
      </c>
      <c r="K105" s="9">
        <v>43662</v>
      </c>
      <c r="L105" s="9">
        <v>43662</v>
      </c>
      <c r="M105" s="9">
        <v>43662</v>
      </c>
      <c r="N105" s="9">
        <v>43662</v>
      </c>
      <c r="O105" s="9">
        <v>287538.99</v>
      </c>
      <c r="P105" s="9">
        <v>43662</v>
      </c>
      <c r="Q105" s="9">
        <v>43662</v>
      </c>
      <c r="R105" s="9">
        <v>-798771.91</v>
      </c>
      <c r="S105" s="9">
        <f>SUM(_25[[#This Row],[2025-01]:[2025-12]])</f>
        <v>158751.34999999998</v>
      </c>
    </row>
    <row r="106" spans="1:19" x14ac:dyDescent="0.3">
      <c r="A106" s="51" t="str">
        <f t="shared" si="5"/>
        <v>Koszty</v>
      </c>
      <c r="B106" s="28" t="s">
        <v>236</v>
      </c>
      <c r="C106" s="28" t="s">
        <v>239</v>
      </c>
      <c r="D106" s="21">
        <v>60500000</v>
      </c>
      <c r="E106" s="52" t="s">
        <v>183</v>
      </c>
      <c r="F106" s="52" t="s">
        <v>8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-416.67</v>
      </c>
      <c r="S106" s="9">
        <f>SUM(_25[[#This Row],[2025-01]:[2025-12]])</f>
        <v>-416.67</v>
      </c>
    </row>
    <row r="107" spans="1:19" x14ac:dyDescent="0.3">
      <c r="A107" s="51" t="str">
        <f t="shared" si="5"/>
        <v>Koszty</v>
      </c>
      <c r="B107" s="28" t="s">
        <v>236</v>
      </c>
      <c r="C107" s="28" t="s">
        <v>239</v>
      </c>
      <c r="D107" s="21">
        <v>60501000</v>
      </c>
      <c r="E107" s="52" t="s">
        <v>184</v>
      </c>
      <c r="F107" s="52" t="s">
        <v>8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130.12</v>
      </c>
      <c r="S107" s="9">
        <f>SUM(_25[[#This Row],[2025-01]:[2025-12]])</f>
        <v>130.12</v>
      </c>
    </row>
    <row r="108" spans="1:19" x14ac:dyDescent="0.3">
      <c r="A108" s="53"/>
      <c r="B108" s="28" t="s">
        <v>520</v>
      </c>
      <c r="C108" s="28"/>
      <c r="D108" s="54"/>
      <c r="E108" s="55"/>
      <c r="F108" s="55"/>
      <c r="G108" s="9">
        <f>SUMIF($B$2:$B$107,"A. Przychody netto ze sprzedaży i zrównane z nimi, w tym:",G2:G107) - SUMIF($B$2:$B$107,"B. Koszty działalności operacyjnej",G2:G107)</f>
        <v>182289.91000000038</v>
      </c>
      <c r="H108" s="9">
        <f t="shared" ref="H108:R108" si="6">SUMIF($B$2:$B$107,"A. Przychody netto ze sprzedaży i zrównane z nimi, w tym:",H2:H107) - SUMIF($B$2:$B$107,"B. Koszty działalności operacyjnej",H2:H107)</f>
        <v>202712.45000000019</v>
      </c>
      <c r="I108" s="9">
        <f t="shared" si="6"/>
        <v>47651.569999999832</v>
      </c>
      <c r="J108" s="9">
        <f t="shared" si="6"/>
        <v>-246592.8200000003</v>
      </c>
      <c r="K108" s="9">
        <f t="shared" si="6"/>
        <v>123464.14999999991</v>
      </c>
      <c r="L108" s="9">
        <f t="shared" si="6"/>
        <v>-144068.7099999995</v>
      </c>
      <c r="M108" s="9">
        <f t="shared" si="6"/>
        <v>60619.560000000522</v>
      </c>
      <c r="N108" s="9">
        <f t="shared" si="6"/>
        <v>163286.37999999919</v>
      </c>
      <c r="O108" s="9">
        <f t="shared" si="6"/>
        <v>90995.590000000549</v>
      </c>
      <c r="P108" s="9">
        <f t="shared" si="6"/>
        <v>21928.19000000041</v>
      </c>
      <c r="Q108" s="9">
        <f t="shared" si="6"/>
        <v>92971.810000000289</v>
      </c>
      <c r="R108" s="9">
        <f t="shared" si="6"/>
        <v>-214097.45000000019</v>
      </c>
      <c r="S108" s="56">
        <f>SUM(_25[[#This Row],[2025-01]:[2025-12]])</f>
        <v>381160.63000000129</v>
      </c>
    </row>
    <row r="109" spans="1:19" ht="20.399999999999999" x14ac:dyDescent="0.3">
      <c r="A109" s="53"/>
      <c r="B109" s="28" t="s">
        <v>521</v>
      </c>
      <c r="C109" s="28"/>
      <c r="D109" s="54"/>
      <c r="E109" s="55"/>
      <c r="F109" s="55"/>
      <c r="G109" s="9">
        <f>G108 + SUMIF($B$2:$B$107,"D. Pozostałe przychody operacyjne",G2:G107) - SUMIF($B$2:$B$107,"E. Pozostałe koszty operacyjne",G2:G107)</f>
        <v>186990.36000000036</v>
      </c>
      <c r="H109" s="9">
        <f t="shared" ref="H109:R109" si="7">H108 + SUMIF($B$2:$B$107,"D. Pozostałe przychody operacyjne",H2:H107) - SUMIF($B$2:$B$107,"E. Pozostałe koszty operacyjne",H2:H107)</f>
        <v>206231.73000000019</v>
      </c>
      <c r="I109" s="9">
        <f t="shared" si="7"/>
        <v>102967.70999999985</v>
      </c>
      <c r="J109" s="9">
        <f t="shared" si="7"/>
        <v>-254701.37000000029</v>
      </c>
      <c r="K109" s="9">
        <f t="shared" si="7"/>
        <v>124566.6099999999</v>
      </c>
      <c r="L109" s="9">
        <f t="shared" si="7"/>
        <v>-142517.49999999951</v>
      </c>
      <c r="M109" s="9">
        <f t="shared" si="7"/>
        <v>64765.060000000522</v>
      </c>
      <c r="N109" s="9">
        <f t="shared" si="7"/>
        <v>166611.06999999919</v>
      </c>
      <c r="O109" s="9">
        <f t="shared" si="7"/>
        <v>93951.570000000545</v>
      </c>
      <c r="P109" s="9">
        <f t="shared" si="7"/>
        <v>63954.730000000411</v>
      </c>
      <c r="Q109" s="9">
        <f t="shared" si="7"/>
        <v>77568.690000000293</v>
      </c>
      <c r="R109" s="9">
        <f t="shared" si="7"/>
        <v>-201866.96000000017</v>
      </c>
      <c r="S109" s="56">
        <f>SUM(_25[[#This Row],[2025-01]:[2025-12]])</f>
        <v>488521.70000000135</v>
      </c>
    </row>
    <row r="110" spans="1:19" x14ac:dyDescent="0.3">
      <c r="A110" s="53"/>
      <c r="B110" s="28" t="s">
        <v>522</v>
      </c>
      <c r="C110" s="28"/>
      <c r="D110" s="54"/>
      <c r="E110" s="55"/>
      <c r="F110" s="55"/>
      <c r="G110" s="9">
        <f>G109 + SUMIF($B$2:$B$107,"G. Przychody finansowe",G2:G107) - SUMIF($B$2:$B$107,"H. Koszty finansowe",G2:G107)</f>
        <v>181516.08000000037</v>
      </c>
      <c r="H110" s="9">
        <f t="shared" ref="H110:R110" si="8">H109 + SUMIF($B$2:$B$107,"G. Przychody finansowe",H2:H107) - SUMIF($B$2:$B$107,"H. Koszty finansowe",H2:H107)</f>
        <v>205894.24000000019</v>
      </c>
      <c r="I110" s="9">
        <f t="shared" si="8"/>
        <v>97515.319999999847</v>
      </c>
      <c r="J110" s="9">
        <f t="shared" si="8"/>
        <v>-255104.99000000028</v>
      </c>
      <c r="K110" s="9">
        <f t="shared" si="8"/>
        <v>124566.4599999999</v>
      </c>
      <c r="L110" s="9">
        <f t="shared" si="8"/>
        <v>-139941.59999999951</v>
      </c>
      <c r="M110" s="9">
        <f t="shared" si="8"/>
        <v>65304.130000000521</v>
      </c>
      <c r="N110" s="9">
        <f t="shared" si="8"/>
        <v>166775.2699999992</v>
      </c>
      <c r="O110" s="9">
        <f t="shared" si="8"/>
        <v>93613.72000000054</v>
      </c>
      <c r="P110" s="9">
        <f t="shared" si="8"/>
        <v>52480.260000000417</v>
      </c>
      <c r="Q110" s="9">
        <f t="shared" si="8"/>
        <v>90669.430000000299</v>
      </c>
      <c r="R110" s="9">
        <f t="shared" si="8"/>
        <v>-199900.63000000018</v>
      </c>
      <c r="S110" s="56">
        <f>SUM(_25[[#This Row],[2025-01]:[2025-12]])</f>
        <v>483387.69000000117</v>
      </c>
    </row>
    <row r="111" spans="1:19" x14ac:dyDescent="0.3">
      <c r="A111" s="53"/>
      <c r="B111" s="28" t="s">
        <v>523</v>
      </c>
      <c r="C111" s="28"/>
      <c r="D111" s="54"/>
      <c r="E111" s="55"/>
      <c r="F111" s="55"/>
      <c r="G111" s="9">
        <f>G116</f>
        <v>181516.08000000054</v>
      </c>
      <c r="H111" s="9">
        <f t="shared" ref="H111:R111" si="9">H116</f>
        <v>161780.99</v>
      </c>
      <c r="I111" s="9">
        <f t="shared" si="9"/>
        <v>54304.5699999996</v>
      </c>
      <c r="J111" s="9">
        <f t="shared" si="9"/>
        <v>-575793.26000000047</v>
      </c>
      <c r="K111" s="9">
        <f t="shared" si="9"/>
        <v>80904.459999999963</v>
      </c>
      <c r="L111" s="9">
        <f t="shared" si="9"/>
        <v>-183603.59999999963</v>
      </c>
      <c r="M111" s="9">
        <f t="shared" si="9"/>
        <v>21642.130000000587</v>
      </c>
      <c r="N111" s="9">
        <f t="shared" si="9"/>
        <v>123113.26999999909</v>
      </c>
      <c r="O111" s="9">
        <f t="shared" si="9"/>
        <v>-193925.26999999932</v>
      </c>
      <c r="P111" s="9">
        <f t="shared" si="9"/>
        <v>8818.260000000475</v>
      </c>
      <c r="Q111" s="9">
        <f t="shared" si="9"/>
        <v>47007.4300000004</v>
      </c>
      <c r="R111" s="9">
        <f t="shared" si="9"/>
        <v>598871.2799999998</v>
      </c>
      <c r="S111" s="56">
        <f>SUM(_25[[#This Row],[2025-01]:[2025-12]])</f>
        <v>324636.34000000102</v>
      </c>
    </row>
    <row r="112" spans="1:19" x14ac:dyDescent="0.3"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6:19" x14ac:dyDescent="0.3"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6:19" x14ac:dyDescent="0.3">
      <c r="F114" s="23" t="s">
        <v>280</v>
      </c>
      <c r="G114" s="9">
        <f>SUMIF($A$2:$A$107,"Przychody",G2:G107)</f>
        <v>1882845.9</v>
      </c>
      <c r="H114" s="9">
        <f t="shared" ref="H114:R114" si="10">SUMIF($A$2:$A$111,"Przychody",H2:H111)</f>
        <v>1848141.2799999998</v>
      </c>
      <c r="I114" s="9">
        <f t="shared" si="10"/>
        <v>1857702.0199999998</v>
      </c>
      <c r="J114" s="9">
        <f t="shared" si="10"/>
        <v>1432072.4499999997</v>
      </c>
      <c r="K114" s="9">
        <f t="shared" si="10"/>
        <v>1742919.46</v>
      </c>
      <c r="L114" s="9">
        <f t="shared" si="10"/>
        <v>1688124.21</v>
      </c>
      <c r="M114" s="9">
        <f t="shared" si="10"/>
        <v>1737508.5</v>
      </c>
      <c r="N114" s="9">
        <f t="shared" si="10"/>
        <v>1736687.69</v>
      </c>
      <c r="O114" s="9">
        <f t="shared" si="10"/>
        <v>1736318.98</v>
      </c>
      <c r="P114" s="9">
        <f t="shared" si="10"/>
        <v>1753686.54</v>
      </c>
      <c r="Q114" s="9">
        <f t="shared" si="10"/>
        <v>1700256.8800000001</v>
      </c>
      <c r="R114" s="9">
        <f t="shared" si="10"/>
        <v>3193140.9899999998</v>
      </c>
      <c r="S114" s="9"/>
    </row>
    <row r="115" spans="6:19" x14ac:dyDescent="0.3">
      <c r="F115" s="23" t="s">
        <v>281</v>
      </c>
      <c r="G115" s="9">
        <f>SUMIF($A$2:$A$107,"Koszty",G2:G107)</f>
        <v>1701329.8199999994</v>
      </c>
      <c r="H115" s="9">
        <f t="shared" ref="H115:R115" si="11">SUMIF($A$2:$A$111,"Koszty",H2:H111)</f>
        <v>1686360.2899999998</v>
      </c>
      <c r="I115" s="9">
        <f t="shared" si="11"/>
        <v>1803397.4500000002</v>
      </c>
      <c r="J115" s="9">
        <f t="shared" si="11"/>
        <v>2007865.7100000002</v>
      </c>
      <c r="K115" s="9">
        <f t="shared" si="11"/>
        <v>1662015</v>
      </c>
      <c r="L115" s="9">
        <f t="shared" si="11"/>
        <v>1871727.8099999996</v>
      </c>
      <c r="M115" s="9">
        <f t="shared" si="11"/>
        <v>1715866.3699999994</v>
      </c>
      <c r="N115" s="9">
        <f t="shared" si="11"/>
        <v>1613574.4200000009</v>
      </c>
      <c r="O115" s="9">
        <f t="shared" si="11"/>
        <v>1930244.2499999993</v>
      </c>
      <c r="P115" s="9">
        <f t="shared" si="11"/>
        <v>1744868.2799999996</v>
      </c>
      <c r="Q115" s="9">
        <f t="shared" si="11"/>
        <v>1653249.4499999997</v>
      </c>
      <c r="R115" s="9">
        <f t="shared" si="11"/>
        <v>2594269.71</v>
      </c>
      <c r="S115" s="9"/>
    </row>
    <row r="116" spans="6:19" x14ac:dyDescent="0.3">
      <c r="F116" s="23" t="s">
        <v>282</v>
      </c>
      <c r="G116" s="9">
        <f>G114-G115</f>
        <v>181516.08000000054</v>
      </c>
      <c r="H116" s="9">
        <f t="shared" ref="H116:R116" si="12">H114-H115</f>
        <v>161780.99</v>
      </c>
      <c r="I116" s="9">
        <f t="shared" si="12"/>
        <v>54304.5699999996</v>
      </c>
      <c r="J116" s="9">
        <f t="shared" si="12"/>
        <v>-575793.26000000047</v>
      </c>
      <c r="K116" s="9">
        <f t="shared" si="12"/>
        <v>80904.459999999963</v>
      </c>
      <c r="L116" s="9">
        <f t="shared" si="12"/>
        <v>-183603.59999999963</v>
      </c>
      <c r="M116" s="9">
        <f t="shared" si="12"/>
        <v>21642.130000000587</v>
      </c>
      <c r="N116" s="9">
        <f t="shared" si="12"/>
        <v>123113.26999999909</v>
      </c>
      <c r="O116" s="9">
        <f t="shared" si="12"/>
        <v>-193925.26999999932</v>
      </c>
      <c r="P116" s="9">
        <f t="shared" si="12"/>
        <v>8818.260000000475</v>
      </c>
      <c r="Q116" s="9">
        <f t="shared" si="12"/>
        <v>47007.4300000004</v>
      </c>
      <c r="R116" s="9">
        <f t="shared" si="12"/>
        <v>598871.2799999998</v>
      </c>
      <c r="S116" s="9">
        <f>SUM(G116:R116)</f>
        <v>324636.34000000102</v>
      </c>
    </row>
    <row r="119" spans="6:19" x14ac:dyDescent="0.3">
      <c r="G119" t="s">
        <v>295</v>
      </c>
      <c r="H119" t="s">
        <v>296</v>
      </c>
      <c r="I119" t="s">
        <v>297</v>
      </c>
      <c r="J119" t="s">
        <v>298</v>
      </c>
      <c r="K119" t="s">
        <v>299</v>
      </c>
      <c r="L119" t="s">
        <v>300</v>
      </c>
      <c r="M119" t="s">
        <v>301</v>
      </c>
      <c r="N119" t="s">
        <v>302</v>
      </c>
      <c r="O119" t="s">
        <v>303</v>
      </c>
      <c r="P119" t="s">
        <v>304</v>
      </c>
      <c r="Q119" t="s">
        <v>305</v>
      </c>
      <c r="R119" t="s">
        <v>306</v>
      </c>
    </row>
  </sheetData>
  <phoneticPr fontId="12" type="noConversion"/>
  <conditionalFormatting sqref="D2:D111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207-BAA3-4E87-BDC7-2ACDB525E650}">
  <sheetPr>
    <tabColor rgb="FFFFC000"/>
  </sheetPr>
  <dimension ref="A1:R107"/>
  <sheetViews>
    <sheetView topLeftCell="A88" workbookViewId="0">
      <selection activeCell="G2" sqref="G2:G107"/>
    </sheetView>
  </sheetViews>
  <sheetFormatPr defaultRowHeight="14.4" x14ac:dyDescent="0.3"/>
  <cols>
    <col min="1" max="1" width="7.6640625" bestFit="1" customWidth="1"/>
    <col min="2" max="2" width="22.6640625" style="29" bestFit="1" customWidth="1"/>
    <col min="3" max="3" width="22.88671875" bestFit="1" customWidth="1"/>
    <col min="4" max="4" width="9.77734375" bestFit="1" customWidth="1"/>
    <col min="5" max="5" width="42" bestFit="1" customWidth="1"/>
    <col min="6" max="7" width="10.33203125" bestFit="1" customWidth="1"/>
    <col min="8" max="8" width="9.5546875" bestFit="1" customWidth="1"/>
  </cols>
  <sheetData>
    <row r="1" spans="1:18" ht="31.2" thickBot="1" x14ac:dyDescent="0.35">
      <c r="A1" s="19" t="s">
        <v>226</v>
      </c>
      <c r="B1" s="19" t="s">
        <v>227</v>
      </c>
      <c r="C1" s="19" t="s">
        <v>241</v>
      </c>
      <c r="D1" s="20" t="s">
        <v>1</v>
      </c>
      <c r="E1" s="19" t="s">
        <v>2</v>
      </c>
      <c r="F1" s="19" t="s">
        <v>3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</row>
    <row r="2" spans="1:18" ht="20.399999999999999" x14ac:dyDescent="0.3">
      <c r="A2" s="18" t="str">
        <f>IF(ISNUMBER(SEARCH("przychody",C2)),"Przychody","Koszty")</f>
        <v>Przychody</v>
      </c>
      <c r="B2" s="28" t="s">
        <v>231</v>
      </c>
      <c r="C2" s="28" t="s">
        <v>242</v>
      </c>
      <c r="D2" s="21">
        <v>45510000</v>
      </c>
      <c r="E2" s="22" t="s">
        <v>7</v>
      </c>
      <c r="F2" s="23" t="s">
        <v>8</v>
      </c>
      <c r="G2" s="9">
        <v>-1877205</v>
      </c>
      <c r="H2" s="9">
        <v>-1844622</v>
      </c>
      <c r="I2" s="9">
        <v>-1802379</v>
      </c>
      <c r="J2" s="9">
        <v>-1430181</v>
      </c>
      <c r="K2" s="9">
        <v>-1741817</v>
      </c>
      <c r="L2" s="9">
        <v>-1686073</v>
      </c>
      <c r="M2" s="9">
        <v>-1733363</v>
      </c>
      <c r="N2" s="9">
        <v>-1733363</v>
      </c>
      <c r="O2" s="9">
        <v>-1733363</v>
      </c>
      <c r="P2" s="9">
        <v>-1711660</v>
      </c>
      <c r="Q2" s="9">
        <v>-1711660</v>
      </c>
      <c r="R2" s="9">
        <v>-3177425</v>
      </c>
    </row>
    <row r="3" spans="1:18" ht="20.399999999999999" x14ac:dyDescent="0.3">
      <c r="A3" s="18" t="str">
        <f t="shared" ref="A3:A66" si="0">IF(ISNUMBER(SEARCH("przychody",C3)),"Przychody","Koszty")</f>
        <v>Przychody</v>
      </c>
      <c r="B3" s="28" t="s">
        <v>231</v>
      </c>
      <c r="C3" s="28" t="s">
        <v>242</v>
      </c>
      <c r="D3" s="23">
        <v>44000000</v>
      </c>
      <c r="E3" s="22" t="s">
        <v>9</v>
      </c>
      <c r="F3" s="23" t="s">
        <v>8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</row>
    <row r="4" spans="1:18" ht="20.399999999999999" x14ac:dyDescent="0.3">
      <c r="A4" s="18" t="str">
        <f t="shared" si="0"/>
        <v>Przychody</v>
      </c>
      <c r="B4" s="28" t="s">
        <v>231</v>
      </c>
      <c r="C4" s="28" t="s">
        <v>242</v>
      </c>
      <c r="D4" s="24">
        <v>44000005</v>
      </c>
      <c r="E4" s="22" t="s">
        <v>10</v>
      </c>
      <c r="F4" s="23" t="s">
        <v>8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 ht="20.399999999999999" x14ac:dyDescent="0.3">
      <c r="A5" s="18" t="str">
        <f t="shared" si="0"/>
        <v>Przychody</v>
      </c>
      <c r="B5" s="28" t="s">
        <v>231</v>
      </c>
      <c r="C5" s="28" t="s">
        <v>242</v>
      </c>
      <c r="D5" s="24">
        <v>44006000</v>
      </c>
      <c r="E5" s="22" t="s">
        <v>11</v>
      </c>
      <c r="F5" s="23" t="s">
        <v>8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</row>
    <row r="6" spans="1:18" ht="20.399999999999999" x14ac:dyDescent="0.3">
      <c r="A6" s="18" t="str">
        <f t="shared" si="0"/>
        <v>Koszty</v>
      </c>
      <c r="B6" s="28" t="s">
        <v>232</v>
      </c>
      <c r="C6" s="18" t="s">
        <v>243</v>
      </c>
      <c r="D6" s="25">
        <v>61000000</v>
      </c>
      <c r="E6" s="22" t="s">
        <v>13</v>
      </c>
      <c r="F6" s="23" t="s">
        <v>8</v>
      </c>
      <c r="G6" s="9">
        <v>926.5</v>
      </c>
      <c r="H6" s="9">
        <v>926.5</v>
      </c>
      <c r="I6" s="9">
        <v>926.5</v>
      </c>
      <c r="J6" s="9">
        <v>926.5</v>
      </c>
      <c r="K6" s="9">
        <v>926.5</v>
      </c>
      <c r="L6" s="9">
        <v>926.5</v>
      </c>
      <c r="M6" s="9">
        <v>926.5</v>
      </c>
      <c r="N6" s="9">
        <v>926.5</v>
      </c>
      <c r="O6" s="9">
        <v>926.5</v>
      </c>
      <c r="P6" s="9">
        <v>926.5</v>
      </c>
      <c r="Q6" s="9">
        <v>926.5</v>
      </c>
      <c r="R6" s="9">
        <v>926.5</v>
      </c>
    </row>
    <row r="7" spans="1:18" ht="20.399999999999999" x14ac:dyDescent="0.3">
      <c r="A7" s="18" t="str">
        <f t="shared" si="0"/>
        <v>Koszty</v>
      </c>
      <c r="B7" s="28" t="s">
        <v>232</v>
      </c>
      <c r="C7" s="18" t="str">
        <f t="shared" ref="C7:C11" si="1">C6</f>
        <v>I. Amortyzacja</v>
      </c>
      <c r="D7" s="25">
        <v>61502000</v>
      </c>
      <c r="E7" s="22" t="s">
        <v>14</v>
      </c>
      <c r="F7" s="23" t="s">
        <v>8</v>
      </c>
      <c r="G7" s="9">
        <v>17326.2</v>
      </c>
      <c r="H7" s="9">
        <v>17326.2</v>
      </c>
      <c r="I7" s="9">
        <v>17326.21</v>
      </c>
      <c r="J7" s="9">
        <v>17326.199999999997</v>
      </c>
      <c r="K7" s="9">
        <v>17326.199999999997</v>
      </c>
      <c r="L7" s="9">
        <v>17326.200000000012</v>
      </c>
      <c r="M7" s="9">
        <v>17326.199999999997</v>
      </c>
      <c r="N7" s="9">
        <v>17326.199999999983</v>
      </c>
      <c r="O7" s="9">
        <v>17326.210000000021</v>
      </c>
      <c r="P7" s="9">
        <v>17326.199999999983</v>
      </c>
      <c r="Q7" s="9">
        <v>17326.200000000012</v>
      </c>
      <c r="R7" s="9">
        <v>17326.200000000012</v>
      </c>
    </row>
    <row r="8" spans="1:18" ht="20.399999999999999" x14ac:dyDescent="0.3">
      <c r="A8" s="18" t="str">
        <f t="shared" si="0"/>
        <v>Koszty</v>
      </c>
      <c r="B8" s="28" t="s">
        <v>232</v>
      </c>
      <c r="C8" s="18" t="str">
        <f t="shared" si="1"/>
        <v>I. Amortyzacja</v>
      </c>
      <c r="D8" s="25">
        <v>61504000</v>
      </c>
      <c r="E8" s="22" t="s">
        <v>15</v>
      </c>
      <c r="F8" s="23" t="s">
        <v>8</v>
      </c>
      <c r="G8" s="9">
        <v>313.45999999999998</v>
      </c>
      <c r="H8" s="9">
        <v>313.45</v>
      </c>
      <c r="I8" s="9">
        <v>313.46000000000004</v>
      </c>
      <c r="J8" s="9">
        <v>313.45999999999992</v>
      </c>
      <c r="K8" s="9">
        <v>6769.34</v>
      </c>
      <c r="L8" s="9">
        <v>1604.6399999999994</v>
      </c>
      <c r="M8" s="9">
        <v>1604.6400000000012</v>
      </c>
      <c r="N8" s="9">
        <v>1604.6299999999992</v>
      </c>
      <c r="O8" s="9">
        <v>1604.6399999999994</v>
      </c>
      <c r="P8" s="9">
        <v>1604.630000000001</v>
      </c>
      <c r="Q8" s="9">
        <v>1604.6299999999992</v>
      </c>
      <c r="R8" s="9">
        <v>1604.6399999999994</v>
      </c>
    </row>
    <row r="9" spans="1:18" ht="20.399999999999999" x14ac:dyDescent="0.3">
      <c r="A9" s="18" t="str">
        <f t="shared" si="0"/>
        <v>Koszty</v>
      </c>
      <c r="B9" s="28" t="s">
        <v>232</v>
      </c>
      <c r="C9" s="18" t="str">
        <f t="shared" si="1"/>
        <v>I. Amortyzacja</v>
      </c>
      <c r="D9" s="25">
        <v>61508000</v>
      </c>
      <c r="E9" s="22" t="s">
        <v>16</v>
      </c>
      <c r="F9" s="23" t="s">
        <v>8</v>
      </c>
      <c r="G9" s="9">
        <v>10218.299999999999</v>
      </c>
      <c r="H9" s="9">
        <v>8464.7900000000009</v>
      </c>
      <c r="I9" s="9">
        <v>11588.150000000001</v>
      </c>
      <c r="J9" s="9">
        <v>24240.209999999995</v>
      </c>
      <c r="K9" s="9">
        <v>459</v>
      </c>
      <c r="L9" s="9">
        <v>0</v>
      </c>
      <c r="M9" s="9">
        <v>16357.330000000002</v>
      </c>
      <c r="N9" s="9">
        <v>579</v>
      </c>
      <c r="O9" s="9">
        <v>4146.3399999999965</v>
      </c>
      <c r="P9" s="9">
        <v>12895.39</v>
      </c>
      <c r="Q9" s="9">
        <v>2065.0400000000081</v>
      </c>
      <c r="R9" s="9">
        <v>11369.440000000002</v>
      </c>
    </row>
    <row r="10" spans="1:18" ht="20.399999999999999" x14ac:dyDescent="0.3">
      <c r="A10" s="18" t="str">
        <f t="shared" si="0"/>
        <v>Koszty</v>
      </c>
      <c r="B10" s="28" t="s">
        <v>232</v>
      </c>
      <c r="C10" s="18" t="str">
        <f t="shared" si="1"/>
        <v>I. Amortyzacja</v>
      </c>
      <c r="D10" s="25">
        <v>61512000</v>
      </c>
      <c r="E10" s="22" t="s">
        <v>17</v>
      </c>
      <c r="F10" s="23" t="s">
        <v>8</v>
      </c>
      <c r="G10" s="9">
        <v>965.04</v>
      </c>
      <c r="H10" s="9">
        <v>1635.1</v>
      </c>
      <c r="I10" s="9">
        <v>3421.14</v>
      </c>
      <c r="J10" s="9">
        <v>18409.02</v>
      </c>
      <c r="K10" s="9">
        <v>1749.8100000000013</v>
      </c>
      <c r="L10" s="9">
        <v>1749.7999999999993</v>
      </c>
      <c r="M10" s="9">
        <v>3748.5099999999984</v>
      </c>
      <c r="N10" s="9">
        <v>1749.8100000000049</v>
      </c>
      <c r="O10" s="9">
        <v>1749.7999999999956</v>
      </c>
      <c r="P10" s="9">
        <v>4649.8000000000029</v>
      </c>
      <c r="Q10" s="9">
        <v>1749.7999999999956</v>
      </c>
      <c r="R10" s="9">
        <v>816.9800000000032</v>
      </c>
    </row>
    <row r="11" spans="1:18" ht="20.399999999999999" x14ac:dyDescent="0.3">
      <c r="A11" s="18" t="str">
        <f t="shared" si="0"/>
        <v>Koszty</v>
      </c>
      <c r="B11" s="28" t="s">
        <v>232</v>
      </c>
      <c r="C11" s="18" t="str">
        <f t="shared" si="1"/>
        <v>I. Amortyzacja</v>
      </c>
      <c r="D11" s="25">
        <v>61518000</v>
      </c>
      <c r="E11" s="22" t="s">
        <v>18</v>
      </c>
      <c r="F11" s="23" t="s">
        <v>8</v>
      </c>
      <c r="G11" s="9">
        <v>16100.98</v>
      </c>
      <c r="H11" s="9">
        <v>16101</v>
      </c>
      <c r="I11" s="9">
        <v>16100.990000000002</v>
      </c>
      <c r="J11" s="9">
        <v>13559.440000000002</v>
      </c>
      <c r="K11" s="9">
        <v>8113.5199999999895</v>
      </c>
      <c r="L11" s="9">
        <v>6162.7700000000041</v>
      </c>
      <c r="M11" s="9">
        <v>6162.4499999999971</v>
      </c>
      <c r="N11" s="9">
        <v>6162.4600000000064</v>
      </c>
      <c r="O11" s="9">
        <v>6162.4799999999959</v>
      </c>
      <c r="P11" s="9">
        <v>6162.4700000000012</v>
      </c>
      <c r="Q11" s="9">
        <v>6162.4600000000064</v>
      </c>
      <c r="R11" s="9">
        <v>6162.4599999999919</v>
      </c>
    </row>
    <row r="12" spans="1:18" ht="20.399999999999999" x14ac:dyDescent="0.3">
      <c r="A12" s="18" t="str">
        <f t="shared" si="0"/>
        <v>Koszty</v>
      </c>
      <c r="B12" s="28" t="s">
        <v>232</v>
      </c>
      <c r="C12" s="18" t="s">
        <v>244</v>
      </c>
      <c r="D12" s="25">
        <v>58502000</v>
      </c>
      <c r="E12" s="22" t="s">
        <v>20</v>
      </c>
      <c r="F12" s="23" t="s">
        <v>8</v>
      </c>
      <c r="G12" s="9">
        <v>4570.88</v>
      </c>
      <c r="H12" s="9">
        <v>4099.71</v>
      </c>
      <c r="I12" s="9">
        <v>4862.369999999999</v>
      </c>
      <c r="J12" s="9">
        <v>4987.16</v>
      </c>
      <c r="K12" s="9">
        <v>4558.32</v>
      </c>
      <c r="L12" s="9">
        <v>4744.18</v>
      </c>
      <c r="M12" s="9">
        <v>8241.3600000000042</v>
      </c>
      <c r="N12" s="9">
        <v>5397.1099999999933</v>
      </c>
      <c r="O12" s="9">
        <v>5554.3700000000026</v>
      </c>
      <c r="P12" s="9">
        <v>4288.7099999999991</v>
      </c>
      <c r="Q12" s="9">
        <v>5699.5299999999988</v>
      </c>
      <c r="R12" s="9">
        <v>5270.5500000000029</v>
      </c>
    </row>
    <row r="13" spans="1:18" ht="20.399999999999999" x14ac:dyDescent="0.3">
      <c r="A13" s="18" t="str">
        <f t="shared" si="0"/>
        <v>Koszty</v>
      </c>
      <c r="B13" s="28" t="s">
        <v>232</v>
      </c>
      <c r="C13" s="18" t="str">
        <f t="shared" ref="C13:C19" si="2">C12</f>
        <v>II. Zużycie materiałów i energii</v>
      </c>
      <c r="D13" s="25">
        <v>58502001</v>
      </c>
      <c r="E13" s="22" t="s">
        <v>21</v>
      </c>
      <c r="F13" s="23" t="s">
        <v>8</v>
      </c>
      <c r="G13" s="9">
        <v>928.32</v>
      </c>
      <c r="H13" s="9">
        <v>1511.1599999999999</v>
      </c>
      <c r="I13" s="9">
        <v>1199.06</v>
      </c>
      <c r="J13" s="9">
        <v>1726</v>
      </c>
      <c r="K13" s="9">
        <v>844.52000000000044</v>
      </c>
      <c r="L13" s="9">
        <v>966.36999999999989</v>
      </c>
      <c r="M13" s="9">
        <v>-148.65999999999985</v>
      </c>
      <c r="N13" s="9">
        <v>1216.8199999999997</v>
      </c>
      <c r="O13" s="9">
        <v>1255.33</v>
      </c>
      <c r="P13" s="9">
        <v>1280.2000000000007</v>
      </c>
      <c r="Q13" s="9">
        <v>814.71999999999935</v>
      </c>
      <c r="R13" s="9">
        <v>1139.1800000000003</v>
      </c>
    </row>
    <row r="14" spans="1:18" ht="20.399999999999999" x14ac:dyDescent="0.3">
      <c r="A14" s="18" t="str">
        <f t="shared" si="0"/>
        <v>Koszty</v>
      </c>
      <c r="B14" s="28" t="s">
        <v>232</v>
      </c>
      <c r="C14" s="18" t="str">
        <f t="shared" si="2"/>
        <v>II. Zużycie materiałów i energii</v>
      </c>
      <c r="D14" s="25">
        <v>58502002</v>
      </c>
      <c r="E14" s="22" t="s">
        <v>22</v>
      </c>
      <c r="F14" s="23" t="s">
        <v>8</v>
      </c>
      <c r="G14" s="9">
        <v>872.32</v>
      </c>
      <c r="H14" s="9">
        <v>5284.06</v>
      </c>
      <c r="I14" s="9">
        <v>2746.1099999999997</v>
      </c>
      <c r="J14" s="9">
        <v>10086.230000000001</v>
      </c>
      <c r="K14" s="9">
        <v>4947.5799999999981</v>
      </c>
      <c r="L14" s="9">
        <v>1981.7900000000009</v>
      </c>
      <c r="M14" s="9">
        <v>7500.2000000000007</v>
      </c>
      <c r="N14" s="9">
        <v>4769.1999999999971</v>
      </c>
      <c r="O14" s="9">
        <v>5214.3600000000006</v>
      </c>
      <c r="P14" s="9">
        <v>4125.6300000000047</v>
      </c>
      <c r="Q14" s="9">
        <v>5412.4399999999951</v>
      </c>
      <c r="R14" s="9">
        <v>4570.4100000000035</v>
      </c>
    </row>
    <row r="15" spans="1:18" ht="20.399999999999999" x14ac:dyDescent="0.3">
      <c r="A15" s="18" t="str">
        <f t="shared" si="0"/>
        <v>Koszty</v>
      </c>
      <c r="B15" s="28" t="s">
        <v>232</v>
      </c>
      <c r="C15" s="18" t="str">
        <f t="shared" si="2"/>
        <v>II. Zużycie materiałów i energii</v>
      </c>
      <c r="D15" s="25">
        <v>58508000</v>
      </c>
      <c r="E15" s="22" t="s">
        <v>23</v>
      </c>
      <c r="F15" s="23" t="s">
        <v>8</v>
      </c>
      <c r="G15" s="9">
        <v>3888.21</v>
      </c>
      <c r="H15" s="9">
        <v>8046.53</v>
      </c>
      <c r="I15" s="9">
        <v>5925.51</v>
      </c>
      <c r="J15" s="9">
        <v>10591.79</v>
      </c>
      <c r="K15" s="9">
        <v>3481.3299999999981</v>
      </c>
      <c r="L15" s="9">
        <v>5980.0600000000013</v>
      </c>
      <c r="M15" s="9">
        <v>5804.8000000000029</v>
      </c>
      <c r="N15" s="9">
        <v>2975.6199999999953</v>
      </c>
      <c r="O15" s="9">
        <v>28115.140000000007</v>
      </c>
      <c r="P15" s="9">
        <v>3405.8099999999977</v>
      </c>
      <c r="Q15" s="9">
        <v>26075.619999999995</v>
      </c>
      <c r="R15" s="9">
        <v>5416.4600000000064</v>
      </c>
    </row>
    <row r="16" spans="1:18" ht="20.399999999999999" x14ac:dyDescent="0.3">
      <c r="A16" s="18" t="str">
        <f t="shared" si="0"/>
        <v>Koszty</v>
      </c>
      <c r="B16" s="28" t="s">
        <v>232</v>
      </c>
      <c r="C16" s="18" t="str">
        <f t="shared" si="2"/>
        <v>II. Zużycie materiałów i energii</v>
      </c>
      <c r="D16" s="25">
        <v>58552002</v>
      </c>
      <c r="E16" s="22" t="s">
        <v>24</v>
      </c>
      <c r="F16" s="23" t="s">
        <v>8</v>
      </c>
      <c r="G16" s="9">
        <v>0</v>
      </c>
      <c r="H16" s="9">
        <v>13424.82</v>
      </c>
      <c r="I16" s="9">
        <v>13326.330000000002</v>
      </c>
      <c r="J16" s="9">
        <v>7673.3799999999974</v>
      </c>
      <c r="K16" s="9">
        <v>3423.1399999999994</v>
      </c>
      <c r="L16" s="9">
        <v>6973.5999999999985</v>
      </c>
      <c r="M16" s="9">
        <v>9473.0200000000041</v>
      </c>
      <c r="N16" s="9">
        <v>6485.6500000000015</v>
      </c>
      <c r="O16" s="9">
        <v>11046.429999999993</v>
      </c>
      <c r="P16" s="9">
        <v>8643.36</v>
      </c>
      <c r="Q16" s="9">
        <v>13399.64</v>
      </c>
      <c r="R16" s="9">
        <v>6568.6500000000087</v>
      </c>
    </row>
    <row r="17" spans="1:18" ht="20.399999999999999" x14ac:dyDescent="0.3">
      <c r="A17" s="18" t="str">
        <f t="shared" si="0"/>
        <v>Koszty</v>
      </c>
      <c r="B17" s="28" t="s">
        <v>232</v>
      </c>
      <c r="C17" s="18" t="str">
        <f t="shared" si="2"/>
        <v>II. Zużycie materiałów i energii</v>
      </c>
      <c r="D17" s="25">
        <v>58552003</v>
      </c>
      <c r="E17" s="22" t="s">
        <v>25</v>
      </c>
      <c r="F17" s="23" t="s">
        <v>8</v>
      </c>
      <c r="G17" s="9">
        <v>0</v>
      </c>
      <c r="H17" s="9">
        <v>4474.9399999999996</v>
      </c>
      <c r="I17" s="9">
        <v>4442.1099999999997</v>
      </c>
      <c r="J17" s="9">
        <v>2557.7900000000009</v>
      </c>
      <c r="K17" s="9">
        <v>1141.0399999999991</v>
      </c>
      <c r="L17" s="9">
        <v>2324.5200000000004</v>
      </c>
      <c r="M17" s="9">
        <v>3157.6499999999996</v>
      </c>
      <c r="N17" s="9">
        <v>2161.8899999999994</v>
      </c>
      <c r="O17" s="9">
        <v>3701.6400000000031</v>
      </c>
      <c r="P17" s="9">
        <v>2861.5599999999977</v>
      </c>
      <c r="Q17" s="9">
        <v>4466.5299999999988</v>
      </c>
      <c r="R17" s="9">
        <v>2189.5400000000009</v>
      </c>
    </row>
    <row r="18" spans="1:18" ht="20.399999999999999" x14ac:dyDescent="0.3">
      <c r="A18" s="18" t="str">
        <f t="shared" si="0"/>
        <v>Koszty</v>
      </c>
      <c r="B18" s="28" t="s">
        <v>232</v>
      </c>
      <c r="C18" s="18" t="str">
        <f t="shared" si="2"/>
        <v>II. Zużycie materiałów i energii</v>
      </c>
      <c r="D18" s="25">
        <v>58552005</v>
      </c>
      <c r="E18" s="22" t="s">
        <v>26</v>
      </c>
      <c r="F18" s="23" t="s">
        <v>8</v>
      </c>
      <c r="G18" s="9">
        <v>6578.88</v>
      </c>
      <c r="H18" s="9">
        <v>7894.13</v>
      </c>
      <c r="I18" s="9">
        <v>4979.2499999999982</v>
      </c>
      <c r="J18" s="9">
        <v>5105.1900000000023</v>
      </c>
      <c r="K18" s="9">
        <v>7660.3499999999985</v>
      </c>
      <c r="L18" s="9">
        <v>7622.119999999999</v>
      </c>
      <c r="M18" s="9">
        <v>6784.3300000000017</v>
      </c>
      <c r="N18" s="9">
        <v>3820.2699999999968</v>
      </c>
      <c r="O18" s="9">
        <v>4466.2300000000032</v>
      </c>
      <c r="P18" s="9">
        <v>13632.850000000006</v>
      </c>
      <c r="Q18" s="9">
        <v>6401.2599999999948</v>
      </c>
      <c r="R18" s="9">
        <v>9230.7200000000012</v>
      </c>
    </row>
    <row r="19" spans="1:18" ht="20.399999999999999" x14ac:dyDescent="0.3">
      <c r="A19" s="18" t="str">
        <f t="shared" si="0"/>
        <v>Koszty</v>
      </c>
      <c r="B19" s="28" t="s">
        <v>232</v>
      </c>
      <c r="C19" s="18" t="str">
        <f t="shared" si="2"/>
        <v>II. Zużycie materiałów i energii</v>
      </c>
      <c r="D19" s="25">
        <v>58552025</v>
      </c>
      <c r="E19" s="22" t="s">
        <v>27</v>
      </c>
      <c r="F19" s="23" t="s">
        <v>8</v>
      </c>
      <c r="G19" s="9">
        <v>2138.84</v>
      </c>
      <c r="H19" s="9">
        <v>2975.96</v>
      </c>
      <c r="I19" s="9">
        <v>1659.7200000000003</v>
      </c>
      <c r="J19" s="9">
        <v>1701.7399999999998</v>
      </c>
      <c r="K19" s="9">
        <v>2563.4300000000003</v>
      </c>
      <c r="L19" s="9">
        <v>2740.6999999999989</v>
      </c>
      <c r="M19" s="9">
        <v>2261.41</v>
      </c>
      <c r="N19" s="9">
        <v>1273.4099999999999</v>
      </c>
      <c r="O19" s="9">
        <v>1554.2299999999996</v>
      </c>
      <c r="P19" s="9">
        <v>4895.93</v>
      </c>
      <c r="Q19" s="9">
        <v>2133.7100000000028</v>
      </c>
      <c r="R19" s="9">
        <v>3138.3399999999965</v>
      </c>
    </row>
    <row r="20" spans="1:18" ht="20.399999999999999" x14ac:dyDescent="0.3">
      <c r="A20" s="18" t="str">
        <f t="shared" si="0"/>
        <v>Koszty</v>
      </c>
      <c r="B20" s="28" t="s">
        <v>232</v>
      </c>
      <c r="C20" s="18" t="s">
        <v>245</v>
      </c>
      <c r="D20" s="25">
        <v>53080000</v>
      </c>
      <c r="E20" s="22" t="s">
        <v>29</v>
      </c>
      <c r="F20" s="23" t="s">
        <v>8</v>
      </c>
      <c r="G20" s="9">
        <v>22.83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ht="20.399999999999999" x14ac:dyDescent="0.3">
      <c r="A21" s="18" t="str">
        <f t="shared" si="0"/>
        <v>Koszty</v>
      </c>
      <c r="B21" s="28" t="s">
        <v>232</v>
      </c>
      <c r="C21" s="18" t="str">
        <f t="shared" ref="C21:C26" si="3">C20</f>
        <v>III. Usługi obce</v>
      </c>
      <c r="D21" s="25">
        <v>58500000</v>
      </c>
      <c r="E21" s="22" t="s">
        <v>30</v>
      </c>
      <c r="F21" s="23" t="s">
        <v>8</v>
      </c>
      <c r="G21" s="9">
        <v>43618.17</v>
      </c>
      <c r="H21" s="9">
        <v>6220.0900000000038</v>
      </c>
      <c r="I21" s="9">
        <v>65139.98</v>
      </c>
      <c r="J21" s="9">
        <v>37383.83</v>
      </c>
      <c r="K21" s="9">
        <v>37738.789999999979</v>
      </c>
      <c r="L21" s="9">
        <v>36686.810000000027</v>
      </c>
      <c r="M21" s="9">
        <v>36794.100000000006</v>
      </c>
      <c r="N21" s="9">
        <v>36392.289999999979</v>
      </c>
      <c r="O21" s="9">
        <v>36321.900000000023</v>
      </c>
      <c r="P21" s="9">
        <v>37209.570000000007</v>
      </c>
      <c r="Q21" s="9">
        <v>37838.259999999951</v>
      </c>
      <c r="R21" s="9">
        <v>36875.410000000033</v>
      </c>
    </row>
    <row r="22" spans="1:18" ht="20.399999999999999" x14ac:dyDescent="0.3">
      <c r="A22" s="18" t="str">
        <f t="shared" si="0"/>
        <v>Koszty</v>
      </c>
      <c r="B22" s="28" t="s">
        <v>232</v>
      </c>
      <c r="C22" s="18" t="str">
        <f t="shared" si="3"/>
        <v>III. Usługi obce</v>
      </c>
      <c r="D22" s="25">
        <v>58500010</v>
      </c>
      <c r="E22" s="22" t="s">
        <v>31</v>
      </c>
      <c r="F22" s="23" t="s">
        <v>8</v>
      </c>
      <c r="G22" s="9">
        <v>8194.9699999999993</v>
      </c>
      <c r="H22" s="9">
        <v>2573.17</v>
      </c>
      <c r="I22" s="9">
        <v>11589.29</v>
      </c>
      <c r="J22" s="9">
        <v>9158.130000000001</v>
      </c>
      <c r="K22" s="9">
        <v>9058.4900000000016</v>
      </c>
      <c r="L22" s="9">
        <v>7898.7699999999968</v>
      </c>
      <c r="M22" s="9">
        <v>8730.43</v>
      </c>
      <c r="N22" s="9">
        <v>8932.14</v>
      </c>
      <c r="O22" s="9">
        <v>8810.9700000000012</v>
      </c>
      <c r="P22" s="9">
        <v>8314.8199999999924</v>
      </c>
      <c r="Q22" s="9">
        <v>9074.4900000000052</v>
      </c>
      <c r="R22" s="9">
        <v>8581.9600000000064</v>
      </c>
    </row>
    <row r="23" spans="1:18" ht="20.399999999999999" x14ac:dyDescent="0.3">
      <c r="A23" s="18" t="str">
        <f t="shared" si="0"/>
        <v>Koszty</v>
      </c>
      <c r="B23" s="28" t="s">
        <v>232</v>
      </c>
      <c r="C23" s="18" t="str">
        <f t="shared" si="3"/>
        <v>III. Usługi obce</v>
      </c>
      <c r="D23" s="25">
        <v>58502003</v>
      </c>
      <c r="E23" s="22" t="s">
        <v>32</v>
      </c>
      <c r="F23" s="23" t="s">
        <v>8</v>
      </c>
      <c r="G23" s="9">
        <v>1876.68</v>
      </c>
      <c r="H23" s="9">
        <v>1894.43</v>
      </c>
      <c r="I23" s="9">
        <v>1894.4299999999998</v>
      </c>
      <c r="J23" s="9">
        <v>2340.5</v>
      </c>
      <c r="K23" s="9">
        <v>2102.4900000000007</v>
      </c>
      <c r="L23" s="9">
        <v>2102.4899999999998</v>
      </c>
      <c r="M23" s="9">
        <v>2102.4899999999998</v>
      </c>
      <c r="N23" s="9">
        <v>2102.4899999999998</v>
      </c>
      <c r="O23" s="9">
        <v>2102.4900000000016</v>
      </c>
      <c r="P23" s="9">
        <v>2102.489999999998</v>
      </c>
      <c r="Q23" s="9">
        <v>2102.4900000000016</v>
      </c>
      <c r="R23" s="9">
        <v>2102.489999999998</v>
      </c>
    </row>
    <row r="24" spans="1:18" ht="20.399999999999999" x14ac:dyDescent="0.3">
      <c r="A24" s="18" t="str">
        <f t="shared" si="0"/>
        <v>Koszty</v>
      </c>
      <c r="B24" s="28" t="s">
        <v>232</v>
      </c>
      <c r="C24" s="18" t="str">
        <f t="shared" si="3"/>
        <v>III. Usługi obce</v>
      </c>
      <c r="D24" s="25">
        <v>58504000</v>
      </c>
      <c r="E24" s="22" t="s">
        <v>33</v>
      </c>
      <c r="F24" s="23" t="s">
        <v>8</v>
      </c>
      <c r="G24" s="9">
        <v>2588.6799999999998</v>
      </c>
      <c r="H24" s="9">
        <v>1438.6800000000003</v>
      </c>
      <c r="I24" s="9">
        <v>1438.6799999999998</v>
      </c>
      <c r="J24" s="9">
        <v>1984.9800000000005</v>
      </c>
      <c r="K24" s="9">
        <v>2770.2099999999991</v>
      </c>
      <c r="L24" s="9">
        <v>3070.2100000000009</v>
      </c>
      <c r="M24" s="9">
        <v>1570.2099999999991</v>
      </c>
      <c r="N24" s="9">
        <v>1570.2100000000009</v>
      </c>
      <c r="O24" s="9">
        <v>1570.2099999999991</v>
      </c>
      <c r="P24" s="9">
        <v>1570.2099999999991</v>
      </c>
      <c r="Q24" s="9">
        <v>1570.2100000000028</v>
      </c>
      <c r="R24" s="9">
        <v>1570.2099999999991</v>
      </c>
    </row>
    <row r="25" spans="1:18" ht="20.399999999999999" x14ac:dyDescent="0.3">
      <c r="A25" s="18" t="str">
        <f t="shared" si="0"/>
        <v>Koszty</v>
      </c>
      <c r="B25" s="28" t="s">
        <v>232</v>
      </c>
      <c r="C25" s="18" t="str">
        <f t="shared" si="3"/>
        <v>III. Usługi obce</v>
      </c>
      <c r="D25" s="25">
        <v>58504001</v>
      </c>
      <c r="E25" s="22" t="s">
        <v>34</v>
      </c>
      <c r="F25" s="23" t="s">
        <v>8</v>
      </c>
      <c r="G25" s="9">
        <v>14370.53</v>
      </c>
      <c r="H25" s="9">
        <v>3620.9600000000009</v>
      </c>
      <c r="I25" s="9">
        <v>18678.359999999997</v>
      </c>
      <c r="J25" s="9">
        <v>11848.599999999999</v>
      </c>
      <c r="K25" s="9">
        <v>20305.130000000005</v>
      </c>
      <c r="L25" s="9">
        <v>10875.580000000002</v>
      </c>
      <c r="M25" s="9">
        <v>14371.050000000003</v>
      </c>
      <c r="N25" s="9">
        <v>10492.939999999988</v>
      </c>
      <c r="O25" s="9">
        <v>13155.200000000012</v>
      </c>
      <c r="P25" s="9">
        <v>14632.729999999981</v>
      </c>
      <c r="Q25" s="9">
        <v>12723.920000000013</v>
      </c>
      <c r="R25" s="9">
        <v>12812.350000000006</v>
      </c>
    </row>
    <row r="26" spans="1:18" ht="20.399999999999999" x14ac:dyDescent="0.3">
      <c r="A26" s="18" t="str">
        <f t="shared" si="0"/>
        <v>Koszty</v>
      </c>
      <c r="B26" s="28" t="s">
        <v>232</v>
      </c>
      <c r="C26" s="18" t="str">
        <f t="shared" si="3"/>
        <v>III. Usługi obce</v>
      </c>
      <c r="D26" s="25">
        <v>58504002</v>
      </c>
      <c r="E26" s="22" t="s">
        <v>35</v>
      </c>
      <c r="F26" s="23" t="s">
        <v>8</v>
      </c>
      <c r="G26" s="9">
        <v>8520.75</v>
      </c>
      <c r="H26" s="9">
        <v>1218.8600000000006</v>
      </c>
      <c r="I26" s="9">
        <v>8818.86</v>
      </c>
      <c r="J26" s="9">
        <v>8292.6999999999971</v>
      </c>
      <c r="K26" s="9">
        <v>6702.4199999999983</v>
      </c>
      <c r="L26" s="9">
        <v>8542.4200000000055</v>
      </c>
      <c r="M26" s="9">
        <v>9100.5299999999988</v>
      </c>
      <c r="N26" s="9">
        <v>8504.3099999999977</v>
      </c>
      <c r="O26" s="9">
        <v>9100.5300000000061</v>
      </c>
      <c r="P26" s="9">
        <v>8504.3099999999977</v>
      </c>
      <c r="Q26" s="9">
        <v>8802.4199999999983</v>
      </c>
      <c r="R26" s="9">
        <v>16700.53</v>
      </c>
    </row>
    <row r="27" spans="1:18" ht="20.399999999999999" x14ac:dyDescent="0.3">
      <c r="A27" s="18" t="str">
        <f t="shared" si="0"/>
        <v>Koszty</v>
      </c>
      <c r="B27" s="28" t="s">
        <v>232</v>
      </c>
      <c r="C27" s="18" t="s">
        <v>246</v>
      </c>
      <c r="D27" s="25">
        <v>58506000</v>
      </c>
      <c r="E27" s="22" t="s">
        <v>36</v>
      </c>
      <c r="F27" s="23" t="s">
        <v>8</v>
      </c>
      <c r="G27" s="9">
        <v>0</v>
      </c>
      <c r="H27" s="9">
        <v>33385</v>
      </c>
      <c r="I27" s="9">
        <v>1</v>
      </c>
      <c r="J27" s="9">
        <v>0</v>
      </c>
      <c r="K27" s="9">
        <v>0</v>
      </c>
      <c r="L27" s="9">
        <v>3</v>
      </c>
      <c r="M27" s="9">
        <v>350</v>
      </c>
      <c r="N27" s="9">
        <v>1</v>
      </c>
      <c r="O27" s="9">
        <v>192</v>
      </c>
      <c r="P27" s="9">
        <v>900</v>
      </c>
      <c r="Q27" s="9">
        <v>-900</v>
      </c>
      <c r="R27" s="9">
        <v>0</v>
      </c>
    </row>
    <row r="28" spans="1:18" ht="20.399999999999999" x14ac:dyDescent="0.3">
      <c r="A28" s="18" t="str">
        <f t="shared" si="0"/>
        <v>Koszty</v>
      </c>
      <c r="B28" s="28" t="s">
        <v>232</v>
      </c>
      <c r="C28" s="18" t="s">
        <v>245</v>
      </c>
      <c r="D28" s="25">
        <v>58506001</v>
      </c>
      <c r="E28" s="22" t="s">
        <v>37</v>
      </c>
      <c r="F28" s="23" t="s">
        <v>8</v>
      </c>
      <c r="G28" s="9">
        <v>28945.74</v>
      </c>
      <c r="H28" s="9">
        <v>4579.9999999999964</v>
      </c>
      <c r="I28" s="9">
        <v>9520</v>
      </c>
      <c r="J28" s="9">
        <v>4100</v>
      </c>
      <c r="K28" s="9">
        <v>3500</v>
      </c>
      <c r="L28" s="9">
        <v>3500</v>
      </c>
      <c r="M28" s="9">
        <v>3980</v>
      </c>
      <c r="N28" s="9">
        <v>3500</v>
      </c>
      <c r="O28" s="9">
        <v>3500</v>
      </c>
      <c r="P28" s="9">
        <v>3500.0000000000073</v>
      </c>
      <c r="Q28" s="9">
        <v>4160</v>
      </c>
      <c r="R28" s="9">
        <v>3740</v>
      </c>
    </row>
    <row r="29" spans="1:18" ht="20.399999999999999" x14ac:dyDescent="0.3">
      <c r="A29" s="18" t="str">
        <f t="shared" si="0"/>
        <v>Koszty</v>
      </c>
      <c r="B29" s="28" t="s">
        <v>232</v>
      </c>
      <c r="C29" s="18" t="str">
        <f t="shared" ref="C29:C49" si="4">C28</f>
        <v>III. Usługi obce</v>
      </c>
      <c r="D29" s="25">
        <v>58506003</v>
      </c>
      <c r="E29" s="22" t="s">
        <v>38</v>
      </c>
      <c r="F29" s="23" t="s">
        <v>8</v>
      </c>
      <c r="G29" s="9">
        <v>0</v>
      </c>
      <c r="H29" s="9">
        <v>12267.4</v>
      </c>
      <c r="I29" s="9">
        <v>12302.38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5020</v>
      </c>
      <c r="P29" s="9">
        <v>0</v>
      </c>
      <c r="Q29" s="9">
        <v>0</v>
      </c>
      <c r="R29" s="9">
        <v>24800</v>
      </c>
    </row>
    <row r="30" spans="1:18" ht="20.399999999999999" x14ac:dyDescent="0.3">
      <c r="A30" s="18" t="str">
        <f t="shared" si="0"/>
        <v>Koszty</v>
      </c>
      <c r="B30" s="28" t="s">
        <v>232</v>
      </c>
      <c r="C30" s="18" t="str">
        <f t="shared" si="4"/>
        <v>III. Usługi obce</v>
      </c>
      <c r="D30" s="25">
        <v>58506004</v>
      </c>
      <c r="E30" s="22" t="s">
        <v>39</v>
      </c>
      <c r="F30" s="23" t="s">
        <v>8</v>
      </c>
      <c r="G30" s="9">
        <v>0</v>
      </c>
      <c r="H30" s="9">
        <v>0</v>
      </c>
      <c r="I30" s="9">
        <v>0</v>
      </c>
      <c r="J30" s="9">
        <v>41544.949999999997</v>
      </c>
      <c r="K30" s="9">
        <v>0</v>
      </c>
      <c r="L30" s="9">
        <v>0</v>
      </c>
      <c r="M30" s="9">
        <v>80044.84</v>
      </c>
      <c r="N30" s="9">
        <v>0</v>
      </c>
      <c r="O30" s="9">
        <v>24470.60000000002</v>
      </c>
      <c r="P30" s="9">
        <v>0</v>
      </c>
      <c r="Q30" s="9">
        <v>22658.129999999976</v>
      </c>
      <c r="R30" s="9">
        <v>15496.600000000006</v>
      </c>
    </row>
    <row r="31" spans="1:18" ht="20.399999999999999" x14ac:dyDescent="0.3">
      <c r="A31" s="18" t="str">
        <f t="shared" si="0"/>
        <v>Koszty</v>
      </c>
      <c r="B31" s="28" t="s">
        <v>232</v>
      </c>
      <c r="C31" s="18" t="str">
        <f t="shared" si="4"/>
        <v>III. Usługi obce</v>
      </c>
      <c r="D31" s="25">
        <v>58506006</v>
      </c>
      <c r="E31" s="22" t="s">
        <v>40</v>
      </c>
      <c r="F31" s="23" t="s">
        <v>8</v>
      </c>
      <c r="G31" s="9">
        <v>6232.2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499</v>
      </c>
      <c r="O31" s="9">
        <v>0</v>
      </c>
      <c r="P31" s="9">
        <v>0</v>
      </c>
      <c r="Q31" s="9">
        <v>0</v>
      </c>
      <c r="R31" s="9">
        <v>0</v>
      </c>
    </row>
    <row r="32" spans="1:18" ht="20.399999999999999" x14ac:dyDescent="0.3">
      <c r="A32" s="18" t="str">
        <f t="shared" si="0"/>
        <v>Koszty</v>
      </c>
      <c r="B32" s="28" t="s">
        <v>232</v>
      </c>
      <c r="C32" s="18" t="str">
        <f t="shared" si="4"/>
        <v>III. Usługi obce</v>
      </c>
      <c r="D32" s="25">
        <v>58507000</v>
      </c>
      <c r="E32" s="22" t="s">
        <v>41</v>
      </c>
      <c r="F32" s="23" t="s">
        <v>8</v>
      </c>
      <c r="G32" s="9">
        <v>2011</v>
      </c>
      <c r="H32" s="9">
        <v>1985.88</v>
      </c>
      <c r="I32" s="9">
        <v>1529.17</v>
      </c>
      <c r="J32" s="9">
        <v>1038.8000000000002</v>
      </c>
      <c r="K32" s="9">
        <v>6022.7999999999993</v>
      </c>
      <c r="L32" s="9">
        <v>4702.3999999999996</v>
      </c>
      <c r="M32" s="9">
        <v>25.950000000000728</v>
      </c>
      <c r="N32" s="9">
        <v>866.40000000000146</v>
      </c>
      <c r="O32" s="9">
        <v>3533.7999999999993</v>
      </c>
      <c r="P32" s="9">
        <v>1863.8499999999985</v>
      </c>
      <c r="Q32" s="9">
        <v>312.45999999999913</v>
      </c>
      <c r="R32" s="9">
        <v>2305.9000000000015</v>
      </c>
    </row>
    <row r="33" spans="1:18" ht="20.399999999999999" x14ac:dyDescent="0.3">
      <c r="A33" s="18" t="str">
        <f t="shared" si="0"/>
        <v>Koszty</v>
      </c>
      <c r="B33" s="28" t="s">
        <v>232</v>
      </c>
      <c r="C33" s="18" t="str">
        <f t="shared" si="4"/>
        <v>III. Usługi obce</v>
      </c>
      <c r="D33" s="25">
        <v>58507001</v>
      </c>
      <c r="E33" s="22" t="s">
        <v>42</v>
      </c>
      <c r="F33" s="23" t="s">
        <v>8</v>
      </c>
      <c r="G33" s="9">
        <v>0</v>
      </c>
      <c r="H33" s="9">
        <v>0</v>
      </c>
      <c r="I33" s="9">
        <v>1755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147</v>
      </c>
      <c r="Q33" s="9">
        <v>0</v>
      </c>
      <c r="R33" s="9">
        <v>0</v>
      </c>
    </row>
    <row r="34" spans="1:18" ht="20.399999999999999" x14ac:dyDescent="0.3">
      <c r="A34" s="18" t="str">
        <f t="shared" si="0"/>
        <v>Koszty</v>
      </c>
      <c r="B34" s="28" t="s">
        <v>232</v>
      </c>
      <c r="C34" s="18" t="str">
        <f t="shared" si="4"/>
        <v>III. Usługi obce</v>
      </c>
      <c r="D34" s="25">
        <v>58521000</v>
      </c>
      <c r="E34" s="22" t="s">
        <v>43</v>
      </c>
      <c r="F34" s="23" t="s">
        <v>8</v>
      </c>
      <c r="G34" s="9">
        <v>5551.22</v>
      </c>
      <c r="H34" s="9">
        <v>4237.8399999999992</v>
      </c>
      <c r="I34" s="9">
        <v>4189.3700000000008</v>
      </c>
      <c r="J34" s="9">
        <v>4301.6899999999987</v>
      </c>
      <c r="K34" s="9">
        <v>4306.5</v>
      </c>
      <c r="L34" s="9">
        <v>4199.25</v>
      </c>
      <c r="M34" s="9">
        <v>4188.0800000000017</v>
      </c>
      <c r="N34" s="9">
        <v>4320.84</v>
      </c>
      <c r="O34" s="9">
        <v>4167.2900000000009</v>
      </c>
      <c r="P34" s="9">
        <v>4213.2699999999968</v>
      </c>
      <c r="Q34" s="9">
        <v>4302.2200000000012</v>
      </c>
      <c r="R34" s="9">
        <v>4548.9599999999991</v>
      </c>
    </row>
    <row r="35" spans="1:18" ht="20.399999999999999" x14ac:dyDescent="0.3">
      <c r="A35" s="18" t="str">
        <f t="shared" si="0"/>
        <v>Koszty</v>
      </c>
      <c r="B35" s="28" t="s">
        <v>232</v>
      </c>
      <c r="C35" s="18" t="str">
        <f t="shared" si="4"/>
        <v>III. Usługi obce</v>
      </c>
      <c r="D35" s="25">
        <v>58522000</v>
      </c>
      <c r="E35" s="22" t="s">
        <v>44</v>
      </c>
      <c r="F35" s="23" t="s">
        <v>8</v>
      </c>
      <c r="G35" s="9">
        <v>1882.58</v>
      </c>
      <c r="H35" s="9">
        <v>3244.0200000000004</v>
      </c>
      <c r="I35" s="9">
        <v>1787.7799999999997</v>
      </c>
      <c r="J35" s="9">
        <v>1568.1799999999994</v>
      </c>
      <c r="K35" s="9">
        <v>1232.58</v>
      </c>
      <c r="L35" s="9">
        <v>1224.0200000000004</v>
      </c>
      <c r="M35" s="9">
        <v>360.21999999999935</v>
      </c>
      <c r="N35" s="9">
        <v>2063.5500000000011</v>
      </c>
      <c r="O35" s="9">
        <v>1459.83</v>
      </c>
      <c r="P35" s="9">
        <v>1478.3999999999996</v>
      </c>
      <c r="Q35" s="9">
        <v>1142.8199999999997</v>
      </c>
      <c r="R35" s="9">
        <v>1147.7900000000009</v>
      </c>
    </row>
    <row r="36" spans="1:18" ht="20.399999999999999" x14ac:dyDescent="0.3">
      <c r="A36" s="18" t="str">
        <f t="shared" si="0"/>
        <v>Koszty</v>
      </c>
      <c r="B36" s="28" t="s">
        <v>232</v>
      </c>
      <c r="C36" s="18" t="str">
        <f t="shared" si="4"/>
        <v>III. Usługi obce</v>
      </c>
      <c r="D36" s="25">
        <v>58525000</v>
      </c>
      <c r="E36" s="22" t="s">
        <v>45</v>
      </c>
      <c r="F36" s="23" t="s">
        <v>8</v>
      </c>
      <c r="G36" s="9">
        <v>1950</v>
      </c>
      <c r="H36" s="9">
        <v>0</v>
      </c>
      <c r="I36" s="9">
        <v>4519.99</v>
      </c>
      <c r="J36" s="9">
        <v>2329.9899999999998</v>
      </c>
      <c r="K36" s="9">
        <v>2329.9899999999998</v>
      </c>
      <c r="L36" s="9">
        <v>2190</v>
      </c>
      <c r="M36" s="9">
        <v>2190</v>
      </c>
      <c r="N36" s="9">
        <v>2190.0000000000018</v>
      </c>
      <c r="O36" s="9">
        <v>2190</v>
      </c>
      <c r="P36" s="9">
        <v>2190</v>
      </c>
      <c r="Q36" s="9">
        <v>2190</v>
      </c>
      <c r="R36" s="9">
        <v>2430</v>
      </c>
    </row>
    <row r="37" spans="1:18" ht="20.399999999999999" x14ac:dyDescent="0.3">
      <c r="A37" s="18" t="str">
        <f t="shared" si="0"/>
        <v>Koszty</v>
      </c>
      <c r="B37" s="28" t="s">
        <v>232</v>
      </c>
      <c r="C37" s="18" t="str">
        <f t="shared" si="4"/>
        <v>III. Usługi obce</v>
      </c>
      <c r="D37" s="25">
        <v>58527000</v>
      </c>
      <c r="E37" s="22" t="s">
        <v>46</v>
      </c>
      <c r="F37" s="23" t="s">
        <v>8</v>
      </c>
      <c r="G37" s="9">
        <v>1483.23</v>
      </c>
      <c r="H37" s="9">
        <v>2603.4299999999998</v>
      </c>
      <c r="I37" s="9">
        <v>-1191.9699999999998</v>
      </c>
      <c r="J37" s="9">
        <v>1153.83</v>
      </c>
      <c r="K37" s="9">
        <v>1127.3300000000004</v>
      </c>
      <c r="L37" s="9">
        <v>1485.0499999999993</v>
      </c>
      <c r="M37" s="9">
        <v>2146.3999999999996</v>
      </c>
      <c r="N37" s="9">
        <v>1513.8500000000004</v>
      </c>
      <c r="O37" s="9">
        <v>1259.5599999999995</v>
      </c>
      <c r="P37" s="9">
        <v>1010.2200000000012</v>
      </c>
      <c r="Q37" s="9">
        <v>1281.6800000000003</v>
      </c>
      <c r="R37" s="9">
        <v>5077.3099999999977</v>
      </c>
    </row>
    <row r="38" spans="1:18" ht="20.399999999999999" x14ac:dyDescent="0.3">
      <c r="A38" s="18" t="str">
        <f t="shared" si="0"/>
        <v>Koszty</v>
      </c>
      <c r="B38" s="28" t="s">
        <v>232</v>
      </c>
      <c r="C38" s="18" t="str">
        <f t="shared" si="4"/>
        <v>III. Usługi obce</v>
      </c>
      <c r="D38" s="25">
        <v>58530200</v>
      </c>
      <c r="E38" s="22" t="s">
        <v>47</v>
      </c>
      <c r="F38" s="23" t="s">
        <v>8</v>
      </c>
      <c r="G38" s="9">
        <v>11019.62</v>
      </c>
      <c r="H38" s="9">
        <v>8006.1</v>
      </c>
      <c r="I38" s="9">
        <v>7596.0999999999985</v>
      </c>
      <c r="J38" s="9">
        <v>13813.099999999999</v>
      </c>
      <c r="K38" s="9">
        <v>7546.0999999999985</v>
      </c>
      <c r="L38" s="9">
        <v>7776.1000000000058</v>
      </c>
      <c r="M38" s="9">
        <v>7643.0999999999985</v>
      </c>
      <c r="N38" s="9">
        <v>6511.1000000000058</v>
      </c>
      <c r="O38" s="9">
        <v>6971.0999999999913</v>
      </c>
      <c r="P38" s="9">
        <v>10946.100000000006</v>
      </c>
      <c r="Q38" s="9">
        <v>8639.0999999999913</v>
      </c>
      <c r="R38" s="9">
        <v>3006</v>
      </c>
    </row>
    <row r="39" spans="1:18" ht="20.399999999999999" x14ac:dyDescent="0.3">
      <c r="A39" s="18" t="str">
        <f t="shared" si="0"/>
        <v>Koszty</v>
      </c>
      <c r="B39" s="28" t="s">
        <v>232</v>
      </c>
      <c r="C39" s="18" t="str">
        <f t="shared" si="4"/>
        <v>III. Usługi obce</v>
      </c>
      <c r="D39" s="25">
        <v>58530500</v>
      </c>
      <c r="E39" s="22" t="s">
        <v>48</v>
      </c>
      <c r="F39" s="23" t="s">
        <v>8</v>
      </c>
      <c r="G39" s="9">
        <v>3390</v>
      </c>
      <c r="H39" s="9">
        <v>4580</v>
      </c>
      <c r="I39" s="9">
        <v>4050</v>
      </c>
      <c r="J39" s="9">
        <v>5530</v>
      </c>
      <c r="K39" s="9">
        <v>4170</v>
      </c>
      <c r="L39" s="9">
        <v>3690</v>
      </c>
      <c r="M39" s="9">
        <v>4340</v>
      </c>
      <c r="N39" s="9">
        <v>2140</v>
      </c>
      <c r="O39" s="9">
        <v>4060</v>
      </c>
      <c r="P39" s="9">
        <v>5730</v>
      </c>
      <c r="Q39" s="9">
        <v>10320.199999999997</v>
      </c>
      <c r="R39" s="9">
        <v>5600</v>
      </c>
    </row>
    <row r="40" spans="1:18" ht="20.399999999999999" x14ac:dyDescent="0.3">
      <c r="A40" s="18" t="str">
        <f t="shared" si="0"/>
        <v>Koszty</v>
      </c>
      <c r="B40" s="28" t="s">
        <v>232</v>
      </c>
      <c r="C40" s="18" t="str">
        <f t="shared" si="4"/>
        <v>III. Usługi obce</v>
      </c>
      <c r="D40" s="25">
        <v>58530700</v>
      </c>
      <c r="E40" s="22" t="s">
        <v>49</v>
      </c>
      <c r="F40" s="23" t="s">
        <v>8</v>
      </c>
      <c r="G40" s="9">
        <v>207.45</v>
      </c>
      <c r="H40" s="9">
        <v>0</v>
      </c>
      <c r="I40" s="9">
        <v>0</v>
      </c>
      <c r="J40" s="9">
        <v>1179.2</v>
      </c>
      <c r="K40" s="9">
        <v>14.699999999999818</v>
      </c>
      <c r="L40" s="9">
        <v>3210.27</v>
      </c>
      <c r="M40" s="9">
        <v>1121.4300000000003</v>
      </c>
      <c r="N40" s="9">
        <v>0</v>
      </c>
      <c r="O40" s="9">
        <v>0</v>
      </c>
      <c r="P40" s="9">
        <v>868.34000000000015</v>
      </c>
      <c r="Q40" s="9">
        <v>926.85999999999967</v>
      </c>
      <c r="R40" s="9">
        <v>0</v>
      </c>
    </row>
    <row r="41" spans="1:18" ht="20.399999999999999" x14ac:dyDescent="0.3">
      <c r="A41" s="18" t="str">
        <f t="shared" si="0"/>
        <v>Koszty</v>
      </c>
      <c r="B41" s="28" t="s">
        <v>232</v>
      </c>
      <c r="C41" s="18" t="str">
        <f t="shared" si="4"/>
        <v>III. Usługi obce</v>
      </c>
      <c r="D41" s="25">
        <v>58550000</v>
      </c>
      <c r="E41" s="22" t="s">
        <v>50</v>
      </c>
      <c r="F41" s="23" t="s">
        <v>8</v>
      </c>
      <c r="G41" s="9">
        <v>1397.57</v>
      </c>
      <c r="H41" s="9">
        <v>1497.57</v>
      </c>
      <c r="I41" s="9">
        <v>1497.5700000000002</v>
      </c>
      <c r="J41" s="9">
        <v>1395.1599999999999</v>
      </c>
      <c r="K41" s="9">
        <v>1028.9700000000003</v>
      </c>
      <c r="L41" s="9">
        <v>1128.9700000000003</v>
      </c>
      <c r="M41" s="9">
        <v>928.97000000000025</v>
      </c>
      <c r="N41" s="9">
        <v>1028.9699999999993</v>
      </c>
      <c r="O41" s="9">
        <v>1028.9699999999993</v>
      </c>
      <c r="P41" s="9">
        <v>1028.9700000000012</v>
      </c>
      <c r="Q41" s="9">
        <v>1028.9699999999993</v>
      </c>
      <c r="R41" s="9">
        <v>1128.9699999999993</v>
      </c>
    </row>
    <row r="42" spans="1:18" ht="20.399999999999999" x14ac:dyDescent="0.3">
      <c r="A42" s="18" t="str">
        <f t="shared" si="0"/>
        <v>Koszty</v>
      </c>
      <c r="B42" s="28" t="s">
        <v>232</v>
      </c>
      <c r="C42" s="18" t="str">
        <f t="shared" si="4"/>
        <v>III. Usługi obce</v>
      </c>
      <c r="D42" s="25">
        <v>58552001</v>
      </c>
      <c r="E42" s="22" t="s">
        <v>51</v>
      </c>
      <c r="F42" s="23" t="s">
        <v>8</v>
      </c>
      <c r="G42" s="9">
        <v>18877.650000000001</v>
      </c>
      <c r="H42" s="9">
        <v>19680.739999999998</v>
      </c>
      <c r="I42" s="9">
        <v>19279.29</v>
      </c>
      <c r="J42" s="9">
        <v>24313.439999999995</v>
      </c>
      <c r="K42" s="9">
        <v>21698.340000000011</v>
      </c>
      <c r="L42" s="9">
        <v>21695.119999999995</v>
      </c>
      <c r="M42" s="9">
        <v>21660.199999999997</v>
      </c>
      <c r="N42" s="9">
        <v>19965.01999999999</v>
      </c>
      <c r="O42" s="9">
        <v>19963.660000000003</v>
      </c>
      <c r="P42" s="9">
        <v>21851.800000000017</v>
      </c>
      <c r="Q42" s="9">
        <v>23424.190000000002</v>
      </c>
      <c r="R42" s="9">
        <v>20279.789999999979</v>
      </c>
    </row>
    <row r="43" spans="1:18" ht="20.399999999999999" x14ac:dyDescent="0.3">
      <c r="A43" s="18" t="str">
        <f t="shared" si="0"/>
        <v>Koszty</v>
      </c>
      <c r="B43" s="28" t="s">
        <v>232</v>
      </c>
      <c r="C43" s="18" t="str">
        <f t="shared" si="4"/>
        <v>III. Usługi obce</v>
      </c>
      <c r="D43" s="25">
        <v>58552004</v>
      </c>
      <c r="E43" s="22" t="s">
        <v>52</v>
      </c>
      <c r="F43" s="23" t="s">
        <v>8</v>
      </c>
      <c r="G43" s="9">
        <v>9351.02</v>
      </c>
      <c r="H43" s="9">
        <v>8281.119999999999</v>
      </c>
      <c r="I43" s="9">
        <v>8805.39</v>
      </c>
      <c r="J43" s="9">
        <v>8246.9000000000015</v>
      </c>
      <c r="K43" s="9">
        <v>8218.9800000000032</v>
      </c>
      <c r="L43" s="9">
        <v>8065.8999999999942</v>
      </c>
      <c r="M43" s="9">
        <v>8252.4000000000015</v>
      </c>
      <c r="N43" s="9">
        <v>7792.8400000000038</v>
      </c>
      <c r="O43" s="9">
        <v>7792.3399999999965</v>
      </c>
      <c r="P43" s="9">
        <v>8138.7700000000041</v>
      </c>
      <c r="Q43" s="9">
        <v>8561.5199999999895</v>
      </c>
      <c r="R43" s="9">
        <v>7716.0200000000041</v>
      </c>
    </row>
    <row r="44" spans="1:18" ht="20.399999999999999" x14ac:dyDescent="0.3">
      <c r="A44" s="18" t="str">
        <f t="shared" si="0"/>
        <v>Koszty</v>
      </c>
      <c r="B44" s="28" t="s">
        <v>232</v>
      </c>
      <c r="C44" s="18" t="str">
        <f t="shared" si="4"/>
        <v>III. Usługi obce</v>
      </c>
      <c r="D44" s="25">
        <v>58552026</v>
      </c>
      <c r="E44" s="22" t="s">
        <v>53</v>
      </c>
      <c r="F44" s="23" t="s">
        <v>8</v>
      </c>
      <c r="G44" s="9">
        <v>2454.41</v>
      </c>
      <c r="H44" s="9">
        <v>1651.3600000000006</v>
      </c>
      <c r="I44" s="9">
        <v>2052.9799999999996</v>
      </c>
      <c r="J44" s="9">
        <v>6897.2000000000007</v>
      </c>
      <c r="K44" s="9">
        <v>4357.8600000000006</v>
      </c>
      <c r="L44" s="9">
        <v>4354.0299999999988</v>
      </c>
      <c r="M44" s="9">
        <v>4312.2599999999984</v>
      </c>
      <c r="N44" s="9">
        <v>4307.510000000002</v>
      </c>
      <c r="O44" s="9">
        <v>4305.8799999999974</v>
      </c>
      <c r="P44" s="9">
        <v>4313.32</v>
      </c>
      <c r="Q44" s="9">
        <v>6193.6700000000055</v>
      </c>
      <c r="R44" s="9">
        <v>2433.3899999999994</v>
      </c>
    </row>
    <row r="45" spans="1:18" ht="20.399999999999999" x14ac:dyDescent="0.3">
      <c r="A45" s="18" t="str">
        <f t="shared" si="0"/>
        <v>Koszty</v>
      </c>
      <c r="B45" s="28" t="s">
        <v>232</v>
      </c>
      <c r="C45" s="18" t="str">
        <f t="shared" si="4"/>
        <v>III. Usługi obce</v>
      </c>
      <c r="D45" s="25">
        <v>58552027</v>
      </c>
      <c r="E45" s="22" t="s">
        <v>54</v>
      </c>
      <c r="F45" s="23" t="s">
        <v>8</v>
      </c>
      <c r="G45" s="9">
        <v>15.18</v>
      </c>
      <c r="H45" s="9">
        <v>997.08</v>
      </c>
      <c r="I45" s="9">
        <v>506.13000000000011</v>
      </c>
      <c r="J45" s="9">
        <v>1805.09</v>
      </c>
      <c r="K45" s="9">
        <v>506.13000000000011</v>
      </c>
      <c r="L45" s="9">
        <v>506.12999999999965</v>
      </c>
      <c r="M45" s="9">
        <v>506.13000000000011</v>
      </c>
      <c r="N45" s="9">
        <v>506.13000000000011</v>
      </c>
      <c r="O45" s="9">
        <v>506.13000000000011</v>
      </c>
      <c r="P45" s="9">
        <v>506.13000000000011</v>
      </c>
      <c r="Q45" s="9">
        <v>1011.6799999999994</v>
      </c>
      <c r="R45" s="9">
        <v>0.58000000000083674</v>
      </c>
    </row>
    <row r="46" spans="1:18" ht="20.399999999999999" x14ac:dyDescent="0.3">
      <c r="A46" s="18" t="str">
        <f t="shared" si="0"/>
        <v>Koszty</v>
      </c>
      <c r="B46" s="28" t="s">
        <v>232</v>
      </c>
      <c r="C46" s="18" t="str">
        <f t="shared" si="4"/>
        <v>III. Usługi obce</v>
      </c>
      <c r="D46" s="25">
        <v>58554000</v>
      </c>
      <c r="E46" s="22" t="s">
        <v>55</v>
      </c>
      <c r="F46" s="23" t="s">
        <v>8</v>
      </c>
      <c r="G46" s="9">
        <v>0</v>
      </c>
      <c r="H46" s="9">
        <v>561.09</v>
      </c>
      <c r="I46" s="9">
        <v>485.21999999999991</v>
      </c>
      <c r="J46" s="9">
        <v>251.34000000000015</v>
      </c>
      <c r="K46" s="9">
        <v>221.01</v>
      </c>
      <c r="L46" s="9">
        <v>0</v>
      </c>
      <c r="M46" s="9">
        <v>59.799999999999955</v>
      </c>
      <c r="N46" s="9">
        <v>155.05999999999995</v>
      </c>
      <c r="O46" s="9">
        <v>158.81999999999994</v>
      </c>
      <c r="P46" s="9">
        <v>83.600000000000136</v>
      </c>
      <c r="Q46" s="9">
        <v>72.380000000000109</v>
      </c>
      <c r="R46" s="9">
        <v>108.64999999999964</v>
      </c>
    </row>
    <row r="47" spans="1:18" ht="20.399999999999999" x14ac:dyDescent="0.3">
      <c r="A47" s="18" t="str">
        <f t="shared" si="0"/>
        <v>Koszty</v>
      </c>
      <c r="B47" s="28" t="s">
        <v>232</v>
      </c>
      <c r="C47" s="18" t="str">
        <f t="shared" si="4"/>
        <v>III. Usługi obce</v>
      </c>
      <c r="D47" s="25">
        <v>58568000</v>
      </c>
      <c r="E47" s="22" t="s">
        <v>56</v>
      </c>
      <c r="F47" s="23" t="s">
        <v>8</v>
      </c>
      <c r="G47" s="9">
        <v>455</v>
      </c>
      <c r="H47" s="9">
        <v>0</v>
      </c>
      <c r="I47" s="9">
        <v>0</v>
      </c>
      <c r="J47" s="9">
        <v>0</v>
      </c>
      <c r="K47" s="9">
        <v>375</v>
      </c>
      <c r="L47" s="9">
        <v>0</v>
      </c>
      <c r="M47" s="9">
        <v>318.75</v>
      </c>
      <c r="N47" s="9">
        <v>0</v>
      </c>
      <c r="O47" s="9">
        <v>0</v>
      </c>
      <c r="P47" s="9">
        <v>0</v>
      </c>
      <c r="Q47" s="9">
        <v>0</v>
      </c>
      <c r="R47" s="9">
        <v>4185</v>
      </c>
    </row>
    <row r="48" spans="1:18" ht="20.399999999999999" x14ac:dyDescent="0.3">
      <c r="A48" s="18" t="str">
        <f t="shared" si="0"/>
        <v>Koszty</v>
      </c>
      <c r="B48" s="28" t="s">
        <v>232</v>
      </c>
      <c r="C48" s="18" t="str">
        <f t="shared" si="4"/>
        <v>III. Usługi obce</v>
      </c>
      <c r="D48" s="25">
        <v>58570000</v>
      </c>
      <c r="E48" s="22" t="s">
        <v>57</v>
      </c>
      <c r="F48" s="23" t="s">
        <v>8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2465.0100000000002</v>
      </c>
      <c r="Q48" s="9">
        <v>0</v>
      </c>
      <c r="R48" s="9">
        <v>662.04</v>
      </c>
    </row>
    <row r="49" spans="1:18" ht="20.399999999999999" x14ac:dyDescent="0.3">
      <c r="A49" s="18" t="str">
        <f t="shared" si="0"/>
        <v>Koszty</v>
      </c>
      <c r="B49" s="28" t="s">
        <v>232</v>
      </c>
      <c r="C49" s="18" t="str">
        <f t="shared" si="4"/>
        <v>III. Usługi obce</v>
      </c>
      <c r="D49" s="25">
        <v>58590000</v>
      </c>
      <c r="E49" s="22" t="s">
        <v>58</v>
      </c>
      <c r="F49" s="23" t="s">
        <v>8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975</v>
      </c>
      <c r="O49" s="9">
        <v>567.16000000000008</v>
      </c>
      <c r="P49" s="9">
        <v>2944.3100000000004</v>
      </c>
      <c r="Q49" s="9">
        <v>489.03999999999996</v>
      </c>
      <c r="R49" s="9">
        <v>1846.8099999999995</v>
      </c>
    </row>
    <row r="50" spans="1:18" ht="20.399999999999999" x14ac:dyDescent="0.3">
      <c r="A50" s="18" t="str">
        <f t="shared" si="0"/>
        <v>Koszty</v>
      </c>
      <c r="B50" s="28" t="s">
        <v>232</v>
      </c>
      <c r="C50" s="18" t="s">
        <v>249</v>
      </c>
      <c r="D50" s="25">
        <v>59080000</v>
      </c>
      <c r="E50" s="22" t="s">
        <v>59</v>
      </c>
      <c r="F50" s="23" t="s">
        <v>8</v>
      </c>
      <c r="G50" s="9">
        <v>0</v>
      </c>
      <c r="H50" s="9">
        <v>9505.77</v>
      </c>
      <c r="I50" s="9">
        <v>9304.18</v>
      </c>
      <c r="J50" s="9">
        <v>6741.0299999999988</v>
      </c>
      <c r="K50" s="9">
        <v>3010.6000000000022</v>
      </c>
      <c r="L50" s="9">
        <v>3789.66</v>
      </c>
      <c r="M50" s="9">
        <v>10725.920000000002</v>
      </c>
      <c r="N50" s="9">
        <v>4167.4799999999959</v>
      </c>
      <c r="O50" s="9">
        <v>5261.7799999999988</v>
      </c>
      <c r="P50" s="9">
        <v>5056.6399999999994</v>
      </c>
      <c r="Q50" s="9">
        <v>5493.0800000000017</v>
      </c>
      <c r="R50" s="9">
        <v>10405.059999999998</v>
      </c>
    </row>
    <row r="51" spans="1:18" ht="20.399999999999999" x14ac:dyDescent="0.3">
      <c r="A51" s="18" t="str">
        <f t="shared" si="0"/>
        <v>Koszty</v>
      </c>
      <c r="B51" s="28" t="s">
        <v>232</v>
      </c>
      <c r="C51" s="18" t="s">
        <v>245</v>
      </c>
      <c r="D51" s="25">
        <v>59504050</v>
      </c>
      <c r="E51" s="22" t="s">
        <v>60</v>
      </c>
      <c r="F51" s="23" t="s">
        <v>8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</row>
    <row r="52" spans="1:18" ht="20.399999999999999" x14ac:dyDescent="0.3">
      <c r="A52" s="18" t="str">
        <f t="shared" si="0"/>
        <v>Koszty</v>
      </c>
      <c r="B52" s="28" t="s">
        <v>232</v>
      </c>
      <c r="C52" s="18" t="s">
        <v>245</v>
      </c>
      <c r="D52" s="25">
        <v>65518000</v>
      </c>
      <c r="E52" s="22" t="s">
        <v>61</v>
      </c>
      <c r="F52" s="23" t="s">
        <v>8</v>
      </c>
      <c r="G52" s="9">
        <v>1839.17</v>
      </c>
      <c r="H52" s="9">
        <v>1610.73</v>
      </c>
      <c r="I52" s="9">
        <v>1491.7599999999998</v>
      </c>
      <c r="J52" s="9">
        <v>1092.5</v>
      </c>
      <c r="K52" s="9">
        <v>1059.6400000000003</v>
      </c>
      <c r="L52" s="9">
        <v>2080.9499999999998</v>
      </c>
      <c r="M52" s="9">
        <v>2692.84</v>
      </c>
      <c r="N52" s="9">
        <v>940.01000000000022</v>
      </c>
      <c r="O52" s="9">
        <v>1459.2399999999998</v>
      </c>
      <c r="P52" s="9">
        <v>1356.7600000000002</v>
      </c>
      <c r="Q52" s="9">
        <v>2192.3799999999992</v>
      </c>
      <c r="R52" s="9">
        <v>895.4900000000016</v>
      </c>
    </row>
    <row r="53" spans="1:18" ht="20.399999999999999" x14ac:dyDescent="0.3">
      <c r="A53" s="18" t="str">
        <f t="shared" si="0"/>
        <v>Koszty</v>
      </c>
      <c r="B53" s="28" t="s">
        <v>232</v>
      </c>
      <c r="C53" s="18" t="s">
        <v>246</v>
      </c>
      <c r="D53" s="25">
        <v>59080040</v>
      </c>
      <c r="E53" s="22" t="s">
        <v>63</v>
      </c>
      <c r="F53" s="23" t="s">
        <v>8</v>
      </c>
      <c r="G53" s="9">
        <v>11977</v>
      </c>
      <c r="H53" s="9">
        <v>11654</v>
      </c>
      <c r="I53" s="9">
        <v>0</v>
      </c>
      <c r="J53" s="9">
        <v>24681</v>
      </c>
      <c r="K53" s="9">
        <v>12213</v>
      </c>
      <c r="L53" s="9">
        <v>0</v>
      </c>
      <c r="M53" s="9">
        <v>24954</v>
      </c>
      <c r="N53" s="9">
        <v>12672</v>
      </c>
      <c r="O53" s="9">
        <v>9702</v>
      </c>
      <c r="P53" s="9">
        <v>9640</v>
      </c>
      <c r="Q53" s="9">
        <v>9660</v>
      </c>
      <c r="R53" s="9">
        <v>10065</v>
      </c>
    </row>
    <row r="54" spans="1:18" ht="20.399999999999999" x14ac:dyDescent="0.3">
      <c r="A54" s="18" t="str">
        <f t="shared" si="0"/>
        <v>Koszty</v>
      </c>
      <c r="B54" s="28" t="s">
        <v>232</v>
      </c>
      <c r="C54" s="18" t="s">
        <v>246</v>
      </c>
      <c r="D54" s="25">
        <v>59500040</v>
      </c>
      <c r="E54" s="22" t="s">
        <v>64</v>
      </c>
      <c r="F54" s="23" t="s">
        <v>8</v>
      </c>
      <c r="G54" s="9">
        <v>2191.5500000000002</v>
      </c>
      <c r="H54" s="9">
        <v>2191.5500000000002</v>
      </c>
      <c r="I54" s="9">
        <v>2191.5499999999993</v>
      </c>
      <c r="J54" s="9">
        <v>2267.6800000000003</v>
      </c>
      <c r="K54" s="9">
        <v>2224.4300000000003</v>
      </c>
      <c r="L54" s="9">
        <v>2224.4300000000003</v>
      </c>
      <c r="M54" s="9">
        <v>2224.4300000000003</v>
      </c>
      <c r="N54" s="9">
        <v>2224.4299999999985</v>
      </c>
      <c r="O54" s="9">
        <v>2224.4300000000003</v>
      </c>
      <c r="P54" s="9">
        <v>2224.4300000000003</v>
      </c>
      <c r="Q54" s="9">
        <v>2224.4300000000003</v>
      </c>
      <c r="R54" s="9">
        <v>2227.4300000000003</v>
      </c>
    </row>
    <row r="55" spans="1:18" ht="20.399999999999999" x14ac:dyDescent="0.3">
      <c r="A55" s="18" t="str">
        <f t="shared" si="0"/>
        <v>Koszty</v>
      </c>
      <c r="B55" s="28" t="s">
        <v>232</v>
      </c>
      <c r="C55" s="18" t="s">
        <v>246</v>
      </c>
      <c r="D55" s="25">
        <v>59500050</v>
      </c>
      <c r="E55" s="22" t="s">
        <v>65</v>
      </c>
      <c r="F55" s="23" t="s">
        <v>8</v>
      </c>
      <c r="G55" s="9">
        <v>5209.71</v>
      </c>
      <c r="H55" s="9">
        <v>5352.19</v>
      </c>
      <c r="I55" s="9">
        <v>4832.4700000000012</v>
      </c>
      <c r="J55" s="9">
        <v>4774.4600000000009</v>
      </c>
      <c r="K55" s="9">
        <v>4283.239999999998</v>
      </c>
      <c r="L55" s="9">
        <v>4688.010000000002</v>
      </c>
      <c r="M55" s="9">
        <v>4874.4799999999959</v>
      </c>
      <c r="N55" s="9">
        <v>3914.9400000000023</v>
      </c>
      <c r="O55" s="9">
        <v>4540.8300000000017</v>
      </c>
      <c r="P55" s="9">
        <v>5433.43</v>
      </c>
      <c r="Q55" s="9">
        <v>5472.9499999999971</v>
      </c>
      <c r="R55" s="9">
        <v>4650.4000000000015</v>
      </c>
    </row>
    <row r="56" spans="1:18" ht="20.399999999999999" x14ac:dyDescent="0.3">
      <c r="A56" s="18" t="str">
        <f t="shared" si="0"/>
        <v>Koszty</v>
      </c>
      <c r="B56" s="28" t="s">
        <v>232</v>
      </c>
      <c r="C56" s="18" t="s">
        <v>246</v>
      </c>
      <c r="D56" s="25">
        <v>59500051</v>
      </c>
      <c r="E56" s="22" t="s">
        <v>66</v>
      </c>
      <c r="F56" s="23" t="s">
        <v>8</v>
      </c>
      <c r="G56" s="9">
        <v>1510.99</v>
      </c>
      <c r="H56" s="9">
        <v>756.58999999999992</v>
      </c>
      <c r="I56" s="9">
        <v>936.36999999999989</v>
      </c>
      <c r="J56" s="9">
        <v>1281.04</v>
      </c>
      <c r="K56" s="9">
        <v>925.61000000000058</v>
      </c>
      <c r="L56" s="9">
        <v>1060.2199999999993</v>
      </c>
      <c r="M56" s="9">
        <v>1118.9300000000003</v>
      </c>
      <c r="N56" s="9">
        <v>454.85999999999967</v>
      </c>
      <c r="O56" s="9">
        <v>1094.0800000000008</v>
      </c>
      <c r="P56" s="9">
        <v>1297.8099999999995</v>
      </c>
      <c r="Q56" s="9">
        <v>1471.4099999999999</v>
      </c>
      <c r="R56" s="9">
        <v>885.32999999999993</v>
      </c>
    </row>
    <row r="57" spans="1:18" ht="20.399999999999999" x14ac:dyDescent="0.3">
      <c r="A57" s="18" t="str">
        <f t="shared" si="0"/>
        <v>Koszty</v>
      </c>
      <c r="B57" s="28" t="s">
        <v>232</v>
      </c>
      <c r="C57" s="18" t="s">
        <v>247</v>
      </c>
      <c r="D57" s="25">
        <v>59000000</v>
      </c>
      <c r="E57" s="22" t="s">
        <v>68</v>
      </c>
      <c r="F57" s="23" t="s">
        <v>8</v>
      </c>
      <c r="G57" s="9">
        <v>1107101.93</v>
      </c>
      <c r="H57" s="9">
        <v>1089088.72</v>
      </c>
      <c r="I57" s="9">
        <v>1091297.8200000003</v>
      </c>
      <c r="J57" s="9">
        <v>1092961.2399999998</v>
      </c>
      <c r="K57" s="9">
        <v>1071577.2700000005</v>
      </c>
      <c r="L57" s="9">
        <v>1060328.3499999996</v>
      </c>
      <c r="M57" s="9">
        <v>1058152.5099999998</v>
      </c>
      <c r="N57" s="9">
        <v>1086590.2100000009</v>
      </c>
      <c r="O57" s="9">
        <v>1078871.1099999994</v>
      </c>
      <c r="P57" s="9">
        <v>1085071.1099999994</v>
      </c>
      <c r="Q57" s="9">
        <v>1091726.67</v>
      </c>
      <c r="R57" s="9">
        <v>1102354.8200000003</v>
      </c>
    </row>
    <row r="58" spans="1:18" ht="20.399999999999999" x14ac:dyDescent="0.3">
      <c r="A58" s="18" t="str">
        <f t="shared" si="0"/>
        <v>Koszty</v>
      </c>
      <c r="B58" s="28" t="s">
        <v>232</v>
      </c>
      <c r="C58" s="18" t="s">
        <v>247</v>
      </c>
      <c r="D58" s="25">
        <v>59002000</v>
      </c>
      <c r="E58" s="22" t="s">
        <v>69</v>
      </c>
      <c r="F58" s="23" t="s">
        <v>8</v>
      </c>
      <c r="G58" s="9">
        <v>0</v>
      </c>
      <c r="H58" s="9">
        <v>0</v>
      </c>
      <c r="I58" s="9">
        <v>0</v>
      </c>
      <c r="J58" s="9">
        <v>-44723</v>
      </c>
      <c r="K58" s="9">
        <v>0</v>
      </c>
      <c r="L58" s="9">
        <v>214871.88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1212000</v>
      </c>
    </row>
    <row r="59" spans="1:18" ht="20.399999999999999" x14ac:dyDescent="0.3">
      <c r="A59" s="18" t="str">
        <f t="shared" si="0"/>
        <v>Koszty</v>
      </c>
      <c r="B59" s="28" t="s">
        <v>232</v>
      </c>
      <c r="C59" s="18" t="s">
        <v>247</v>
      </c>
      <c r="D59" s="25">
        <v>59002200</v>
      </c>
      <c r="E59" s="22" t="s">
        <v>70</v>
      </c>
      <c r="F59" s="23" t="s">
        <v>8</v>
      </c>
      <c r="G59" s="9">
        <v>0</v>
      </c>
      <c r="H59" s="9">
        <v>0</v>
      </c>
      <c r="I59" s="9">
        <v>0</v>
      </c>
      <c r="J59" s="9">
        <v>1471.54</v>
      </c>
      <c r="K59" s="9">
        <v>0</v>
      </c>
      <c r="L59" s="9">
        <v>0</v>
      </c>
      <c r="M59" s="9">
        <v>579.46</v>
      </c>
      <c r="N59" s="9">
        <v>118.32999999999993</v>
      </c>
      <c r="O59" s="9">
        <v>201.01000000000022</v>
      </c>
      <c r="P59" s="9">
        <v>589.17000000000007</v>
      </c>
      <c r="Q59" s="9">
        <v>0</v>
      </c>
      <c r="R59" s="9">
        <v>1120.6899999999996</v>
      </c>
    </row>
    <row r="60" spans="1:18" ht="20.399999999999999" x14ac:dyDescent="0.3">
      <c r="A60" s="18" t="str">
        <f t="shared" si="0"/>
        <v>Koszty</v>
      </c>
      <c r="B60" s="28" t="s">
        <v>232</v>
      </c>
      <c r="C60" s="18" t="s">
        <v>247</v>
      </c>
      <c r="D60" s="25">
        <v>59018300</v>
      </c>
      <c r="E60" s="22" t="s">
        <v>71</v>
      </c>
      <c r="F60" s="23" t="s">
        <v>8</v>
      </c>
      <c r="G60" s="9">
        <v>0</v>
      </c>
      <c r="H60" s="9">
        <v>-2375</v>
      </c>
      <c r="I60" s="9">
        <v>30575</v>
      </c>
      <c r="J60" s="9">
        <v>0</v>
      </c>
      <c r="K60" s="9">
        <v>45000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7639.1699999999983</v>
      </c>
      <c r="R60" s="9">
        <v>-9219.0699999999924</v>
      </c>
    </row>
    <row r="61" spans="1:18" ht="20.399999999999999" x14ac:dyDescent="0.3">
      <c r="A61" s="18" t="str">
        <f t="shared" si="0"/>
        <v>Koszty</v>
      </c>
      <c r="B61" s="28" t="s">
        <v>232</v>
      </c>
      <c r="C61" s="18" t="s">
        <v>247</v>
      </c>
      <c r="D61" s="25">
        <v>59040000</v>
      </c>
      <c r="E61" s="22" t="s">
        <v>72</v>
      </c>
      <c r="F61" s="23" t="s">
        <v>8</v>
      </c>
      <c r="G61" s="9">
        <v>17114.62</v>
      </c>
      <c r="H61" s="9">
        <v>-5987.0099999999984</v>
      </c>
      <c r="I61" s="9">
        <v>-15628.310000000001</v>
      </c>
      <c r="J61" s="9">
        <v>0</v>
      </c>
      <c r="K61" s="9">
        <v>0</v>
      </c>
      <c r="L61" s="9">
        <v>2232.4199999999996</v>
      </c>
      <c r="M61" s="9">
        <v>2678.7200000000003</v>
      </c>
      <c r="N61" s="9">
        <v>2776.87</v>
      </c>
      <c r="O61" s="9">
        <v>2985.4</v>
      </c>
      <c r="P61" s="9">
        <v>3493.5700000000006</v>
      </c>
      <c r="Q61" s="9">
        <v>863.51999999999862</v>
      </c>
      <c r="R61" s="9">
        <v>1028.3400000000001</v>
      </c>
    </row>
    <row r="62" spans="1:18" ht="20.399999999999999" x14ac:dyDescent="0.3">
      <c r="A62" s="18" t="str">
        <f t="shared" si="0"/>
        <v>Koszty</v>
      </c>
      <c r="B62" s="28" t="s">
        <v>232</v>
      </c>
      <c r="C62" s="18" t="s">
        <v>247</v>
      </c>
      <c r="D62" s="25">
        <v>59070000</v>
      </c>
      <c r="E62" s="22" t="s">
        <v>73</v>
      </c>
      <c r="F62" s="23" t="s">
        <v>8</v>
      </c>
      <c r="G62" s="9">
        <v>25990</v>
      </c>
      <c r="H62" s="9">
        <v>25150</v>
      </c>
      <c r="I62" s="9">
        <v>29415</v>
      </c>
      <c r="J62" s="9">
        <v>33680</v>
      </c>
      <c r="K62" s="9">
        <v>29400</v>
      </c>
      <c r="L62" s="9">
        <v>30460</v>
      </c>
      <c r="M62" s="9">
        <v>35830</v>
      </c>
      <c r="N62" s="9">
        <v>40960</v>
      </c>
      <c r="O62" s="9">
        <v>38926</v>
      </c>
      <c r="P62" s="9">
        <v>36376</v>
      </c>
      <c r="Q62" s="9">
        <v>36685</v>
      </c>
      <c r="R62" s="9">
        <v>33980</v>
      </c>
    </row>
    <row r="63" spans="1:18" ht="20.399999999999999" x14ac:dyDescent="0.3">
      <c r="A63" s="18" t="str">
        <f t="shared" si="0"/>
        <v>Koszty</v>
      </c>
      <c r="B63" s="28" t="s">
        <v>232</v>
      </c>
      <c r="C63" s="18" t="s">
        <v>247</v>
      </c>
      <c r="D63" s="24">
        <v>59004000</v>
      </c>
      <c r="E63" s="22" t="s">
        <v>74</v>
      </c>
      <c r="F63" s="23" t="s">
        <v>8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262148.3</v>
      </c>
    </row>
    <row r="64" spans="1:18" ht="20.399999999999999" x14ac:dyDescent="0.3">
      <c r="A64" s="18" t="str">
        <f t="shared" si="0"/>
        <v>Koszty</v>
      </c>
      <c r="B64" s="28" t="s">
        <v>232</v>
      </c>
      <c r="C64" s="18" t="s">
        <v>248</v>
      </c>
      <c r="D64" s="25">
        <v>58507002</v>
      </c>
      <c r="E64" s="22" t="s">
        <v>76</v>
      </c>
      <c r="F64" s="23" t="s">
        <v>8</v>
      </c>
      <c r="G64" s="9">
        <v>21220.58</v>
      </c>
      <c r="H64" s="9">
        <v>7029.16</v>
      </c>
      <c r="I64" s="9">
        <v>11903.499999999996</v>
      </c>
      <c r="J64" s="9">
        <v>8527.0400000000009</v>
      </c>
      <c r="K64" s="9">
        <v>1374.8800000000047</v>
      </c>
      <c r="L64" s="9">
        <v>5674.8799999999974</v>
      </c>
      <c r="M64" s="9">
        <v>9601.989999999998</v>
      </c>
      <c r="N64" s="9">
        <v>474.88000000000466</v>
      </c>
      <c r="O64" s="9">
        <v>14393.599999999991</v>
      </c>
      <c r="P64" s="9">
        <v>51698.410000000018</v>
      </c>
      <c r="Q64" s="9">
        <v>960</v>
      </c>
      <c r="R64" s="9">
        <v>240</v>
      </c>
    </row>
    <row r="65" spans="1:18" ht="20.399999999999999" x14ac:dyDescent="0.3">
      <c r="A65" s="18" t="str">
        <f t="shared" si="0"/>
        <v>Koszty</v>
      </c>
      <c r="B65" s="28" t="s">
        <v>232</v>
      </c>
      <c r="C65" s="18" t="s">
        <v>248</v>
      </c>
      <c r="D65" s="25">
        <v>58507006</v>
      </c>
      <c r="E65" s="22" t="s">
        <v>77</v>
      </c>
      <c r="F65" s="23" t="s">
        <v>8</v>
      </c>
      <c r="G65" s="9">
        <v>1980</v>
      </c>
      <c r="H65" s="9">
        <v>3020</v>
      </c>
      <c r="I65" s="9">
        <v>0</v>
      </c>
      <c r="J65" s="9">
        <v>500</v>
      </c>
      <c r="K65" s="9">
        <v>500</v>
      </c>
      <c r="L65" s="9">
        <v>2440</v>
      </c>
      <c r="M65" s="9">
        <v>2968</v>
      </c>
      <c r="N65" s="9">
        <v>500</v>
      </c>
      <c r="O65" s="9">
        <v>2000</v>
      </c>
      <c r="P65" s="9">
        <v>3100</v>
      </c>
      <c r="Q65" s="9">
        <v>3494</v>
      </c>
      <c r="R65" s="9">
        <v>1496</v>
      </c>
    </row>
    <row r="66" spans="1:18" ht="20.399999999999999" x14ac:dyDescent="0.3">
      <c r="A66" s="18" t="str">
        <f t="shared" si="0"/>
        <v>Koszty</v>
      </c>
      <c r="B66" s="28" t="s">
        <v>232</v>
      </c>
      <c r="C66" s="18" t="s">
        <v>248</v>
      </c>
      <c r="D66" s="25">
        <v>59004001</v>
      </c>
      <c r="E66" s="22" t="s">
        <v>78</v>
      </c>
      <c r="F66" s="23" t="s">
        <v>8</v>
      </c>
      <c r="G66" s="9">
        <v>0</v>
      </c>
      <c r="H66" s="9">
        <v>0</v>
      </c>
      <c r="I66" s="9">
        <v>0</v>
      </c>
      <c r="J66" s="9">
        <v>-241383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481843.8</v>
      </c>
    </row>
    <row r="67" spans="1:18" ht="20.399999999999999" x14ac:dyDescent="0.3">
      <c r="A67" s="18" t="str">
        <f t="shared" ref="A67:A104" si="5">IF(ISNUMBER(SEARCH("przychody",C67)),"Przychody","Koszty")</f>
        <v>Koszty</v>
      </c>
      <c r="B67" s="28" t="s">
        <v>232</v>
      </c>
      <c r="C67" s="18" t="s">
        <v>248</v>
      </c>
      <c r="D67" s="25">
        <v>59016000</v>
      </c>
      <c r="E67" s="22" t="s">
        <v>79</v>
      </c>
      <c r="F67" s="23" t="s">
        <v>8</v>
      </c>
      <c r="G67" s="9">
        <v>219109.5</v>
      </c>
      <c r="H67" s="9">
        <v>215264.16999999998</v>
      </c>
      <c r="I67" s="9">
        <v>214357.06</v>
      </c>
      <c r="J67" s="9">
        <v>422721.10000000009</v>
      </c>
      <c r="K67" s="9">
        <v>192860.25</v>
      </c>
      <c r="L67" s="9">
        <v>229520.07999999984</v>
      </c>
      <c r="M67" s="9">
        <v>189010.01</v>
      </c>
      <c r="N67" s="9">
        <v>185913.06000000006</v>
      </c>
      <c r="O67" s="9">
        <v>178428.41999999993</v>
      </c>
      <c r="P67" s="9">
        <v>173144.49000000022</v>
      </c>
      <c r="Q67" s="9">
        <v>157969.96999999974</v>
      </c>
      <c r="R67" s="9">
        <v>-94923</v>
      </c>
    </row>
    <row r="68" spans="1:18" ht="20.399999999999999" x14ac:dyDescent="0.3">
      <c r="A68" s="18" t="str">
        <f t="shared" si="5"/>
        <v>Koszty</v>
      </c>
      <c r="B68" s="28" t="s">
        <v>232</v>
      </c>
      <c r="C68" s="18" t="s">
        <v>248</v>
      </c>
      <c r="D68" s="25">
        <v>59026000</v>
      </c>
      <c r="E68" s="22" t="s">
        <v>80</v>
      </c>
      <c r="F68" s="23" t="s">
        <v>8</v>
      </c>
      <c r="G68" s="9">
        <v>0</v>
      </c>
      <c r="H68" s="9">
        <v>0</v>
      </c>
      <c r="I68" s="9">
        <v>6372</v>
      </c>
      <c r="J68" s="9">
        <v>6490</v>
      </c>
      <c r="K68" s="9">
        <v>6490</v>
      </c>
      <c r="L68" s="9">
        <v>6490</v>
      </c>
      <c r="M68" s="9">
        <v>6490</v>
      </c>
      <c r="N68" s="9">
        <v>6549</v>
      </c>
      <c r="O68" s="9">
        <v>6490</v>
      </c>
      <c r="P68" s="9">
        <v>6549</v>
      </c>
      <c r="Q68" s="9">
        <v>15193.5</v>
      </c>
      <c r="R68" s="9">
        <v>-2095.5</v>
      </c>
    </row>
    <row r="69" spans="1:18" ht="20.399999999999999" x14ac:dyDescent="0.3">
      <c r="A69" s="18" t="str">
        <f t="shared" si="5"/>
        <v>Koszty</v>
      </c>
      <c r="B69" s="28" t="s">
        <v>232</v>
      </c>
      <c r="C69" s="18" t="s">
        <v>248</v>
      </c>
      <c r="D69" s="25">
        <v>59028000</v>
      </c>
      <c r="E69" s="22" t="s">
        <v>81</v>
      </c>
      <c r="F69" s="23" t="s">
        <v>8</v>
      </c>
      <c r="G69" s="9">
        <v>12508.95</v>
      </c>
      <c r="H69" s="9">
        <v>12363.61</v>
      </c>
      <c r="I69" s="9">
        <v>12435.929999999997</v>
      </c>
      <c r="J69" s="9">
        <v>12493.029999999999</v>
      </c>
      <c r="K69" s="9">
        <v>12402.440000000002</v>
      </c>
      <c r="L69" s="9">
        <v>12453.939999999995</v>
      </c>
      <c r="M69" s="9">
        <v>12403.450000000012</v>
      </c>
      <c r="N69" s="9">
        <v>12467.159999999989</v>
      </c>
      <c r="O69" s="9">
        <v>12630.270000000004</v>
      </c>
      <c r="P69" s="9">
        <v>13610.960000000006</v>
      </c>
      <c r="Q69" s="9">
        <v>13414.319999999992</v>
      </c>
      <c r="R69" s="9">
        <v>13373.190000000002</v>
      </c>
    </row>
    <row r="70" spans="1:18" ht="20.399999999999999" x14ac:dyDescent="0.3">
      <c r="A70" s="18" t="str">
        <f t="shared" si="5"/>
        <v>Koszty</v>
      </c>
      <c r="B70" s="28" t="s">
        <v>232</v>
      </c>
      <c r="C70" s="18" t="s">
        <v>248</v>
      </c>
      <c r="D70" s="25">
        <v>59036001</v>
      </c>
      <c r="E70" s="22" t="s">
        <v>82</v>
      </c>
      <c r="F70" s="23" t="s">
        <v>8</v>
      </c>
      <c r="G70" s="9">
        <v>21850</v>
      </c>
      <c r="H70" s="9">
        <v>21660</v>
      </c>
      <c r="I70" s="9">
        <v>21660</v>
      </c>
      <c r="J70" s="9">
        <v>21470</v>
      </c>
      <c r="K70" s="9">
        <v>21470</v>
      </c>
      <c r="L70" s="9">
        <v>42560</v>
      </c>
      <c r="M70" s="9">
        <v>0</v>
      </c>
      <c r="N70" s="9">
        <v>21660</v>
      </c>
      <c r="O70" s="9">
        <v>21470</v>
      </c>
      <c r="P70" s="9">
        <v>42940</v>
      </c>
      <c r="Q70" s="9">
        <v>0</v>
      </c>
      <c r="R70" s="9">
        <v>43510</v>
      </c>
    </row>
    <row r="71" spans="1:18" ht="20.399999999999999" x14ac:dyDescent="0.3">
      <c r="A71" s="18" t="str">
        <f t="shared" si="5"/>
        <v>Koszty</v>
      </c>
      <c r="B71" s="28" t="s">
        <v>232</v>
      </c>
      <c r="C71" s="18" t="s">
        <v>249</v>
      </c>
      <c r="D71" s="25">
        <v>58540000</v>
      </c>
      <c r="E71" s="22" t="s">
        <v>84</v>
      </c>
      <c r="F71" s="23" t="s">
        <v>8</v>
      </c>
      <c r="G71" s="9">
        <v>0</v>
      </c>
      <c r="H71" s="9">
        <v>280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</row>
    <row r="72" spans="1:18" ht="20.399999999999999" x14ac:dyDescent="0.3">
      <c r="A72" s="18" t="str">
        <f t="shared" si="5"/>
        <v>Koszty</v>
      </c>
      <c r="B72" s="28" t="s">
        <v>232</v>
      </c>
      <c r="C72" s="18" t="s">
        <v>249</v>
      </c>
      <c r="D72" s="25">
        <v>58540100</v>
      </c>
      <c r="E72" s="22" t="s">
        <v>85</v>
      </c>
      <c r="F72" s="23" t="s">
        <v>8</v>
      </c>
      <c r="G72" s="9">
        <v>12586.41</v>
      </c>
      <c r="H72" s="9">
        <v>426.29000000000087</v>
      </c>
      <c r="I72" s="9">
        <v>-66.340000000000146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</row>
    <row r="73" spans="1:18" ht="20.399999999999999" x14ac:dyDescent="0.3">
      <c r="A73" s="18" t="str">
        <f t="shared" si="5"/>
        <v>Koszty</v>
      </c>
      <c r="B73" s="28" t="s">
        <v>232</v>
      </c>
      <c r="C73" s="18" t="s">
        <v>249</v>
      </c>
      <c r="D73" s="25">
        <v>58540111</v>
      </c>
      <c r="E73" s="22" t="s">
        <v>86</v>
      </c>
      <c r="F73" s="23" t="s">
        <v>8</v>
      </c>
      <c r="G73" s="9">
        <v>4975.05</v>
      </c>
      <c r="H73" s="9">
        <v>63.630000000000109</v>
      </c>
      <c r="I73" s="9">
        <v>433.57999999999993</v>
      </c>
      <c r="J73" s="9">
        <v>15.679999999999382</v>
      </c>
      <c r="K73" s="9">
        <v>0</v>
      </c>
      <c r="L73" s="9">
        <v>266.6200000000008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</row>
    <row r="74" spans="1:18" ht="20.399999999999999" x14ac:dyDescent="0.3">
      <c r="A74" s="18" t="str">
        <f t="shared" si="5"/>
        <v>Koszty</v>
      </c>
      <c r="B74" s="28" t="s">
        <v>232</v>
      </c>
      <c r="C74" s="18" t="s">
        <v>249</v>
      </c>
      <c r="D74" s="25">
        <v>58540200</v>
      </c>
      <c r="E74" s="22" t="s">
        <v>87</v>
      </c>
      <c r="F74" s="23" t="s">
        <v>8</v>
      </c>
      <c r="G74" s="9">
        <v>621.61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</row>
    <row r="75" spans="1:18" ht="20.399999999999999" x14ac:dyDescent="0.3">
      <c r="A75" s="18" t="str">
        <f t="shared" si="5"/>
        <v>Koszty</v>
      </c>
      <c r="B75" s="28" t="s">
        <v>232</v>
      </c>
      <c r="C75" s="18" t="s">
        <v>249</v>
      </c>
      <c r="D75" s="25">
        <v>58540201</v>
      </c>
      <c r="E75" s="22" t="s">
        <v>88</v>
      </c>
      <c r="F75" s="23" t="s">
        <v>8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</row>
    <row r="76" spans="1:18" ht="20.399999999999999" x14ac:dyDescent="0.3">
      <c r="A76" s="18" t="str">
        <f t="shared" si="5"/>
        <v>Koszty</v>
      </c>
      <c r="B76" s="28" t="s">
        <v>232</v>
      </c>
      <c r="C76" s="18" t="s">
        <v>249</v>
      </c>
      <c r="D76" s="25">
        <v>58540211</v>
      </c>
      <c r="E76" s="22" t="s">
        <v>89</v>
      </c>
      <c r="F76" s="23" t="s">
        <v>8</v>
      </c>
      <c r="G76" s="9">
        <v>1120.44</v>
      </c>
      <c r="H76" s="9">
        <v>-95.190000000000055</v>
      </c>
      <c r="I76" s="9">
        <v>674.07999999999993</v>
      </c>
      <c r="J76" s="9">
        <v>0</v>
      </c>
      <c r="K76" s="9">
        <v>0</v>
      </c>
      <c r="L76" s="9">
        <v>0</v>
      </c>
      <c r="M76" s="9">
        <v>0</v>
      </c>
      <c r="N76" s="9">
        <v>212.03999999999996</v>
      </c>
      <c r="O76" s="9">
        <v>0</v>
      </c>
      <c r="P76" s="9">
        <v>1010.8499999999999</v>
      </c>
      <c r="Q76" s="9">
        <v>-89.549999999999727</v>
      </c>
      <c r="R76" s="9">
        <v>0</v>
      </c>
    </row>
    <row r="77" spans="1:18" ht="20.399999999999999" x14ac:dyDescent="0.3">
      <c r="A77" s="18" t="str">
        <f t="shared" si="5"/>
        <v>Koszty</v>
      </c>
      <c r="B77" s="28" t="s">
        <v>232</v>
      </c>
      <c r="C77" s="18" t="s">
        <v>249</v>
      </c>
      <c r="D77" s="25">
        <v>58540300</v>
      </c>
      <c r="E77" s="22" t="s">
        <v>90</v>
      </c>
      <c r="F77" s="23" t="s">
        <v>8</v>
      </c>
      <c r="G77" s="9">
        <v>10962.29</v>
      </c>
      <c r="H77" s="9">
        <v>6420.0799999999981</v>
      </c>
      <c r="I77" s="9">
        <v>3113.1700000000019</v>
      </c>
      <c r="J77" s="9">
        <v>4855.0599999999977</v>
      </c>
      <c r="K77" s="9">
        <v>600</v>
      </c>
      <c r="L77" s="9">
        <v>3723.84</v>
      </c>
      <c r="M77" s="9">
        <v>0</v>
      </c>
      <c r="N77" s="9">
        <v>1110</v>
      </c>
      <c r="O77" s="9">
        <v>2137.2999999999993</v>
      </c>
      <c r="P77" s="9">
        <v>5490</v>
      </c>
      <c r="Q77" s="9">
        <v>1890</v>
      </c>
      <c r="R77" s="9">
        <v>300</v>
      </c>
    </row>
    <row r="78" spans="1:18" ht="20.399999999999999" x14ac:dyDescent="0.3">
      <c r="A78" s="18" t="str">
        <f t="shared" si="5"/>
        <v>Koszty</v>
      </c>
      <c r="B78" s="28" t="s">
        <v>232</v>
      </c>
      <c r="C78" s="18" t="s">
        <v>249</v>
      </c>
      <c r="D78" s="25">
        <v>58540800</v>
      </c>
      <c r="E78" s="22" t="s">
        <v>91</v>
      </c>
      <c r="F78" s="23" t="s">
        <v>8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</row>
    <row r="79" spans="1:18" ht="20.399999999999999" x14ac:dyDescent="0.3">
      <c r="A79" s="18" t="str">
        <f t="shared" si="5"/>
        <v>Koszty</v>
      </c>
      <c r="B79" s="28" t="s">
        <v>232</v>
      </c>
      <c r="C79" s="18" t="s">
        <v>249</v>
      </c>
      <c r="D79" s="25">
        <v>58560000</v>
      </c>
      <c r="E79" s="22" t="s">
        <v>92</v>
      </c>
      <c r="F79" s="23" t="s">
        <v>8</v>
      </c>
      <c r="G79" s="9">
        <v>0</v>
      </c>
      <c r="H79" s="9">
        <v>4050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</row>
    <row r="80" spans="1:18" ht="20.399999999999999" x14ac:dyDescent="0.3">
      <c r="A80" s="18" t="str">
        <f t="shared" si="5"/>
        <v>Koszty</v>
      </c>
      <c r="B80" s="28" t="s">
        <v>232</v>
      </c>
      <c r="C80" s="18" t="s">
        <v>249</v>
      </c>
      <c r="D80" s="25">
        <v>58562000</v>
      </c>
      <c r="E80" s="22" t="s">
        <v>93</v>
      </c>
      <c r="F80" s="23" t="s">
        <v>8</v>
      </c>
      <c r="G80" s="9">
        <v>0</v>
      </c>
      <c r="H80" s="9">
        <v>4550.46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12872.41</v>
      </c>
    </row>
    <row r="81" spans="1:18" ht="20.399999999999999" x14ac:dyDescent="0.3">
      <c r="A81" s="18" t="str">
        <f t="shared" si="5"/>
        <v>Koszty</v>
      </c>
      <c r="B81" s="28" t="s">
        <v>232</v>
      </c>
      <c r="C81" s="18" t="s">
        <v>249</v>
      </c>
      <c r="D81" s="25">
        <v>58564000</v>
      </c>
      <c r="E81" s="22" t="s">
        <v>94</v>
      </c>
      <c r="F81" s="23" t="s">
        <v>8</v>
      </c>
      <c r="G81" s="9">
        <v>3409.93</v>
      </c>
      <c r="H81" s="9">
        <v>5900.57</v>
      </c>
      <c r="I81" s="9">
        <v>2854.2999999999993</v>
      </c>
      <c r="J81" s="9">
        <v>4180.1000000000004</v>
      </c>
      <c r="K81" s="9">
        <v>1474.8999999999996</v>
      </c>
      <c r="L81" s="9">
        <v>2676.7800000000025</v>
      </c>
      <c r="M81" s="9">
        <v>3746.8999999999978</v>
      </c>
      <c r="N81" s="9">
        <v>2740.7000000000007</v>
      </c>
      <c r="O81" s="9">
        <v>4408.0999999999985</v>
      </c>
      <c r="P81" s="9">
        <v>7527.4100000000035</v>
      </c>
      <c r="Q81" s="9">
        <v>44.5</v>
      </c>
      <c r="R81" s="9">
        <v>1245.6999999999971</v>
      </c>
    </row>
    <row r="82" spans="1:18" ht="20.399999999999999" x14ac:dyDescent="0.3">
      <c r="A82" s="18" t="str">
        <f t="shared" si="5"/>
        <v>Koszty</v>
      </c>
      <c r="B82" s="28" t="s">
        <v>232</v>
      </c>
      <c r="C82" s="18" t="s">
        <v>249</v>
      </c>
      <c r="D82" s="25">
        <v>58564010</v>
      </c>
      <c r="E82" s="22" t="s">
        <v>95</v>
      </c>
      <c r="F82" s="23" t="s">
        <v>8</v>
      </c>
      <c r="G82" s="9">
        <v>2421.67</v>
      </c>
      <c r="H82" s="9">
        <v>1254.4000000000001</v>
      </c>
      <c r="I82" s="9">
        <v>0</v>
      </c>
      <c r="J82" s="9">
        <v>265.59999999999991</v>
      </c>
      <c r="K82" s="9">
        <v>396</v>
      </c>
      <c r="L82" s="9">
        <v>1454.58</v>
      </c>
      <c r="M82" s="9">
        <v>0</v>
      </c>
      <c r="N82" s="9">
        <v>3779.9400000000005</v>
      </c>
      <c r="O82" s="9">
        <v>111.69999999999891</v>
      </c>
      <c r="P82" s="9">
        <v>909.51000000000022</v>
      </c>
      <c r="Q82" s="9">
        <v>218.05000000000109</v>
      </c>
      <c r="R82" s="9">
        <v>1088.7999999999993</v>
      </c>
    </row>
    <row r="83" spans="1:18" ht="20.399999999999999" x14ac:dyDescent="0.3">
      <c r="A83" s="18" t="str">
        <f t="shared" si="5"/>
        <v>Koszty</v>
      </c>
      <c r="B83" s="28" t="s">
        <v>232</v>
      </c>
      <c r="C83" s="18" t="s">
        <v>249</v>
      </c>
      <c r="D83" s="25">
        <v>58564020</v>
      </c>
      <c r="E83" s="22" t="s">
        <v>96</v>
      </c>
      <c r="F83" s="23" t="s">
        <v>8</v>
      </c>
      <c r="G83" s="9">
        <v>-35000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-4000</v>
      </c>
      <c r="O83" s="9">
        <v>0</v>
      </c>
      <c r="P83" s="9">
        <v>0</v>
      </c>
      <c r="Q83" s="9">
        <v>0</v>
      </c>
      <c r="R83" s="9">
        <v>0</v>
      </c>
    </row>
    <row r="84" spans="1:18" ht="20.399999999999999" x14ac:dyDescent="0.3">
      <c r="A84" s="18" t="str">
        <f t="shared" si="5"/>
        <v>Koszty</v>
      </c>
      <c r="B84" s="28" t="s">
        <v>232</v>
      </c>
      <c r="C84" s="18" t="s">
        <v>249</v>
      </c>
      <c r="D84" s="25">
        <v>58566000</v>
      </c>
      <c r="E84" s="22" t="s">
        <v>97</v>
      </c>
      <c r="F84" s="23" t="s">
        <v>8</v>
      </c>
      <c r="G84" s="9">
        <v>2301.39</v>
      </c>
      <c r="H84" s="9">
        <v>4048.6600000000003</v>
      </c>
      <c r="I84" s="9">
        <v>14173.369999999999</v>
      </c>
      <c r="J84" s="9">
        <v>0</v>
      </c>
      <c r="K84" s="9">
        <v>2531.4600000000028</v>
      </c>
      <c r="L84" s="9">
        <v>3135.2999999999993</v>
      </c>
      <c r="M84" s="9">
        <v>36.790000000000873</v>
      </c>
      <c r="N84" s="9">
        <v>1061.5</v>
      </c>
      <c r="O84" s="9">
        <v>0</v>
      </c>
      <c r="P84" s="9">
        <v>0</v>
      </c>
      <c r="Q84" s="9">
        <v>0</v>
      </c>
      <c r="R84" s="9">
        <v>-4670.5300000000025</v>
      </c>
    </row>
    <row r="85" spans="1:18" ht="20.399999999999999" x14ac:dyDescent="0.3">
      <c r="A85" s="18" t="str">
        <f t="shared" si="5"/>
        <v>Koszty</v>
      </c>
      <c r="B85" s="28" t="s">
        <v>232</v>
      </c>
      <c r="C85" s="18" t="s">
        <v>249</v>
      </c>
      <c r="D85" s="25">
        <v>58566010</v>
      </c>
      <c r="E85" s="22" t="s">
        <v>98</v>
      </c>
      <c r="F85" s="23" t="s">
        <v>8</v>
      </c>
      <c r="G85" s="9">
        <v>0</v>
      </c>
      <c r="H85" s="9">
        <v>1450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2710</v>
      </c>
    </row>
    <row r="86" spans="1:18" ht="20.399999999999999" x14ac:dyDescent="0.3">
      <c r="A86" s="18" t="str">
        <f t="shared" si="5"/>
        <v>Koszty</v>
      </c>
      <c r="B86" s="28" t="s">
        <v>232</v>
      </c>
      <c r="C86" s="18" t="s">
        <v>249</v>
      </c>
      <c r="D86" s="25">
        <v>58568002</v>
      </c>
      <c r="E86" s="22" t="s">
        <v>99</v>
      </c>
      <c r="F86" s="23" t="s">
        <v>8</v>
      </c>
      <c r="G86" s="9">
        <v>1667.89</v>
      </c>
      <c r="H86" s="9">
        <v>273</v>
      </c>
      <c r="I86" s="9">
        <v>37339.03</v>
      </c>
      <c r="J86" s="9">
        <v>2730</v>
      </c>
      <c r="K86" s="9">
        <v>-1000</v>
      </c>
      <c r="L86" s="9">
        <v>0</v>
      </c>
      <c r="M86" s="9">
        <v>357.93000000000029</v>
      </c>
      <c r="N86" s="9">
        <v>9.9899999999979627</v>
      </c>
      <c r="O86" s="9">
        <v>0</v>
      </c>
      <c r="P86" s="9">
        <v>0</v>
      </c>
      <c r="Q86" s="9">
        <v>0</v>
      </c>
      <c r="R86" s="9">
        <v>42364.19</v>
      </c>
    </row>
    <row r="87" spans="1:18" ht="20.399999999999999" x14ac:dyDescent="0.3">
      <c r="A87" s="18" t="str">
        <f t="shared" si="5"/>
        <v>Koszty</v>
      </c>
      <c r="B87" s="28" t="s">
        <v>232</v>
      </c>
      <c r="C87" s="18" t="s">
        <v>249</v>
      </c>
      <c r="D87" s="25">
        <v>58568011</v>
      </c>
      <c r="E87" s="22" t="s">
        <v>100</v>
      </c>
      <c r="F87" s="23" t="s">
        <v>8</v>
      </c>
      <c r="G87" s="9">
        <v>1000</v>
      </c>
      <c r="H87" s="9">
        <v>0</v>
      </c>
      <c r="I87" s="9">
        <v>0</v>
      </c>
      <c r="J87" s="9">
        <v>0</v>
      </c>
      <c r="K87" s="9">
        <v>261.23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-1261.23</v>
      </c>
    </row>
    <row r="88" spans="1:18" ht="20.399999999999999" x14ac:dyDescent="0.3">
      <c r="A88" s="18" t="str">
        <f t="shared" si="5"/>
        <v>Przychody</v>
      </c>
      <c r="B88" s="28" t="s">
        <v>233</v>
      </c>
      <c r="C88" s="28" t="s">
        <v>251</v>
      </c>
      <c r="D88" s="25">
        <v>46012000</v>
      </c>
      <c r="E88" s="22" t="s">
        <v>153</v>
      </c>
      <c r="F88" s="23" t="s">
        <v>8</v>
      </c>
      <c r="G88" s="9">
        <v>0</v>
      </c>
      <c r="H88" s="9">
        <v>0</v>
      </c>
      <c r="I88" s="9">
        <v>0</v>
      </c>
      <c r="J88" s="9">
        <v>150.34</v>
      </c>
      <c r="K88" s="9">
        <v>0</v>
      </c>
      <c r="L88" s="9">
        <v>0</v>
      </c>
      <c r="M88" s="9">
        <v>-1833.23</v>
      </c>
      <c r="N88" s="9">
        <v>0</v>
      </c>
      <c r="O88" s="9">
        <v>213.94000000000005</v>
      </c>
      <c r="P88" s="9">
        <v>128.84000000000015</v>
      </c>
      <c r="Q88" s="9">
        <v>13164.900000000001</v>
      </c>
      <c r="R88" s="9">
        <v>-13164.900000000001</v>
      </c>
    </row>
    <row r="89" spans="1:18" ht="20.399999999999999" x14ac:dyDescent="0.3">
      <c r="A89" s="18" t="str">
        <f t="shared" si="5"/>
        <v>Przychody</v>
      </c>
      <c r="B89" s="28" t="s">
        <v>233</v>
      </c>
      <c r="C89" s="28" t="s">
        <v>251</v>
      </c>
      <c r="D89" s="25">
        <v>46050000</v>
      </c>
      <c r="E89" s="22" t="s">
        <v>154</v>
      </c>
      <c r="F89" s="23" t="s">
        <v>8</v>
      </c>
      <c r="G89" s="9">
        <v>-5245.76</v>
      </c>
      <c r="H89" s="9">
        <v>-3478.6299999999992</v>
      </c>
      <c r="I89" s="9">
        <v>-4157.630000000001</v>
      </c>
      <c r="J89" s="9">
        <v>-2017.3999999999996</v>
      </c>
      <c r="K89" s="9">
        <v>-1102.4599999999991</v>
      </c>
      <c r="L89" s="9">
        <v>-2051.2100000000009</v>
      </c>
      <c r="M89" s="9">
        <v>-2255.3600000000006</v>
      </c>
      <c r="N89" s="9">
        <v>-3308.4300000000003</v>
      </c>
      <c r="O89" s="9">
        <v>-3064.2299999999996</v>
      </c>
      <c r="P89" s="9">
        <v>-42153.759999999995</v>
      </c>
      <c r="Q89" s="9">
        <v>-1761.7799999999988</v>
      </c>
      <c r="R89" s="9">
        <v>-2551.0900000000111</v>
      </c>
    </row>
    <row r="90" spans="1:18" x14ac:dyDescent="0.3">
      <c r="A90" s="18" t="str">
        <f t="shared" si="5"/>
        <v>Koszty</v>
      </c>
      <c r="B90" s="28" t="s">
        <v>234</v>
      </c>
      <c r="C90" s="28" t="s">
        <v>253</v>
      </c>
      <c r="D90" s="25">
        <v>58556000</v>
      </c>
      <c r="E90" s="22" t="s">
        <v>155</v>
      </c>
      <c r="F90" s="23" t="s">
        <v>8</v>
      </c>
      <c r="G90" s="9">
        <v>0</v>
      </c>
      <c r="H90" s="9">
        <v>0</v>
      </c>
      <c r="I90" s="9">
        <v>0</v>
      </c>
      <c r="J90" s="9">
        <v>10000</v>
      </c>
      <c r="K90" s="9">
        <v>0</v>
      </c>
      <c r="L90" s="9">
        <v>500</v>
      </c>
      <c r="M90" s="9">
        <v>0</v>
      </c>
      <c r="N90" s="9">
        <v>0</v>
      </c>
      <c r="O90" s="9">
        <v>0</v>
      </c>
      <c r="P90" s="9">
        <v>0</v>
      </c>
      <c r="Q90" s="9">
        <v>4000</v>
      </c>
      <c r="R90" s="9">
        <v>3485.5</v>
      </c>
    </row>
    <row r="91" spans="1:18" ht="20.399999999999999" x14ac:dyDescent="0.3">
      <c r="A91" s="18" t="str">
        <f t="shared" si="5"/>
        <v>Przychody</v>
      </c>
      <c r="B91" s="28" t="s">
        <v>233</v>
      </c>
      <c r="C91" s="28" t="s">
        <v>251</v>
      </c>
      <c r="D91" s="25">
        <v>60000010</v>
      </c>
      <c r="E91" s="22" t="s">
        <v>156</v>
      </c>
      <c r="F91" s="23" t="s">
        <v>8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</row>
    <row r="92" spans="1:18" ht="20.399999999999999" x14ac:dyDescent="0.3">
      <c r="A92" s="18" t="str">
        <f t="shared" si="5"/>
        <v>Koszty</v>
      </c>
      <c r="B92" s="28" t="s">
        <v>234</v>
      </c>
      <c r="C92" s="28" t="s">
        <v>252</v>
      </c>
      <c r="D92" s="25">
        <v>60002000</v>
      </c>
      <c r="E92" s="22" t="s">
        <v>157</v>
      </c>
      <c r="F92" s="23" t="s">
        <v>8</v>
      </c>
      <c r="G92" s="9">
        <v>929.04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</row>
    <row r="93" spans="1:18" x14ac:dyDescent="0.3">
      <c r="A93" s="18" t="str">
        <f t="shared" si="5"/>
        <v>Koszty</v>
      </c>
      <c r="B93" s="28" t="s">
        <v>236</v>
      </c>
      <c r="C93" s="28" t="s">
        <v>239</v>
      </c>
      <c r="D93" s="25">
        <v>60502010</v>
      </c>
      <c r="E93" s="22" t="s">
        <v>158</v>
      </c>
      <c r="F93" s="23" t="s">
        <v>8</v>
      </c>
      <c r="G93" s="9">
        <v>-2.08</v>
      </c>
      <c r="H93" s="9">
        <v>0</v>
      </c>
      <c r="I93" s="9">
        <v>-4.0000000000000036E-2</v>
      </c>
      <c r="J93" s="9">
        <v>0</v>
      </c>
      <c r="K93" s="9">
        <v>-6.0000000000000053E-2</v>
      </c>
      <c r="L93" s="9">
        <v>0</v>
      </c>
      <c r="M93" s="9">
        <v>-4.0000000000000036E-2</v>
      </c>
      <c r="N93" s="9">
        <v>0</v>
      </c>
      <c r="O93" s="9">
        <v>0</v>
      </c>
      <c r="P93" s="9">
        <v>0</v>
      </c>
      <c r="Q93" s="9">
        <v>0</v>
      </c>
      <c r="R93" s="9">
        <v>136.82</v>
      </c>
    </row>
    <row r="94" spans="1:18" x14ac:dyDescent="0.3">
      <c r="A94" s="18" t="str">
        <f t="shared" si="5"/>
        <v>Koszty</v>
      </c>
      <c r="B94" s="28" t="s">
        <v>236</v>
      </c>
      <c r="C94" s="28" t="s">
        <v>239</v>
      </c>
      <c r="D94" s="25">
        <v>60502211</v>
      </c>
      <c r="E94" s="22" t="s">
        <v>159</v>
      </c>
      <c r="F94" s="23" t="s">
        <v>8</v>
      </c>
      <c r="G94" s="9">
        <v>-271.12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-5041.0200000000004</v>
      </c>
      <c r="Q94" s="9">
        <v>-44.059999999999491</v>
      </c>
      <c r="R94" s="9">
        <v>-1236.2700000000004</v>
      </c>
    </row>
    <row r="95" spans="1:18" x14ac:dyDescent="0.3">
      <c r="A95" s="18" t="str">
        <f t="shared" si="5"/>
        <v>Koszty</v>
      </c>
      <c r="B95" s="28" t="s">
        <v>236</v>
      </c>
      <c r="C95" s="28" t="s">
        <v>239</v>
      </c>
      <c r="D95" s="25">
        <v>60503010</v>
      </c>
      <c r="E95" s="22" t="s">
        <v>160</v>
      </c>
      <c r="F95" s="23" t="s">
        <v>8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0.08</v>
      </c>
      <c r="M95" s="9">
        <v>0</v>
      </c>
      <c r="N95" s="9">
        <v>3.9999999999999994E-2</v>
      </c>
      <c r="O95" s="9">
        <v>0</v>
      </c>
      <c r="P95" s="9">
        <v>0</v>
      </c>
      <c r="Q95" s="9">
        <v>0.56999999999999995</v>
      </c>
      <c r="R95" s="9">
        <v>0</v>
      </c>
    </row>
    <row r="96" spans="1:18" x14ac:dyDescent="0.3">
      <c r="A96" s="18" t="str">
        <f t="shared" si="5"/>
        <v>Koszty</v>
      </c>
      <c r="B96" s="28" t="s">
        <v>236</v>
      </c>
      <c r="C96" s="28" t="s">
        <v>239</v>
      </c>
      <c r="D96" s="25">
        <v>60508010</v>
      </c>
      <c r="E96" s="22" t="s">
        <v>161</v>
      </c>
      <c r="F96" s="23" t="s">
        <v>8</v>
      </c>
      <c r="G96" s="9">
        <v>-0.01</v>
      </c>
      <c r="H96" s="9">
        <v>0</v>
      </c>
      <c r="I96" s="9">
        <v>0</v>
      </c>
      <c r="J96" s="9">
        <v>0</v>
      </c>
      <c r="K96" s="9">
        <v>0</v>
      </c>
      <c r="L96" s="9">
        <v>-3111.1699999999996</v>
      </c>
      <c r="M96" s="9">
        <v>-653.32000000000016</v>
      </c>
      <c r="N96" s="9">
        <v>-134.2800000000002</v>
      </c>
      <c r="O96" s="9">
        <v>-1267.0499999999997</v>
      </c>
      <c r="P96" s="9">
        <v>-41.109999999999673</v>
      </c>
      <c r="Q96" s="9">
        <v>-2244.2400000000007</v>
      </c>
      <c r="R96" s="9">
        <v>-1562.1900000000005</v>
      </c>
    </row>
    <row r="97" spans="1:18" x14ac:dyDescent="0.3">
      <c r="A97" s="18" t="str">
        <f t="shared" si="5"/>
        <v>Koszty</v>
      </c>
      <c r="B97" s="28" t="s">
        <v>236</v>
      </c>
      <c r="C97" s="28" t="s">
        <v>239</v>
      </c>
      <c r="D97" s="25">
        <v>60509010</v>
      </c>
      <c r="E97" s="22" t="s">
        <v>162</v>
      </c>
      <c r="F97" s="23" t="s">
        <v>8</v>
      </c>
      <c r="G97" s="9">
        <v>0</v>
      </c>
      <c r="H97" s="9">
        <v>77.19</v>
      </c>
      <c r="I97" s="9">
        <v>5409.21</v>
      </c>
      <c r="J97" s="9">
        <v>360.15000000000055</v>
      </c>
      <c r="K97" s="9">
        <v>0</v>
      </c>
      <c r="L97" s="9">
        <v>434.97000000000025</v>
      </c>
      <c r="M97" s="9">
        <v>1.3699999999998909</v>
      </c>
      <c r="N97" s="9">
        <v>0</v>
      </c>
      <c r="O97" s="9">
        <v>1892.1999999999998</v>
      </c>
      <c r="P97" s="9">
        <v>560.11999999999898</v>
      </c>
      <c r="Q97" s="9">
        <v>0</v>
      </c>
      <c r="R97" s="9">
        <v>0</v>
      </c>
    </row>
    <row r="98" spans="1:18" x14ac:dyDescent="0.3">
      <c r="A98" s="18" t="str">
        <f t="shared" si="5"/>
        <v>Koszty</v>
      </c>
      <c r="B98" s="28" t="s">
        <v>236</v>
      </c>
      <c r="C98" s="28" t="s">
        <v>239</v>
      </c>
      <c r="D98" s="25">
        <v>60509211</v>
      </c>
      <c r="E98" s="22" t="s">
        <v>163</v>
      </c>
      <c r="F98" s="23" t="s">
        <v>8</v>
      </c>
      <c r="G98" s="9">
        <v>5744.06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-290.74000000000069</v>
      </c>
      <c r="P98" s="9">
        <v>15996.48</v>
      </c>
      <c r="Q98" s="9">
        <v>-10813.17</v>
      </c>
      <c r="R98" s="9">
        <v>850.86000000000058</v>
      </c>
    </row>
    <row r="99" spans="1:18" ht="20.399999999999999" x14ac:dyDescent="0.3">
      <c r="A99" s="18" t="str">
        <f t="shared" si="5"/>
        <v>Koszty</v>
      </c>
      <c r="B99" s="28" t="s">
        <v>233</v>
      </c>
      <c r="C99" s="28" t="s">
        <v>250</v>
      </c>
      <c r="D99" s="25">
        <v>62502000</v>
      </c>
      <c r="E99" s="22" t="s">
        <v>164</v>
      </c>
      <c r="F99" s="23" t="s">
        <v>8</v>
      </c>
      <c r="G99" s="9">
        <v>-383.73</v>
      </c>
      <c r="H99" s="9">
        <v>-40.649999999999977</v>
      </c>
      <c r="I99" s="9">
        <v>-53700</v>
      </c>
      <c r="J99" s="9">
        <v>-24.389999999999418</v>
      </c>
      <c r="K99" s="9">
        <v>0</v>
      </c>
      <c r="L99" s="9">
        <v>0</v>
      </c>
      <c r="M99" s="9">
        <v>-56.910000000003492</v>
      </c>
      <c r="N99" s="9">
        <v>-16.260000000002037</v>
      </c>
      <c r="O99" s="9">
        <v>-105.68999999999505</v>
      </c>
      <c r="P99" s="9">
        <v>-1.6200000000026193</v>
      </c>
      <c r="Q99" s="9">
        <v>0</v>
      </c>
      <c r="R99" s="9">
        <v>0</v>
      </c>
    </row>
    <row r="100" spans="1:18" ht="20.399999999999999" x14ac:dyDescent="0.3">
      <c r="A100" s="18" t="str">
        <f t="shared" si="5"/>
        <v>Koszty</v>
      </c>
      <c r="B100" s="28" t="s">
        <v>233</v>
      </c>
      <c r="C100" s="28" t="s">
        <v>250</v>
      </c>
      <c r="D100" s="25">
        <v>62503000</v>
      </c>
      <c r="E100" s="22" t="s">
        <v>165</v>
      </c>
      <c r="F100" s="23" t="s">
        <v>8</v>
      </c>
      <c r="G100" s="9">
        <v>0</v>
      </c>
      <c r="H100" s="9">
        <v>0</v>
      </c>
      <c r="I100" s="9">
        <v>2541.4899999999998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</row>
    <row r="101" spans="1:18" ht="20.399999999999999" x14ac:dyDescent="0.3">
      <c r="A101" s="18" t="str">
        <f t="shared" si="5"/>
        <v>Koszty</v>
      </c>
      <c r="B101" s="28" t="s">
        <v>235</v>
      </c>
      <c r="C101" s="30" t="s">
        <v>254</v>
      </c>
      <c r="D101" s="25">
        <v>64510000</v>
      </c>
      <c r="E101" s="22" t="s">
        <v>166</v>
      </c>
      <c r="F101" s="23" t="s">
        <v>8</v>
      </c>
      <c r="G101" s="9">
        <v>-11.41</v>
      </c>
      <c r="H101" s="9">
        <v>0</v>
      </c>
      <c r="I101" s="9">
        <v>-6.879999999999999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</row>
    <row r="102" spans="1:18" x14ac:dyDescent="0.3">
      <c r="A102" s="18" t="str">
        <f t="shared" si="5"/>
        <v>Koszty</v>
      </c>
      <c r="B102" s="28" t="s">
        <v>236</v>
      </c>
      <c r="C102" s="28" t="s">
        <v>238</v>
      </c>
      <c r="D102" s="25">
        <v>65016000</v>
      </c>
      <c r="E102" s="22" t="s">
        <v>167</v>
      </c>
      <c r="F102" s="23" t="s">
        <v>8</v>
      </c>
      <c r="G102" s="9">
        <v>-0.31</v>
      </c>
      <c r="H102" s="9">
        <v>260.31</v>
      </c>
      <c r="I102" s="9">
        <v>50.120000000000005</v>
      </c>
      <c r="J102" s="9">
        <v>43.46999999999997</v>
      </c>
      <c r="K102" s="9">
        <v>0.21000000000003638</v>
      </c>
      <c r="L102" s="9">
        <v>100.21999999999997</v>
      </c>
      <c r="M102" s="9">
        <v>112.92000000000007</v>
      </c>
      <c r="N102" s="9">
        <v>-29.960000000000036</v>
      </c>
      <c r="O102" s="9">
        <v>3.4399999999999409</v>
      </c>
      <c r="P102" s="9">
        <v>0</v>
      </c>
      <c r="Q102" s="9">
        <v>0.16000000000008185</v>
      </c>
      <c r="R102" s="9">
        <v>131</v>
      </c>
    </row>
    <row r="103" spans="1:18" x14ac:dyDescent="0.3">
      <c r="A103" s="18" t="str">
        <f t="shared" si="5"/>
        <v>Koszty</v>
      </c>
      <c r="B103" s="28" t="s">
        <v>236</v>
      </c>
      <c r="C103" s="28" t="s">
        <v>239</v>
      </c>
      <c r="D103" s="25">
        <v>65528010</v>
      </c>
      <c r="E103" s="22" t="s">
        <v>168</v>
      </c>
      <c r="F103" s="23" t="s">
        <v>8</v>
      </c>
      <c r="G103" s="9">
        <v>0</v>
      </c>
      <c r="H103" s="9">
        <v>-0.01</v>
      </c>
      <c r="I103" s="9">
        <v>-1.9999999999999997E-2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</row>
    <row r="104" spans="1:18" x14ac:dyDescent="0.3">
      <c r="A104" s="18" t="str">
        <f t="shared" si="5"/>
        <v>Koszty</v>
      </c>
      <c r="B104" s="28" t="s">
        <v>236</v>
      </c>
      <c r="C104" s="28" t="s">
        <v>239</v>
      </c>
      <c r="D104" s="25">
        <v>65528110</v>
      </c>
      <c r="E104" s="22" t="s">
        <v>169</v>
      </c>
      <c r="F104" s="23" t="s">
        <v>8</v>
      </c>
      <c r="G104" s="9">
        <v>15.15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</row>
    <row r="105" spans="1:18" x14ac:dyDescent="0.3">
      <c r="A105" s="18" t="s">
        <v>228</v>
      </c>
      <c r="B105" s="28" t="s">
        <v>237</v>
      </c>
      <c r="C105" s="18"/>
      <c r="D105" s="25">
        <v>70000000</v>
      </c>
      <c r="E105" s="22" t="s">
        <v>170</v>
      </c>
      <c r="F105" s="23" t="s">
        <v>8</v>
      </c>
      <c r="G105" s="9">
        <v>0</v>
      </c>
      <c r="H105" s="9">
        <v>44113.25</v>
      </c>
      <c r="I105" s="9">
        <v>43210.75</v>
      </c>
      <c r="J105" s="9">
        <v>320688.27</v>
      </c>
      <c r="K105" s="9">
        <v>43662</v>
      </c>
      <c r="L105" s="9">
        <v>43662</v>
      </c>
      <c r="M105" s="9">
        <v>43662</v>
      </c>
      <c r="N105" s="9">
        <v>43662</v>
      </c>
      <c r="O105" s="9">
        <v>287538.99</v>
      </c>
      <c r="P105" s="9">
        <v>43662</v>
      </c>
      <c r="Q105" s="9">
        <v>43662</v>
      </c>
      <c r="R105" s="9">
        <v>-798771.91</v>
      </c>
    </row>
    <row r="106" spans="1:18" x14ac:dyDescent="0.3">
      <c r="A106" s="18" t="str">
        <f>IF(ISNUMBER(SEARCH("przychody",C106)),"Przychody","Koszty")</f>
        <v>Koszty</v>
      </c>
      <c r="B106" s="28" t="s">
        <v>236</v>
      </c>
      <c r="C106" s="28" t="s">
        <v>239</v>
      </c>
      <c r="D106" s="24">
        <v>60500000</v>
      </c>
      <c r="E106" s="22" t="s">
        <v>183</v>
      </c>
      <c r="F106" s="23" t="s">
        <v>8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-416.67</v>
      </c>
    </row>
    <row r="107" spans="1:18" x14ac:dyDescent="0.3">
      <c r="A107" s="18" t="str">
        <f>IF(ISNUMBER(SEARCH("przychody",C107)),"Przychody","Koszty")</f>
        <v>Koszty</v>
      </c>
      <c r="B107" s="28" t="s">
        <v>236</v>
      </c>
      <c r="C107" s="28" t="s">
        <v>239</v>
      </c>
      <c r="D107" s="24">
        <v>60501000</v>
      </c>
      <c r="E107" s="22" t="s">
        <v>184</v>
      </c>
      <c r="F107" s="23" t="s">
        <v>8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130.12</v>
      </c>
    </row>
  </sheetData>
  <phoneticPr fontId="12" type="noConversion"/>
  <conditionalFormatting sqref="D2:D107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E09C-8BFF-40F2-A2B6-9343A1B3BF51}">
  <sheetPr>
    <tabColor rgb="FF92D050"/>
  </sheetPr>
  <dimension ref="A1:T115"/>
  <sheetViews>
    <sheetView topLeftCell="A92" workbookViewId="0">
      <selection activeCell="B100" sqref="B100"/>
    </sheetView>
  </sheetViews>
  <sheetFormatPr defaultRowHeight="14.4" x14ac:dyDescent="0.3"/>
  <cols>
    <col min="1" max="1" width="22.88671875" bestFit="1" customWidth="1"/>
    <col min="2" max="3" width="22.88671875" customWidth="1"/>
    <col min="4" max="4" width="11.88671875" style="31" customWidth="1"/>
    <col min="5" max="5" width="43.77734375" bestFit="1" customWidth="1"/>
    <col min="7" max="7" width="11.33203125" bestFit="1" customWidth="1"/>
    <col min="8" max="8" width="11" bestFit="1" customWidth="1"/>
    <col min="9" max="9" width="9.109375" bestFit="1" customWidth="1"/>
    <col min="10" max="13" width="9.5546875" bestFit="1" customWidth="1"/>
    <col min="14" max="14" width="9.21875" customWidth="1"/>
    <col min="15" max="18" width="9.5546875" bestFit="1" customWidth="1"/>
    <col min="19" max="19" width="9.88671875" bestFit="1" customWidth="1"/>
  </cols>
  <sheetData>
    <row r="1" spans="1:20" x14ac:dyDescent="0.3">
      <c r="G1" s="16">
        <f t="shared" ref="G1:P1" si="0">SUM(G3:G102)</f>
        <v>3335057.0700000008</v>
      </c>
      <c r="H1" s="16">
        <f t="shared" si="0"/>
        <v>3441549.8600000003</v>
      </c>
      <c r="I1" s="16">
        <f t="shared" si="0"/>
        <v>3448161.0999999992</v>
      </c>
      <c r="J1" s="16">
        <f t="shared" si="0"/>
        <v>926695.10999999987</v>
      </c>
      <c r="K1" s="16">
        <f t="shared" si="0"/>
        <v>4829875.870000001</v>
      </c>
      <c r="L1" s="16">
        <f t="shared" si="0"/>
        <v>3832613.7400000016</v>
      </c>
      <c r="M1" s="16">
        <f t="shared" si="0"/>
        <v>4066828.63</v>
      </c>
      <c r="N1" s="16">
        <f t="shared" si="0"/>
        <v>2154561</v>
      </c>
      <c r="O1" s="16">
        <f t="shared" si="0"/>
        <v>4612791.6999999993</v>
      </c>
      <c r="P1" s="16">
        <f t="shared" si="0"/>
        <v>3790996.3600000008</v>
      </c>
      <c r="Q1" s="16">
        <f>SUM(Q3:Q107)</f>
        <v>3374417.5000000019</v>
      </c>
      <c r="R1" s="16">
        <f>SUM(R3:R107)</f>
        <v>7053888.5200000033</v>
      </c>
      <c r="S1" s="16"/>
      <c r="T1">
        <v>-1</v>
      </c>
    </row>
    <row r="2" spans="1:20" ht="41.4" thickBot="1" x14ac:dyDescent="0.35">
      <c r="A2" s="34" t="s">
        <v>226</v>
      </c>
      <c r="B2" s="34" t="s">
        <v>227</v>
      </c>
      <c r="C2" s="34" t="s">
        <v>241</v>
      </c>
      <c r="D2" s="36" t="s">
        <v>1</v>
      </c>
      <c r="E2" s="34" t="s">
        <v>2</v>
      </c>
      <c r="F2" s="34" t="s">
        <v>3</v>
      </c>
      <c r="G2" s="34" t="s">
        <v>283</v>
      </c>
      <c r="H2" s="34" t="s">
        <v>284</v>
      </c>
      <c r="I2" s="34" t="s">
        <v>285</v>
      </c>
      <c r="J2" s="34" t="s">
        <v>286</v>
      </c>
      <c r="K2" s="34" t="s">
        <v>287</v>
      </c>
      <c r="L2" s="34" t="s">
        <v>288</v>
      </c>
      <c r="M2" s="34" t="s">
        <v>289</v>
      </c>
      <c r="N2" s="34" t="s">
        <v>290</v>
      </c>
      <c r="O2" s="34" t="s">
        <v>291</v>
      </c>
      <c r="P2" s="34" t="s">
        <v>292</v>
      </c>
      <c r="Q2" s="34" t="s">
        <v>293</v>
      </c>
      <c r="R2" s="34" t="s">
        <v>294</v>
      </c>
      <c r="S2" s="34" t="s">
        <v>370</v>
      </c>
    </row>
    <row r="3" spans="1:20" x14ac:dyDescent="0.3">
      <c r="A3" s="18" t="str">
        <f t="shared" ref="A3:A8" si="1">IF(ISNUMBER(SEARCH("przychody",B3)),"Przychody","Koszty")</f>
        <v>Przychody</v>
      </c>
      <c r="B3" s="57" t="s">
        <v>231</v>
      </c>
      <c r="C3" s="57" t="str">
        <f>_xlfn.XLOOKUP(E3,'25 RZiS Zmapowane P+'!$E$2:$E$111,'25 RZiS Zmapowane P+'!$C$2:$C$111,0)</f>
        <v>I. Przychody netto ze sprzedaży produktów</v>
      </c>
      <c r="D3" s="32">
        <v>44000000</v>
      </c>
      <c r="E3" s="22" t="s">
        <v>9</v>
      </c>
      <c r="F3" s="22" t="s">
        <v>8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33">
        <v>0</v>
      </c>
      <c r="Q3" s="33">
        <v>-112.36000000000001</v>
      </c>
      <c r="R3" s="33">
        <v>0</v>
      </c>
      <c r="S3" s="33">
        <f>SUM(_24[[#This Row],[2024-01]:[2024-12]])</f>
        <v>-112.36000000000001</v>
      </c>
    </row>
    <row r="4" spans="1:20" x14ac:dyDescent="0.3">
      <c r="A4" s="18" t="str">
        <f t="shared" si="1"/>
        <v>Przychody</v>
      </c>
      <c r="B4" s="57" t="s">
        <v>231</v>
      </c>
      <c r="C4" s="57" t="str">
        <f>_xlfn.XLOOKUP(E4,'25 RZiS Zmapowane P+'!$E$2:$E$111,'25 RZiS Zmapowane P+'!$C$2:$C$111,0)</f>
        <v>I. Przychody netto ze sprzedaży produktów</v>
      </c>
      <c r="D4" s="32">
        <v>44000005</v>
      </c>
      <c r="E4" s="22" t="s">
        <v>10</v>
      </c>
      <c r="F4" s="22" t="s">
        <v>8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33">
        <v>0</v>
      </c>
      <c r="Q4" s="33">
        <v>-153.29</v>
      </c>
      <c r="R4" s="33">
        <v>0</v>
      </c>
      <c r="S4" s="33">
        <f>SUM(_24[[#This Row],[2024-01]:[2024-12]])</f>
        <v>-153.29</v>
      </c>
    </row>
    <row r="5" spans="1:20" x14ac:dyDescent="0.3">
      <c r="A5" s="18" t="str">
        <f t="shared" si="1"/>
        <v>Przychody</v>
      </c>
      <c r="B5" s="57" t="s">
        <v>231</v>
      </c>
      <c r="C5" s="57" t="str">
        <f>_xlfn.XLOOKUP(E5,'25 RZiS Zmapowane P+'!$E$2:$E$111,'25 RZiS Zmapowane P+'!$C$2:$C$111,0)</f>
        <v>I. Przychody netto ze sprzedaży produktów</v>
      </c>
      <c r="D5" s="32">
        <v>45510000</v>
      </c>
      <c r="E5" s="22" t="s">
        <v>7</v>
      </c>
      <c r="F5" s="22" t="s">
        <v>8</v>
      </c>
      <c r="G5" s="33">
        <v>1850899</v>
      </c>
      <c r="H5" s="33">
        <v>1937526</v>
      </c>
      <c r="I5" s="33">
        <v>1838554</v>
      </c>
      <c r="J5" s="33">
        <v>453584</v>
      </c>
      <c r="K5" s="33">
        <v>1520140</v>
      </c>
      <c r="L5" s="33">
        <v>1520140</v>
      </c>
      <c r="M5" s="33">
        <v>2331123</v>
      </c>
      <c r="N5" s="33">
        <v>1636000</v>
      </c>
      <c r="O5" s="33">
        <v>1636000</v>
      </c>
      <c r="P5" s="33">
        <v>1635000</v>
      </c>
      <c r="Q5" s="33">
        <v>1635000</v>
      </c>
      <c r="R5" s="33">
        <v>3364855</v>
      </c>
      <c r="S5" s="33">
        <f>SUM(_24[[#This Row],[2024-01]:[2024-12]])</f>
        <v>21358821</v>
      </c>
    </row>
    <row r="6" spans="1:20" x14ac:dyDescent="0.3">
      <c r="A6" s="18" t="str">
        <f t="shared" si="1"/>
        <v>Przychody</v>
      </c>
      <c r="B6" s="57" t="s">
        <v>233</v>
      </c>
      <c r="C6" s="57" t="str">
        <f>_xlfn.XLOOKUP(E6,'25 RZiS Zmapowane P+'!$E$2:$E$111,'25 RZiS Zmapowane P+'!$C$2:$C$111,0)</f>
        <v>IV. Inne przychody operacyjne</v>
      </c>
      <c r="D6" s="32">
        <v>46012000</v>
      </c>
      <c r="E6" s="22" t="s">
        <v>153</v>
      </c>
      <c r="F6" s="22" t="s">
        <v>8</v>
      </c>
      <c r="G6" s="33">
        <v>0</v>
      </c>
      <c r="H6" s="33">
        <v>-4</v>
      </c>
      <c r="I6" s="33">
        <v>-0.49000000000000021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-10.34</v>
      </c>
      <c r="Q6" s="33">
        <v>0</v>
      </c>
      <c r="R6" s="33">
        <v>-20.51</v>
      </c>
      <c r="S6" s="33">
        <f>SUM(_24[[#This Row],[2024-01]:[2024-12]])</f>
        <v>-35.340000000000003</v>
      </c>
    </row>
    <row r="7" spans="1:20" x14ac:dyDescent="0.3">
      <c r="A7" s="18" t="str">
        <f t="shared" si="1"/>
        <v>Przychody</v>
      </c>
      <c r="B7" s="57" t="s">
        <v>233</v>
      </c>
      <c r="C7" s="57" t="str">
        <f>_xlfn.XLOOKUP(E7,'25 RZiS Zmapowane P+'!$E$2:$E$111,'25 RZiS Zmapowane P+'!$C$2:$C$111,0)</f>
        <v>IV. Inne przychody operacyjne</v>
      </c>
      <c r="D7" s="32">
        <v>46050000</v>
      </c>
      <c r="E7" s="22" t="s">
        <v>154</v>
      </c>
      <c r="F7" s="22" t="s">
        <v>8</v>
      </c>
      <c r="G7" s="33">
        <v>6616.25</v>
      </c>
      <c r="H7" s="33">
        <v>3474.0499999999993</v>
      </c>
      <c r="I7" s="33">
        <v>274</v>
      </c>
      <c r="J7" s="33">
        <v>6412.1000000000022</v>
      </c>
      <c r="K7" s="33">
        <v>1093</v>
      </c>
      <c r="L7" s="33">
        <v>207524.53</v>
      </c>
      <c r="M7" s="33">
        <v>364</v>
      </c>
      <c r="N7" s="33">
        <v>9190.5800000000163</v>
      </c>
      <c r="O7" s="33">
        <v>3890.9700000000012</v>
      </c>
      <c r="P7" s="33">
        <v>3517.9400000000023</v>
      </c>
      <c r="Q7" s="33">
        <v>3606.16</v>
      </c>
      <c r="R7" s="33">
        <v>3656.6</v>
      </c>
      <c r="S7" s="33">
        <f>SUM(_24[[#This Row],[2024-01]:[2024-12]])</f>
        <v>249620.18000000002</v>
      </c>
    </row>
    <row r="8" spans="1:20" x14ac:dyDescent="0.3">
      <c r="A8" s="18" t="str">
        <f t="shared" si="1"/>
        <v>Koszty</v>
      </c>
      <c r="B8" s="57" t="s">
        <v>232</v>
      </c>
      <c r="C8" s="57" t="str">
        <f>_xlfn.XLOOKUP(E8,'25 RZiS Zmapowane P+'!$E$2:$E$111,'25 RZiS Zmapowane P+'!$C$2:$C$111,0)</f>
        <v>III. Usługi obce</v>
      </c>
      <c r="D8" s="32">
        <v>53080000</v>
      </c>
      <c r="E8" s="22" t="s">
        <v>29</v>
      </c>
      <c r="F8" s="22" t="s">
        <v>8</v>
      </c>
      <c r="G8" s="33">
        <v>0</v>
      </c>
      <c r="H8" s="33">
        <v>0</v>
      </c>
      <c r="I8" s="33">
        <v>0</v>
      </c>
      <c r="J8" s="33">
        <v>0</v>
      </c>
      <c r="K8" s="33">
        <v>55401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f>SUM(_24[[#This Row],[2024-01]:[2024-12]])</f>
        <v>55401</v>
      </c>
    </row>
    <row r="9" spans="1:20" x14ac:dyDescent="0.3">
      <c r="A9" s="18" t="str">
        <f t="shared" ref="A9:A68" si="2">IF(ISNUMBER(SEARCH("przychody",B9)),"Przychody","Koszty")</f>
        <v>Koszty</v>
      </c>
      <c r="B9" s="57" t="s">
        <v>232</v>
      </c>
      <c r="C9" s="57" t="str">
        <f>_xlfn.XLOOKUP(E9,'25 RZiS Zmapowane P+'!$E$2:$E$111,'25 RZiS Zmapowane P+'!$C$2:$C$111,0)</f>
        <v>III. Usługi obce</v>
      </c>
      <c r="D9" s="32">
        <v>58500000</v>
      </c>
      <c r="E9" s="22" t="s">
        <v>30</v>
      </c>
      <c r="F9" s="22" t="s">
        <v>8</v>
      </c>
      <c r="G9" s="33">
        <v>21406.78</v>
      </c>
      <c r="H9" s="33">
        <v>5626.48</v>
      </c>
      <c r="I9" s="33">
        <v>21751.66</v>
      </c>
      <c r="J9" s="33">
        <v>21750.820000000007</v>
      </c>
      <c r="K9" s="33">
        <v>3801.6899999999878</v>
      </c>
      <c r="L9" s="33">
        <v>4420.1300000000047</v>
      </c>
      <c r="M9" s="33">
        <v>28762.070000000007</v>
      </c>
      <c r="N9" s="33">
        <v>7652.2599999999948</v>
      </c>
      <c r="O9" s="33">
        <v>7683.6699999999983</v>
      </c>
      <c r="P9" s="33">
        <v>7680.0299999999988</v>
      </c>
      <c r="Q9" s="33">
        <v>26297.01</v>
      </c>
      <c r="R9" s="33">
        <v>26647.1</v>
      </c>
      <c r="S9" s="33">
        <f>SUM(_24[[#This Row],[2024-01]:[2024-12]])</f>
        <v>183479.7</v>
      </c>
    </row>
    <row r="10" spans="1:20" x14ac:dyDescent="0.3">
      <c r="A10" s="18" t="str">
        <f t="shared" si="2"/>
        <v>Koszty</v>
      </c>
      <c r="B10" s="57" t="s">
        <v>232</v>
      </c>
      <c r="C10" s="57" t="str">
        <f>_xlfn.XLOOKUP(E10,'25 RZiS Zmapowane P+'!$E$2:$E$111,'25 RZiS Zmapowane P+'!$C$2:$C$111,0)</f>
        <v>III. Usługi obce</v>
      </c>
      <c r="D10" s="32">
        <v>58500010</v>
      </c>
      <c r="E10" s="22" t="s">
        <v>31</v>
      </c>
      <c r="F10" s="22" t="s">
        <v>8</v>
      </c>
      <c r="G10" s="33">
        <v>8307.36</v>
      </c>
      <c r="H10" s="33">
        <v>4965.2099999999991</v>
      </c>
      <c r="I10" s="33">
        <v>8420.3499999999985</v>
      </c>
      <c r="J10" s="33">
        <v>8757.84</v>
      </c>
      <c r="K10" s="33">
        <v>3524.3900000000031</v>
      </c>
      <c r="L10" s="33">
        <v>7557.760000000002</v>
      </c>
      <c r="M10" s="33">
        <v>15464.409999999996</v>
      </c>
      <c r="N10" s="33">
        <v>8034.57</v>
      </c>
      <c r="O10" s="33">
        <v>8125.6800000000076</v>
      </c>
      <c r="P10" s="33">
        <v>9291.9099999999889</v>
      </c>
      <c r="Q10" s="33">
        <v>8402.33</v>
      </c>
      <c r="R10" s="33">
        <v>10303.66</v>
      </c>
      <c r="S10" s="33">
        <f>SUM(_24[[#This Row],[2024-01]:[2024-12]])</f>
        <v>101155.47</v>
      </c>
    </row>
    <row r="11" spans="1:20" x14ac:dyDescent="0.3">
      <c r="A11" s="18" t="str">
        <f t="shared" si="2"/>
        <v>Koszty</v>
      </c>
      <c r="B11" s="57" t="s">
        <v>232</v>
      </c>
      <c r="C11" s="57" t="str">
        <f>_xlfn.XLOOKUP(E11,'25 RZiS Zmapowane P+'!$E$2:$E$111,'25 RZiS Zmapowane P+'!$C$2:$C$111,0)</f>
        <v>II. Zużycie materiałów i energii</v>
      </c>
      <c r="D11" s="32">
        <v>58502000</v>
      </c>
      <c r="E11" s="22" t="s">
        <v>20</v>
      </c>
      <c r="F11" s="22" t="s">
        <v>8</v>
      </c>
      <c r="G11" s="33">
        <v>4208.2299999999996</v>
      </c>
      <c r="H11" s="33">
        <v>4306.92</v>
      </c>
      <c r="I11" s="33">
        <v>4073.16</v>
      </c>
      <c r="J11" s="33">
        <v>2428.7200000000012</v>
      </c>
      <c r="K11" s="33">
        <v>3835.33</v>
      </c>
      <c r="L11" s="33">
        <v>3948.4300000000003</v>
      </c>
      <c r="M11" s="33">
        <v>5932.8999999999978</v>
      </c>
      <c r="N11" s="33">
        <v>4848.09</v>
      </c>
      <c r="O11" s="33">
        <v>3860.7300000000032</v>
      </c>
      <c r="P11" s="33">
        <v>5514.7099999999991</v>
      </c>
      <c r="Q11" s="33">
        <v>3978.47</v>
      </c>
      <c r="R11" s="33">
        <v>4531.3899999999994</v>
      </c>
      <c r="S11" s="33">
        <f>SUM(_24[[#This Row],[2024-01]:[2024-12]])</f>
        <v>51467.08</v>
      </c>
    </row>
    <row r="12" spans="1:20" x14ac:dyDescent="0.3">
      <c r="A12" s="18" t="str">
        <f t="shared" si="2"/>
        <v>Koszty</v>
      </c>
      <c r="B12" s="57" t="s">
        <v>232</v>
      </c>
      <c r="C12" s="57" t="str">
        <f>_xlfn.XLOOKUP(E12,'25 RZiS Zmapowane P+'!$E$2:$E$111,'25 RZiS Zmapowane P+'!$C$2:$C$111,0)</f>
        <v>II. Zużycie materiałów i energii</v>
      </c>
      <c r="D12" s="32">
        <v>58502001</v>
      </c>
      <c r="E12" s="22" t="s">
        <v>21</v>
      </c>
      <c r="F12" s="22" t="s">
        <v>8</v>
      </c>
      <c r="G12" s="33">
        <v>1388.54</v>
      </c>
      <c r="H12" s="33">
        <v>1792.0700000000002</v>
      </c>
      <c r="I12" s="33">
        <v>915.63999999999987</v>
      </c>
      <c r="J12" s="33">
        <v>1569.0299999999997</v>
      </c>
      <c r="K12" s="33">
        <v>1028.1400000000003</v>
      </c>
      <c r="L12" s="33">
        <v>1995.7399999999998</v>
      </c>
      <c r="M12" s="33">
        <v>1561.3600000000006</v>
      </c>
      <c r="N12" s="33">
        <v>695.43000000000029</v>
      </c>
      <c r="O12" s="33">
        <v>1698.2199999999993</v>
      </c>
      <c r="P12" s="33">
        <v>2170.34</v>
      </c>
      <c r="Q12" s="33">
        <v>1855.96</v>
      </c>
      <c r="R12" s="33">
        <v>2455.9</v>
      </c>
      <c r="S12" s="33">
        <f>SUM(_24[[#This Row],[2024-01]:[2024-12]])</f>
        <v>19126.370000000003</v>
      </c>
    </row>
    <row r="13" spans="1:20" x14ac:dyDescent="0.3">
      <c r="A13" s="18" t="str">
        <f t="shared" si="2"/>
        <v>Koszty</v>
      </c>
      <c r="B13" s="57" t="s">
        <v>232</v>
      </c>
      <c r="C13" s="57" t="str">
        <f>_xlfn.XLOOKUP(E13,'25 RZiS Zmapowane P+'!$E$2:$E$111,'25 RZiS Zmapowane P+'!$C$2:$C$111,0)</f>
        <v>II. Zużycie materiałów i energii</v>
      </c>
      <c r="D13" s="32">
        <v>58502002</v>
      </c>
      <c r="E13" s="22" t="s">
        <v>22</v>
      </c>
      <c r="F13" s="22" t="s">
        <v>8</v>
      </c>
      <c r="G13" s="33">
        <v>1390.06</v>
      </c>
      <c r="H13" s="33">
        <v>7690.8100000000013</v>
      </c>
      <c r="I13" s="33">
        <v>4594.5299999999988</v>
      </c>
      <c r="J13" s="33">
        <v>3320.83</v>
      </c>
      <c r="K13" s="33">
        <v>3873.3100000000013</v>
      </c>
      <c r="L13" s="33">
        <v>3981.5400000000009</v>
      </c>
      <c r="M13" s="33">
        <v>5362.4299999999967</v>
      </c>
      <c r="N13" s="33">
        <v>1794.2100000000028</v>
      </c>
      <c r="O13" s="33">
        <v>7569.7200000000012</v>
      </c>
      <c r="P13" s="33">
        <v>5345.239999999998</v>
      </c>
      <c r="Q13" s="33">
        <v>4732.72</v>
      </c>
      <c r="R13" s="33">
        <v>8656.65</v>
      </c>
      <c r="S13" s="33">
        <f>SUM(_24[[#This Row],[2024-01]:[2024-12]])</f>
        <v>58312.05</v>
      </c>
    </row>
    <row r="14" spans="1:20" x14ac:dyDescent="0.3">
      <c r="A14" s="18" t="str">
        <f t="shared" si="2"/>
        <v>Koszty</v>
      </c>
      <c r="B14" s="57" t="s">
        <v>232</v>
      </c>
      <c r="C14" s="57" t="str">
        <f>_xlfn.XLOOKUP(E14,'25 RZiS Zmapowane P+'!$E$2:$E$111,'25 RZiS Zmapowane P+'!$C$2:$C$111,0)</f>
        <v>III. Usługi obce</v>
      </c>
      <c r="D14" s="32">
        <v>58502003</v>
      </c>
      <c r="E14" s="22" t="s">
        <v>32</v>
      </c>
      <c r="F14" s="22" t="s">
        <v>8</v>
      </c>
      <c r="G14" s="33">
        <v>1794.99</v>
      </c>
      <c r="H14" s="33">
        <v>1796.99</v>
      </c>
      <c r="I14" s="33">
        <v>1796.9900000000002</v>
      </c>
      <c r="J14" s="33">
        <v>2185.0299999999997</v>
      </c>
      <c r="K14" s="33">
        <v>1876.6800000000003</v>
      </c>
      <c r="L14" s="33">
        <v>1876.6800000000003</v>
      </c>
      <c r="M14" s="33">
        <v>1876.6800000000003</v>
      </c>
      <c r="N14" s="33">
        <v>1876.6799999999985</v>
      </c>
      <c r="O14" s="33">
        <v>1876.6800000000021</v>
      </c>
      <c r="P14" s="33">
        <v>1876.6800000000003</v>
      </c>
      <c r="Q14" s="33">
        <v>1876.68</v>
      </c>
      <c r="R14" s="33">
        <v>1876.68</v>
      </c>
      <c r="S14" s="33">
        <f>SUM(_24[[#This Row],[2024-01]:[2024-12]])</f>
        <v>22587.440000000002</v>
      </c>
    </row>
    <row r="15" spans="1:20" x14ac:dyDescent="0.3">
      <c r="A15" s="18" t="str">
        <f t="shared" si="2"/>
        <v>Koszty</v>
      </c>
      <c r="B15" s="57" t="s">
        <v>232</v>
      </c>
      <c r="C15" s="57" t="str">
        <f>_xlfn.XLOOKUP(E15,'25 RZiS Zmapowane P+'!$E$2:$E$111,'25 RZiS Zmapowane P+'!$C$2:$C$111,0)</f>
        <v>III. Usługi obce</v>
      </c>
      <c r="D15" s="32">
        <v>58504000</v>
      </c>
      <c r="E15" s="22" t="s">
        <v>33</v>
      </c>
      <c r="F15" s="22" t="s">
        <v>8</v>
      </c>
      <c r="G15" s="33">
        <v>10988.68</v>
      </c>
      <c r="H15" s="33">
        <v>-2700.1499999999996</v>
      </c>
      <c r="I15" s="33">
        <v>3337.6799999999985</v>
      </c>
      <c r="J15" s="33">
        <v>970.61000000000058</v>
      </c>
      <c r="K15" s="33">
        <v>2338.6800000000003</v>
      </c>
      <c r="L15" s="33">
        <v>3038.6800000000003</v>
      </c>
      <c r="M15" s="33">
        <v>1538.6800000000003</v>
      </c>
      <c r="N15" s="33">
        <v>1438.6800000000003</v>
      </c>
      <c r="O15" s="33">
        <v>2176.6800000000003</v>
      </c>
      <c r="P15" s="33">
        <v>1805.6699999999983</v>
      </c>
      <c r="Q15" s="33">
        <v>1438.68</v>
      </c>
      <c r="R15" s="33">
        <v>1438.68</v>
      </c>
      <c r="S15" s="33">
        <f>SUM(_24[[#This Row],[2024-01]:[2024-12]])</f>
        <v>27811.25</v>
      </c>
    </row>
    <row r="16" spans="1:20" x14ac:dyDescent="0.3">
      <c r="A16" s="18" t="str">
        <f t="shared" si="2"/>
        <v>Koszty</v>
      </c>
      <c r="B16" s="57" t="s">
        <v>232</v>
      </c>
      <c r="C16" s="57" t="str">
        <f>_xlfn.XLOOKUP(E16,'25 RZiS Zmapowane P+'!$E$2:$E$111,'25 RZiS Zmapowane P+'!$C$2:$C$111,0)</f>
        <v>III. Usługi obce</v>
      </c>
      <c r="D16" s="32">
        <v>58504001</v>
      </c>
      <c r="E16" s="22" t="s">
        <v>34</v>
      </c>
      <c r="F16" s="22" t="s">
        <v>8</v>
      </c>
      <c r="G16" s="33">
        <v>9718.15</v>
      </c>
      <c r="H16" s="33">
        <v>2836.7900000000009</v>
      </c>
      <c r="I16" s="33">
        <v>10549.92</v>
      </c>
      <c r="J16" s="33">
        <v>4896.880000000001</v>
      </c>
      <c r="K16" s="33">
        <v>19531.13</v>
      </c>
      <c r="L16" s="33">
        <v>11441.339999999997</v>
      </c>
      <c r="M16" s="33">
        <v>15716.079999999994</v>
      </c>
      <c r="N16" s="33">
        <v>14136.840000000011</v>
      </c>
      <c r="O16" s="33">
        <v>12752.580000000002</v>
      </c>
      <c r="P16" s="33">
        <v>12285.229999999996</v>
      </c>
      <c r="Q16" s="33">
        <v>12625.46</v>
      </c>
      <c r="R16" s="33">
        <v>11810.800000000001</v>
      </c>
      <c r="S16" s="33">
        <f>SUM(_24[[#This Row],[2024-01]:[2024-12]])</f>
        <v>138301.19999999998</v>
      </c>
    </row>
    <row r="17" spans="1:19" x14ac:dyDescent="0.3">
      <c r="A17" s="18" t="str">
        <f t="shared" si="2"/>
        <v>Koszty</v>
      </c>
      <c r="B17" s="57" t="s">
        <v>232</v>
      </c>
      <c r="C17" s="57" t="str">
        <f>_xlfn.XLOOKUP(E17,'25 RZiS Zmapowane P+'!$E$2:$E$111,'25 RZiS Zmapowane P+'!$C$2:$C$111,0)</f>
        <v>III. Usługi obce</v>
      </c>
      <c r="D17" s="32">
        <v>58504002</v>
      </c>
      <c r="E17" s="22" t="s">
        <v>35</v>
      </c>
      <c r="F17" s="22" t="s">
        <v>8</v>
      </c>
      <c r="G17" s="33">
        <v>7733.75</v>
      </c>
      <c r="H17" s="33">
        <v>4099.2700000000004</v>
      </c>
      <c r="I17" s="33">
        <v>8007.380000000001</v>
      </c>
      <c r="J17" s="33">
        <v>6845.0799999999981</v>
      </c>
      <c r="K17" s="33">
        <v>12116.969999999998</v>
      </c>
      <c r="L17" s="33">
        <v>8918.86</v>
      </c>
      <c r="M17" s="33">
        <v>3068.8600000000006</v>
      </c>
      <c r="N17" s="33">
        <v>8070.75</v>
      </c>
      <c r="O17" s="33">
        <v>8608.86</v>
      </c>
      <c r="P17" s="33">
        <v>8568.86</v>
      </c>
      <c r="Q17" s="33">
        <v>8368.86</v>
      </c>
      <c r="R17" s="33">
        <v>15816.970000000001</v>
      </c>
      <c r="S17" s="33">
        <f>SUM(_24[[#This Row],[2024-01]:[2024-12]])</f>
        <v>100224.47</v>
      </c>
    </row>
    <row r="18" spans="1:19" x14ac:dyDescent="0.3">
      <c r="A18" s="18" t="str">
        <f t="shared" si="2"/>
        <v>Koszty</v>
      </c>
      <c r="B18" s="57" t="s">
        <v>232</v>
      </c>
      <c r="C18" s="57" t="str">
        <f>_xlfn.XLOOKUP(E18,'25 RZiS Zmapowane P+'!$E$2:$E$111,'25 RZiS Zmapowane P+'!$C$2:$C$111,0)</f>
        <v>IV. Podatki i opłaty</v>
      </c>
      <c r="D18" s="32">
        <v>58506000</v>
      </c>
      <c r="E18" s="22" t="s">
        <v>36</v>
      </c>
      <c r="F18" s="22" t="s">
        <v>8</v>
      </c>
      <c r="G18" s="33">
        <v>383.6</v>
      </c>
      <c r="H18" s="33">
        <v>-38.600000000000023</v>
      </c>
      <c r="I18" s="33">
        <v>0</v>
      </c>
      <c r="J18" s="33">
        <v>0</v>
      </c>
      <c r="K18" s="33">
        <v>43.199999999999989</v>
      </c>
      <c r="L18" s="33">
        <v>18899.8</v>
      </c>
      <c r="M18" s="33">
        <v>32.900000000001455</v>
      </c>
      <c r="N18" s="33">
        <v>0</v>
      </c>
      <c r="O18" s="33">
        <v>9.8999999999978172</v>
      </c>
      <c r="P18" s="33">
        <v>14.600000000002183</v>
      </c>
      <c r="Q18" s="33">
        <v>37.200000000000003</v>
      </c>
      <c r="R18" s="33">
        <v>2407.6</v>
      </c>
      <c r="S18" s="33">
        <f>SUM(_24[[#This Row],[2024-01]:[2024-12]])</f>
        <v>21790.2</v>
      </c>
    </row>
    <row r="19" spans="1:19" x14ac:dyDescent="0.3">
      <c r="A19" s="18" t="str">
        <f t="shared" si="2"/>
        <v>Koszty</v>
      </c>
      <c r="B19" s="57" t="s">
        <v>232</v>
      </c>
      <c r="C19" s="57" t="str">
        <f>_xlfn.XLOOKUP(E19,'25 RZiS Zmapowane P+'!$E$2:$E$111,'25 RZiS Zmapowane P+'!$C$2:$C$111,0)</f>
        <v>III. Usługi obce</v>
      </c>
      <c r="D19" s="32">
        <v>58506001</v>
      </c>
      <c r="E19" s="22" t="s">
        <v>37</v>
      </c>
      <c r="F19" s="22" t="s">
        <v>8</v>
      </c>
      <c r="G19" s="33">
        <v>3500</v>
      </c>
      <c r="H19" s="33">
        <v>3500</v>
      </c>
      <c r="I19" s="33">
        <v>3500</v>
      </c>
      <c r="J19" s="33">
        <v>9020</v>
      </c>
      <c r="K19" s="33">
        <v>31350.550000000003</v>
      </c>
      <c r="L19" s="33">
        <v>3500</v>
      </c>
      <c r="M19" s="33">
        <v>7835</v>
      </c>
      <c r="N19" s="33">
        <v>3500</v>
      </c>
      <c r="O19" s="33">
        <v>3500</v>
      </c>
      <c r="P19" s="33">
        <v>990</v>
      </c>
      <c r="Q19" s="33">
        <v>7120</v>
      </c>
      <c r="R19" s="33">
        <v>3800</v>
      </c>
      <c r="S19" s="33">
        <f>SUM(_24[[#This Row],[2024-01]:[2024-12]])</f>
        <v>81115.55</v>
      </c>
    </row>
    <row r="20" spans="1:19" x14ac:dyDescent="0.3">
      <c r="A20" s="18" t="str">
        <f t="shared" si="2"/>
        <v>Koszty</v>
      </c>
      <c r="B20" s="57" t="s">
        <v>232</v>
      </c>
      <c r="C20" s="57" t="str">
        <f>_xlfn.XLOOKUP(E20,'25 RZiS Zmapowane P+'!$E$2:$E$111,'25 RZiS Zmapowane P+'!$C$2:$C$111,0)</f>
        <v>III. Usługi obce</v>
      </c>
      <c r="D20" s="32">
        <v>58506003</v>
      </c>
      <c r="E20" s="22" t="s">
        <v>38</v>
      </c>
      <c r="F20" s="22" t="s">
        <v>8</v>
      </c>
      <c r="G20" s="33">
        <v>0</v>
      </c>
      <c r="H20" s="33">
        <v>12130.07</v>
      </c>
      <c r="I20" s="33">
        <v>0</v>
      </c>
      <c r="J20" s="33">
        <v>0</v>
      </c>
      <c r="K20" s="33">
        <v>0</v>
      </c>
      <c r="L20" s="33">
        <v>0</v>
      </c>
      <c r="M20" s="33">
        <v>7156.07</v>
      </c>
      <c r="N20" s="33">
        <v>0</v>
      </c>
      <c r="O20" s="33">
        <v>0</v>
      </c>
      <c r="P20" s="33">
        <v>0</v>
      </c>
      <c r="Q20" s="33">
        <v>0</v>
      </c>
      <c r="R20" s="33">
        <v>9600</v>
      </c>
      <c r="S20" s="33">
        <f>SUM(_24[[#This Row],[2024-01]:[2024-12]])</f>
        <v>28886.14</v>
      </c>
    </row>
    <row r="21" spans="1:19" x14ac:dyDescent="0.3">
      <c r="A21" s="18" t="str">
        <f t="shared" si="2"/>
        <v>Koszty</v>
      </c>
      <c r="B21" s="57" t="s">
        <v>232</v>
      </c>
      <c r="C21" s="57" t="str">
        <f>_xlfn.XLOOKUP(E21,'25 RZiS Zmapowane P+'!$E$2:$E$111,'25 RZiS Zmapowane P+'!$C$2:$C$111,0)</f>
        <v>III. Usługi obce</v>
      </c>
      <c r="D21" s="32">
        <v>58506006</v>
      </c>
      <c r="E21" s="22" t="s">
        <v>40</v>
      </c>
      <c r="F21" s="22" t="s">
        <v>8</v>
      </c>
      <c r="G21" s="33">
        <v>0</v>
      </c>
      <c r="H21" s="33">
        <v>499</v>
      </c>
      <c r="I21" s="33">
        <v>0</v>
      </c>
      <c r="J21" s="33">
        <v>499</v>
      </c>
      <c r="K21" s="33">
        <v>0</v>
      </c>
      <c r="L21" s="33">
        <v>0</v>
      </c>
      <c r="M21" s="33">
        <v>499</v>
      </c>
      <c r="N21" s="33">
        <v>0</v>
      </c>
      <c r="O21" s="33">
        <v>699</v>
      </c>
      <c r="P21" s="33">
        <v>1198</v>
      </c>
      <c r="Q21" s="33">
        <v>1950.21</v>
      </c>
      <c r="R21" s="33">
        <v>0</v>
      </c>
      <c r="S21" s="33">
        <f>SUM(_24[[#This Row],[2024-01]:[2024-12]])</f>
        <v>5344.21</v>
      </c>
    </row>
    <row r="22" spans="1:19" x14ac:dyDescent="0.3">
      <c r="A22" s="18" t="str">
        <f t="shared" si="2"/>
        <v>Koszty</v>
      </c>
      <c r="B22" s="57" t="s">
        <v>232</v>
      </c>
      <c r="C22" s="57" t="str">
        <f>_xlfn.XLOOKUP(E22,'25 RZiS Zmapowane P+'!$E$2:$E$111,'25 RZiS Zmapowane P+'!$C$2:$C$111,0)</f>
        <v>III. Usługi obce</v>
      </c>
      <c r="D22" s="32">
        <v>58507000</v>
      </c>
      <c r="E22" s="22" t="s">
        <v>41</v>
      </c>
      <c r="F22" s="22" t="s">
        <v>8</v>
      </c>
      <c r="G22" s="33">
        <v>2552.31</v>
      </c>
      <c r="H22" s="33">
        <v>5925.0400000000009</v>
      </c>
      <c r="I22" s="33">
        <v>3499.3899999999994</v>
      </c>
      <c r="J22" s="33">
        <v>1247.2399999999998</v>
      </c>
      <c r="K22" s="33">
        <v>6187.8300000000017</v>
      </c>
      <c r="L22" s="33">
        <v>6269.8999999999978</v>
      </c>
      <c r="M22" s="33">
        <v>1624.4000000000015</v>
      </c>
      <c r="N22" s="33">
        <v>1695.1899999999987</v>
      </c>
      <c r="O22" s="33">
        <v>4214.3999999999978</v>
      </c>
      <c r="P22" s="33">
        <v>2981.9500000000044</v>
      </c>
      <c r="Q22" s="33">
        <v>4690.6499999999996</v>
      </c>
      <c r="R22" s="33">
        <v>1144.42</v>
      </c>
      <c r="S22" s="33">
        <f>SUM(_24[[#This Row],[2024-01]:[2024-12]])</f>
        <v>42032.72</v>
      </c>
    </row>
    <row r="23" spans="1:19" x14ac:dyDescent="0.3">
      <c r="A23" s="18" t="str">
        <f t="shared" si="2"/>
        <v>Koszty</v>
      </c>
      <c r="B23" s="57" t="s">
        <v>232</v>
      </c>
      <c r="C23" s="57" t="str">
        <f>_xlfn.XLOOKUP(E23,'25 RZiS Zmapowane P+'!$E$2:$E$111,'25 RZiS Zmapowane P+'!$C$2:$C$111,0)</f>
        <v>III. Usługi obce</v>
      </c>
      <c r="D23" s="32">
        <v>58507001</v>
      </c>
      <c r="E23" s="22" t="s">
        <v>42</v>
      </c>
      <c r="F23" s="22" t="s">
        <v>8</v>
      </c>
      <c r="G23" s="33">
        <v>150</v>
      </c>
      <c r="H23" s="33">
        <v>0</v>
      </c>
      <c r="I23" s="33">
        <v>0</v>
      </c>
      <c r="J23" s="33">
        <v>0</v>
      </c>
      <c r="K23" s="33">
        <v>416</v>
      </c>
      <c r="L23" s="33">
        <v>150</v>
      </c>
      <c r="M23" s="33">
        <v>873</v>
      </c>
      <c r="N23" s="33">
        <v>0</v>
      </c>
      <c r="O23" s="33">
        <v>468</v>
      </c>
      <c r="P23" s="33">
        <v>405</v>
      </c>
      <c r="Q23" s="33">
        <v>0</v>
      </c>
      <c r="R23" s="33">
        <v>0</v>
      </c>
      <c r="S23" s="33">
        <f>SUM(_24[[#This Row],[2024-01]:[2024-12]])</f>
        <v>2462</v>
      </c>
    </row>
    <row r="24" spans="1:19" x14ac:dyDescent="0.3">
      <c r="A24" s="18" t="str">
        <f t="shared" si="2"/>
        <v>Koszty</v>
      </c>
      <c r="B24" s="57" t="s">
        <v>232</v>
      </c>
      <c r="C24" s="57" t="str">
        <f>_xlfn.XLOOKUP(E24,'25 RZiS Zmapowane P+'!$E$2:$E$111,'25 RZiS Zmapowane P+'!$C$2:$C$111,0)</f>
        <v>VI. Ubezpieczenia społeczne i inne świadczenia, w tym:</v>
      </c>
      <c r="D24" s="32">
        <v>58507002</v>
      </c>
      <c r="E24" s="22" t="s">
        <v>76</v>
      </c>
      <c r="F24" s="22" t="s">
        <v>8</v>
      </c>
      <c r="G24" s="33">
        <v>1463.48</v>
      </c>
      <c r="H24" s="33">
        <v>1648.1799999999998</v>
      </c>
      <c r="I24" s="33">
        <v>3279.24</v>
      </c>
      <c r="J24" s="33">
        <v>18774.160000000003</v>
      </c>
      <c r="K24" s="33">
        <v>34062.759999999995</v>
      </c>
      <c r="L24" s="33">
        <v>30369.560000000005</v>
      </c>
      <c r="M24" s="33">
        <v>348.17999999999302</v>
      </c>
      <c r="N24" s="33">
        <v>900</v>
      </c>
      <c r="O24" s="33">
        <v>1890</v>
      </c>
      <c r="P24" s="33">
        <v>32388.479999999996</v>
      </c>
      <c r="Q24" s="33">
        <v>19272.740000000002</v>
      </c>
      <c r="R24" s="33">
        <v>12218.18</v>
      </c>
      <c r="S24" s="33">
        <f>SUM(_24[[#This Row],[2024-01]:[2024-12]])</f>
        <v>156614.96</v>
      </c>
    </row>
    <row r="25" spans="1:19" x14ac:dyDescent="0.3">
      <c r="A25" s="18" t="str">
        <f t="shared" si="2"/>
        <v>Koszty</v>
      </c>
      <c r="B25" s="57" t="s">
        <v>232</v>
      </c>
      <c r="C25" s="57" t="str">
        <f>_xlfn.XLOOKUP(E25,'25 RZiS Zmapowane P+'!$E$2:$E$111,'25 RZiS Zmapowane P+'!$C$2:$C$111,0)</f>
        <v>VI. Ubezpieczenia społeczne i inne świadczenia, w tym:</v>
      </c>
      <c r="D25" s="32">
        <v>58507006</v>
      </c>
      <c r="E25" s="22" t="s">
        <v>77</v>
      </c>
      <c r="F25" s="22" t="s">
        <v>8</v>
      </c>
      <c r="G25" s="33">
        <v>0</v>
      </c>
      <c r="H25" s="33">
        <v>1525.93</v>
      </c>
      <c r="I25" s="33">
        <v>2345.8199999999997</v>
      </c>
      <c r="J25" s="33">
        <v>1416.13</v>
      </c>
      <c r="K25" s="33">
        <v>1844.4399999999996</v>
      </c>
      <c r="L25" s="33">
        <v>1600.92</v>
      </c>
      <c r="M25" s="33">
        <v>0</v>
      </c>
      <c r="N25" s="33">
        <v>0</v>
      </c>
      <c r="O25" s="33">
        <v>1793.9600000000009</v>
      </c>
      <c r="P25" s="33">
        <v>3026.59</v>
      </c>
      <c r="Q25" s="33">
        <v>2000</v>
      </c>
      <c r="R25" s="33">
        <v>4415.29</v>
      </c>
      <c r="S25" s="33">
        <f>SUM(_24[[#This Row],[2024-01]:[2024-12]])</f>
        <v>19969.080000000002</v>
      </c>
    </row>
    <row r="26" spans="1:19" x14ac:dyDescent="0.3">
      <c r="A26" s="18" t="str">
        <f t="shared" si="2"/>
        <v>Koszty</v>
      </c>
      <c r="B26" s="57" t="s">
        <v>232</v>
      </c>
      <c r="C26" s="57" t="str">
        <f>_xlfn.XLOOKUP(E26,'25 RZiS Zmapowane P+'!$E$2:$E$111,'25 RZiS Zmapowane P+'!$C$2:$C$111,0)</f>
        <v>II. Zużycie materiałów i energii</v>
      </c>
      <c r="D26" s="32">
        <v>58508000</v>
      </c>
      <c r="E26" s="22" t="s">
        <v>23</v>
      </c>
      <c r="F26" s="22" t="s">
        <v>8</v>
      </c>
      <c r="G26" s="33">
        <v>12615.83</v>
      </c>
      <c r="H26" s="33">
        <v>10215.949999999999</v>
      </c>
      <c r="I26" s="33">
        <v>7618.9200000000019</v>
      </c>
      <c r="J26" s="33">
        <v>13377.2</v>
      </c>
      <c r="K26" s="33">
        <v>6591.2999999999956</v>
      </c>
      <c r="L26" s="33">
        <v>6656.0900000000038</v>
      </c>
      <c r="M26" s="33">
        <v>35893.700000000004</v>
      </c>
      <c r="N26" s="33">
        <v>4503.7999999999884</v>
      </c>
      <c r="O26" s="33">
        <v>5080.5300000000134</v>
      </c>
      <c r="P26" s="33">
        <v>10902.319999999992</v>
      </c>
      <c r="Q26" s="33">
        <v>7506.8999999999978</v>
      </c>
      <c r="R26" s="33">
        <v>39400.360000000008</v>
      </c>
      <c r="S26" s="33">
        <f>SUM(_24[[#This Row],[2024-01]:[2024-12]])</f>
        <v>160362.9</v>
      </c>
    </row>
    <row r="27" spans="1:19" x14ac:dyDescent="0.3">
      <c r="A27" s="18" t="str">
        <f t="shared" si="2"/>
        <v>Koszty</v>
      </c>
      <c r="B27" s="57" t="s">
        <v>232</v>
      </c>
      <c r="C27" s="57" t="str">
        <f>_xlfn.XLOOKUP(E27,'25 RZiS Zmapowane P+'!$E$2:$E$111,'25 RZiS Zmapowane P+'!$C$2:$C$111,0)</f>
        <v>III. Usługi obce</v>
      </c>
      <c r="D27" s="32">
        <v>58521000</v>
      </c>
      <c r="E27" s="22" t="s">
        <v>43</v>
      </c>
      <c r="F27" s="22" t="s">
        <v>8</v>
      </c>
      <c r="G27" s="33">
        <v>2998.38</v>
      </c>
      <c r="H27" s="33">
        <v>2492.2600000000002</v>
      </c>
      <c r="I27" s="33">
        <v>2637.5</v>
      </c>
      <c r="J27" s="33">
        <v>3288.05</v>
      </c>
      <c r="K27" s="33">
        <v>2549.7199999999993</v>
      </c>
      <c r="L27" s="33">
        <v>3498.4399999999987</v>
      </c>
      <c r="M27" s="33">
        <v>3467.0699999999997</v>
      </c>
      <c r="N27" s="33">
        <v>2767.7400000000016</v>
      </c>
      <c r="O27" s="33">
        <v>6409.66</v>
      </c>
      <c r="P27" s="33">
        <v>1778.3300000000017</v>
      </c>
      <c r="Q27" s="33">
        <v>2934.2200000000003</v>
      </c>
      <c r="R27" s="33">
        <v>3047.5</v>
      </c>
      <c r="S27" s="33">
        <f>SUM(_24[[#This Row],[2024-01]:[2024-12]])</f>
        <v>37868.870000000003</v>
      </c>
    </row>
    <row r="28" spans="1:19" x14ac:dyDescent="0.3">
      <c r="A28" s="18" t="str">
        <f t="shared" si="2"/>
        <v>Koszty</v>
      </c>
      <c r="B28" s="57" t="s">
        <v>232</v>
      </c>
      <c r="C28" s="57" t="str">
        <f>_xlfn.XLOOKUP(E28,'25 RZiS Zmapowane P+'!$E$2:$E$111,'25 RZiS Zmapowane P+'!$C$2:$C$111,0)</f>
        <v>III. Usługi obce</v>
      </c>
      <c r="D28" s="32">
        <v>58522000</v>
      </c>
      <c r="E28" s="22" t="s">
        <v>44</v>
      </c>
      <c r="F28" s="22" t="s">
        <v>8</v>
      </c>
      <c r="G28" s="33">
        <v>6518.59</v>
      </c>
      <c r="H28" s="33">
        <v>4120.0599999999995</v>
      </c>
      <c r="I28" s="33">
        <v>2967.4799999999996</v>
      </c>
      <c r="J28" s="33">
        <v>7447.5599999999995</v>
      </c>
      <c r="K28" s="33">
        <v>4682.5800000000017</v>
      </c>
      <c r="L28" s="33">
        <v>2182.9599999999991</v>
      </c>
      <c r="M28" s="33">
        <v>6127.9300000000039</v>
      </c>
      <c r="N28" s="33">
        <v>4185.679999999993</v>
      </c>
      <c r="O28" s="33">
        <v>3016.9900000000052</v>
      </c>
      <c r="P28" s="33">
        <v>2869.2299999999959</v>
      </c>
      <c r="Q28" s="33">
        <v>2796.71</v>
      </c>
      <c r="R28" s="33">
        <v>5446.9699999999993</v>
      </c>
      <c r="S28" s="33">
        <f>SUM(_24[[#This Row],[2024-01]:[2024-12]])</f>
        <v>52362.74</v>
      </c>
    </row>
    <row r="29" spans="1:19" x14ac:dyDescent="0.3">
      <c r="A29" s="18" t="str">
        <f t="shared" si="2"/>
        <v>Koszty</v>
      </c>
      <c r="B29" s="57" t="s">
        <v>232</v>
      </c>
      <c r="C29" s="57" t="str">
        <f>_xlfn.XLOOKUP(E29,'25 RZiS Zmapowane P+'!$E$2:$E$111,'25 RZiS Zmapowane P+'!$C$2:$C$111,0)</f>
        <v>III. Usługi obce</v>
      </c>
      <c r="D29" s="32">
        <v>58525000</v>
      </c>
      <c r="E29" s="22" t="s">
        <v>45</v>
      </c>
      <c r="F29" s="22" t="s">
        <v>8</v>
      </c>
      <c r="G29" s="33">
        <v>3900</v>
      </c>
      <c r="H29" s="33">
        <v>480</v>
      </c>
      <c r="I29" s="33">
        <v>2190</v>
      </c>
      <c r="J29" s="33">
        <v>2190</v>
      </c>
      <c r="K29" s="33">
        <v>2680</v>
      </c>
      <c r="L29" s="33">
        <v>3040</v>
      </c>
      <c r="M29" s="33">
        <v>2430</v>
      </c>
      <c r="N29" s="33">
        <v>2190</v>
      </c>
      <c r="O29" s="33">
        <v>2190</v>
      </c>
      <c r="P29" s="33">
        <v>1228</v>
      </c>
      <c r="Q29" s="33">
        <v>5128</v>
      </c>
      <c r="R29" s="33">
        <v>2430</v>
      </c>
      <c r="S29" s="33">
        <f>SUM(_24[[#This Row],[2024-01]:[2024-12]])</f>
        <v>30076</v>
      </c>
    </row>
    <row r="30" spans="1:19" x14ac:dyDescent="0.3">
      <c r="A30" s="18" t="str">
        <f t="shared" si="2"/>
        <v>Koszty</v>
      </c>
      <c r="B30" s="57" t="s">
        <v>232</v>
      </c>
      <c r="C30" s="57" t="str">
        <f>_xlfn.XLOOKUP(E30,'25 RZiS Zmapowane P+'!$E$2:$E$111,'25 RZiS Zmapowane P+'!$C$2:$C$111,0)</f>
        <v>III. Usługi obce</v>
      </c>
      <c r="D30" s="32">
        <v>58527000</v>
      </c>
      <c r="E30" s="22" t="s">
        <v>46</v>
      </c>
      <c r="F30" s="22" t="s">
        <v>8</v>
      </c>
      <c r="G30" s="33">
        <v>4271.3500000000004</v>
      </c>
      <c r="H30" s="33">
        <v>3903.0499999999993</v>
      </c>
      <c r="I30" s="33">
        <v>3989.380000000001</v>
      </c>
      <c r="J30" s="33">
        <v>4747.8500000000004</v>
      </c>
      <c r="K30" s="33">
        <v>1745.2599999999984</v>
      </c>
      <c r="L30" s="33">
        <v>3972.3300000000017</v>
      </c>
      <c r="M30" s="33">
        <v>5320.5999999999985</v>
      </c>
      <c r="N30" s="33">
        <v>2568.2900000000009</v>
      </c>
      <c r="O30" s="33">
        <v>2738.1399999999994</v>
      </c>
      <c r="P30" s="33">
        <v>3492.3499999999985</v>
      </c>
      <c r="Q30" s="33">
        <v>3455.3500000000004</v>
      </c>
      <c r="R30" s="33">
        <v>6447.61</v>
      </c>
      <c r="S30" s="33">
        <f>SUM(_24[[#This Row],[2024-01]:[2024-12]])</f>
        <v>46651.56</v>
      </c>
    </row>
    <row r="31" spans="1:19" x14ac:dyDescent="0.3">
      <c r="A31" s="18" t="str">
        <f t="shared" si="2"/>
        <v>Koszty</v>
      </c>
      <c r="B31" s="57" t="s">
        <v>232</v>
      </c>
      <c r="C31" s="57" t="str">
        <f>_xlfn.XLOOKUP(E31,'25 RZiS Zmapowane P+'!$E$2:$E$111,'25 RZiS Zmapowane P+'!$C$2:$C$111,0)</f>
        <v>III. Usługi obce</v>
      </c>
      <c r="D31" s="32">
        <v>58530200</v>
      </c>
      <c r="E31" s="22" t="s">
        <v>47</v>
      </c>
      <c r="F31" s="22" t="s">
        <v>8</v>
      </c>
      <c r="G31" s="33">
        <v>6323.42</v>
      </c>
      <c r="H31" s="33">
        <v>6281.1</v>
      </c>
      <c r="I31" s="33">
        <v>10272.32</v>
      </c>
      <c r="J31" s="33">
        <v>13890.039999999997</v>
      </c>
      <c r="K31" s="33">
        <v>6396.1000000000058</v>
      </c>
      <c r="L31" s="33">
        <v>6971</v>
      </c>
      <c r="M31" s="33">
        <v>7766.1899999999951</v>
      </c>
      <c r="N31" s="33">
        <v>6281.0999999999985</v>
      </c>
      <c r="O31" s="33">
        <v>10369.099999999999</v>
      </c>
      <c r="P31" s="33">
        <v>6871.1000000000058</v>
      </c>
      <c r="Q31" s="33">
        <v>8728.08</v>
      </c>
      <c r="R31" s="33">
        <v>6881.1</v>
      </c>
      <c r="S31" s="33">
        <f>SUM(_24[[#This Row],[2024-01]:[2024-12]])</f>
        <v>97030.650000000009</v>
      </c>
    </row>
    <row r="32" spans="1:19" x14ac:dyDescent="0.3">
      <c r="A32" s="18" t="str">
        <f t="shared" si="2"/>
        <v>Koszty</v>
      </c>
      <c r="B32" s="57" t="s">
        <v>232</v>
      </c>
      <c r="C32" s="57" t="str">
        <f>_xlfn.XLOOKUP(E32,'25 RZiS Zmapowane P+'!$E$2:$E$111,'25 RZiS Zmapowane P+'!$C$2:$C$111,0)</f>
        <v>III. Usługi obce</v>
      </c>
      <c r="D32" s="32">
        <v>58530500</v>
      </c>
      <c r="E32" s="22" t="s">
        <v>48</v>
      </c>
      <c r="F32" s="22" t="s">
        <v>8</v>
      </c>
      <c r="G32" s="33">
        <v>3650</v>
      </c>
      <c r="H32" s="33">
        <v>8967</v>
      </c>
      <c r="I32" s="33">
        <v>7600</v>
      </c>
      <c r="J32" s="33">
        <v>7150.5600000000013</v>
      </c>
      <c r="K32" s="33">
        <v>6559.9999999999964</v>
      </c>
      <c r="L32" s="33">
        <v>7890</v>
      </c>
      <c r="M32" s="33">
        <v>6680</v>
      </c>
      <c r="N32" s="33">
        <v>6070</v>
      </c>
      <c r="O32" s="33">
        <v>7744.7400000000052</v>
      </c>
      <c r="P32" s="33">
        <v>8460</v>
      </c>
      <c r="Q32" s="33">
        <v>5760</v>
      </c>
      <c r="R32" s="33">
        <v>5400</v>
      </c>
      <c r="S32" s="33">
        <f>SUM(_24[[#This Row],[2024-01]:[2024-12]])</f>
        <v>81932.3</v>
      </c>
    </row>
    <row r="33" spans="1:19" x14ac:dyDescent="0.3">
      <c r="A33" s="18" t="str">
        <f t="shared" si="2"/>
        <v>Koszty</v>
      </c>
      <c r="B33" s="57" t="s">
        <v>232</v>
      </c>
      <c r="C33" s="57" t="str">
        <f>_xlfn.XLOOKUP(E33,'25 RZiS Zmapowane P+'!$E$2:$E$111,'25 RZiS Zmapowane P+'!$C$2:$C$111,0)</f>
        <v>III. Usługi obce</v>
      </c>
      <c r="D33" s="32">
        <v>58530700</v>
      </c>
      <c r="E33" s="22" t="s">
        <v>49</v>
      </c>
      <c r="F33" s="22" t="s">
        <v>8</v>
      </c>
      <c r="G33" s="33">
        <v>355.19</v>
      </c>
      <c r="H33" s="33">
        <v>731.8599999999999</v>
      </c>
      <c r="I33" s="33">
        <v>0</v>
      </c>
      <c r="J33" s="33">
        <v>2059.1000000000004</v>
      </c>
      <c r="K33" s="33">
        <v>0</v>
      </c>
      <c r="L33" s="33">
        <v>0</v>
      </c>
      <c r="M33" s="33">
        <v>0</v>
      </c>
      <c r="N33" s="33">
        <v>112.44999999999982</v>
      </c>
      <c r="O33" s="33">
        <v>712.01000000000022</v>
      </c>
      <c r="P33" s="33">
        <v>1174.0300000000002</v>
      </c>
      <c r="Q33" s="33">
        <v>4492.6400000000003</v>
      </c>
      <c r="R33" s="33">
        <v>0</v>
      </c>
      <c r="S33" s="33">
        <f>SUM(_24[[#This Row],[2024-01]:[2024-12]])</f>
        <v>9637.2800000000025</v>
      </c>
    </row>
    <row r="34" spans="1:19" x14ac:dyDescent="0.3">
      <c r="A34" s="18" t="str">
        <f t="shared" si="2"/>
        <v>Koszty</v>
      </c>
      <c r="B34" s="57" t="s">
        <v>232</v>
      </c>
      <c r="C34" s="57" t="str">
        <f>_xlfn.XLOOKUP(E34,'25 RZiS Zmapowane P+'!$E$2:$E$111,'25 RZiS Zmapowane P+'!$C$2:$C$111,0)</f>
        <v>VII. Pozostałe koszty rodzajowe</v>
      </c>
      <c r="D34" s="32">
        <v>58540000</v>
      </c>
      <c r="E34" s="22" t="s">
        <v>84</v>
      </c>
      <c r="F34" s="22" t="s">
        <v>8</v>
      </c>
      <c r="G34" s="33">
        <v>0</v>
      </c>
      <c r="H34" s="33">
        <v>1344.89</v>
      </c>
      <c r="I34" s="33">
        <v>138.88999999999987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138.88999999999999</v>
      </c>
      <c r="S34" s="33">
        <f>SUM(_24[[#This Row],[2024-01]:[2024-12]])</f>
        <v>1622.67</v>
      </c>
    </row>
    <row r="35" spans="1:19" x14ac:dyDescent="0.3">
      <c r="A35" s="18" t="str">
        <f t="shared" si="2"/>
        <v>Koszty</v>
      </c>
      <c r="B35" s="57" t="s">
        <v>232</v>
      </c>
      <c r="C35" s="57" t="str">
        <f>_xlfn.XLOOKUP(E35,'25 RZiS Zmapowane P+'!$E$2:$E$111,'25 RZiS Zmapowane P+'!$C$2:$C$111,0)</f>
        <v>VII. Pozostałe koszty rodzajowe</v>
      </c>
      <c r="D35" s="32">
        <v>58540100</v>
      </c>
      <c r="E35" s="22" t="s">
        <v>85</v>
      </c>
      <c r="F35" s="22" t="s">
        <v>8</v>
      </c>
      <c r="G35" s="33">
        <v>4111.3999999999996</v>
      </c>
      <c r="H35" s="33">
        <v>2670.2800000000007</v>
      </c>
      <c r="I35" s="33">
        <v>22176.52</v>
      </c>
      <c r="J35" s="33">
        <v>15682.98</v>
      </c>
      <c r="K35" s="33">
        <v>13415.050000000003</v>
      </c>
      <c r="L35" s="33">
        <v>8716.0299999999916</v>
      </c>
      <c r="M35" s="33">
        <v>6790.0299999999988</v>
      </c>
      <c r="N35" s="33">
        <v>25897.200000000012</v>
      </c>
      <c r="O35" s="33">
        <v>6860.7299999999959</v>
      </c>
      <c r="P35" s="33">
        <v>30789.489999999991</v>
      </c>
      <c r="Q35" s="33">
        <v>18617.479999999992</v>
      </c>
      <c r="R35" s="33">
        <v>3976.5299999999993</v>
      </c>
      <c r="S35" s="33">
        <f>SUM(_24[[#This Row],[2024-01]:[2024-12]])</f>
        <v>159703.71999999997</v>
      </c>
    </row>
    <row r="36" spans="1:19" x14ac:dyDescent="0.3">
      <c r="A36" s="18" t="str">
        <f t="shared" si="2"/>
        <v>Koszty</v>
      </c>
      <c r="B36" s="57" t="s">
        <v>232</v>
      </c>
      <c r="C36" s="57" t="str">
        <f>_xlfn.XLOOKUP(E36,'25 RZiS Zmapowane P+'!$E$2:$E$111,'25 RZiS Zmapowane P+'!$C$2:$C$111,0)</f>
        <v>VII. Pozostałe koszty rodzajowe</v>
      </c>
      <c r="D36" s="32">
        <v>58540111</v>
      </c>
      <c r="E36" s="22" t="s">
        <v>86</v>
      </c>
      <c r="F36" s="22" t="s">
        <v>8</v>
      </c>
      <c r="G36" s="33">
        <v>2967.08</v>
      </c>
      <c r="H36" s="33">
        <v>30.130000000000109</v>
      </c>
      <c r="I36" s="33">
        <v>5434.71</v>
      </c>
      <c r="J36" s="33">
        <v>1261.2000000000007</v>
      </c>
      <c r="K36" s="33">
        <v>947.42000000000007</v>
      </c>
      <c r="L36" s="33">
        <v>2294.2199999999993</v>
      </c>
      <c r="M36" s="33">
        <v>14880.85</v>
      </c>
      <c r="N36" s="33">
        <v>6367.7900000000009</v>
      </c>
      <c r="O36" s="33">
        <v>38.669999999998254</v>
      </c>
      <c r="P36" s="33">
        <v>27393.620000000003</v>
      </c>
      <c r="Q36" s="33">
        <v>12478.199999999999</v>
      </c>
      <c r="R36" s="33">
        <v>7189.82</v>
      </c>
      <c r="S36" s="33">
        <f>SUM(_24[[#This Row],[2024-01]:[2024-12]])</f>
        <v>81283.709999999992</v>
      </c>
    </row>
    <row r="37" spans="1:19" x14ac:dyDescent="0.3">
      <c r="A37" s="18" t="str">
        <f t="shared" si="2"/>
        <v>Koszty</v>
      </c>
      <c r="B37" s="57" t="s">
        <v>232</v>
      </c>
      <c r="C37" s="57" t="str">
        <f>_xlfn.XLOOKUP(E37,'25 RZiS Zmapowane P+'!$E$2:$E$111,'25 RZiS Zmapowane P+'!$C$2:$C$111,0)</f>
        <v>VII. Pozostałe koszty rodzajowe</v>
      </c>
      <c r="D37" s="32">
        <v>58540200</v>
      </c>
      <c r="E37" s="22" t="s">
        <v>87</v>
      </c>
      <c r="F37" s="22" t="s">
        <v>8</v>
      </c>
      <c r="G37" s="33">
        <v>657.38</v>
      </c>
      <c r="H37" s="33">
        <v>359.24</v>
      </c>
      <c r="I37" s="33">
        <v>-234.37</v>
      </c>
      <c r="J37" s="33">
        <v>0</v>
      </c>
      <c r="K37" s="33">
        <v>1543.62</v>
      </c>
      <c r="L37" s="33">
        <v>0</v>
      </c>
      <c r="M37" s="33">
        <v>1176.3800000000001</v>
      </c>
      <c r="N37" s="33">
        <v>787.38000000000011</v>
      </c>
      <c r="O37" s="33">
        <v>1773.9700000000003</v>
      </c>
      <c r="P37" s="33">
        <v>894.57999999999993</v>
      </c>
      <c r="Q37" s="33">
        <v>0</v>
      </c>
      <c r="R37" s="33">
        <v>688.58</v>
      </c>
      <c r="S37" s="33">
        <f>SUM(_24[[#This Row],[2024-01]:[2024-12]])</f>
        <v>7646.76</v>
      </c>
    </row>
    <row r="38" spans="1:19" x14ac:dyDescent="0.3">
      <c r="A38" s="18" t="str">
        <f t="shared" si="2"/>
        <v>Koszty</v>
      </c>
      <c r="B38" s="57" t="s">
        <v>232</v>
      </c>
      <c r="C38" s="57" t="str">
        <f>_xlfn.XLOOKUP(E38,'25 RZiS Zmapowane P+'!$E$2:$E$111,'25 RZiS Zmapowane P+'!$C$2:$C$111,0)</f>
        <v>VII. Pozostałe koszty rodzajowe</v>
      </c>
      <c r="D38" s="32">
        <v>58540201</v>
      </c>
      <c r="E38" s="22" t="s">
        <v>88</v>
      </c>
      <c r="F38" s="22" t="s">
        <v>8</v>
      </c>
      <c r="G38" s="33">
        <v>0</v>
      </c>
      <c r="H38" s="33">
        <v>1614.61</v>
      </c>
      <c r="I38" s="33">
        <v>1671.6000000000001</v>
      </c>
      <c r="J38" s="33">
        <v>0</v>
      </c>
      <c r="K38" s="33">
        <v>2811.3100000000004</v>
      </c>
      <c r="L38" s="33">
        <v>1424.6399999999994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f>SUM(_24[[#This Row],[2024-01]:[2024-12]])</f>
        <v>7522.16</v>
      </c>
    </row>
    <row r="39" spans="1:19" x14ac:dyDescent="0.3">
      <c r="A39" s="18" t="str">
        <f t="shared" si="2"/>
        <v>Koszty</v>
      </c>
      <c r="B39" s="57" t="s">
        <v>232</v>
      </c>
      <c r="C39" s="57" t="str">
        <f>_xlfn.XLOOKUP(E39,'25 RZiS Zmapowane P+'!$E$2:$E$111,'25 RZiS Zmapowane P+'!$C$2:$C$111,0)</f>
        <v>VII. Pozostałe koszty rodzajowe</v>
      </c>
      <c r="D39" s="32">
        <v>58540211</v>
      </c>
      <c r="E39" s="22" t="s">
        <v>89</v>
      </c>
      <c r="F39" s="22" t="s">
        <v>8</v>
      </c>
      <c r="G39" s="33">
        <v>2379.0700000000002</v>
      </c>
      <c r="H39" s="33">
        <v>185.38999999999987</v>
      </c>
      <c r="I39" s="33">
        <v>4230.45</v>
      </c>
      <c r="J39" s="33">
        <v>2582.6499999999996</v>
      </c>
      <c r="K39" s="33">
        <v>1689.33</v>
      </c>
      <c r="L39" s="33">
        <v>2413.4400000000005</v>
      </c>
      <c r="M39" s="33">
        <v>5392.0599999999995</v>
      </c>
      <c r="N39" s="33">
        <v>3245.3100000000013</v>
      </c>
      <c r="O39" s="33">
        <v>2515.84</v>
      </c>
      <c r="P39" s="33">
        <v>-5796.7800000000025</v>
      </c>
      <c r="Q39" s="33">
        <v>671.67</v>
      </c>
      <c r="R39" s="33">
        <v>906.94999999999993</v>
      </c>
      <c r="S39" s="33">
        <f>SUM(_24[[#This Row],[2024-01]:[2024-12]])</f>
        <v>20415.379999999997</v>
      </c>
    </row>
    <row r="40" spans="1:19" x14ac:dyDescent="0.3">
      <c r="A40" s="18" t="str">
        <f t="shared" si="2"/>
        <v>Koszty</v>
      </c>
      <c r="B40" s="57" t="s">
        <v>232</v>
      </c>
      <c r="C40" s="57" t="str">
        <f>_xlfn.XLOOKUP(E40,'25 RZiS Zmapowane P+'!$E$2:$E$111,'25 RZiS Zmapowane P+'!$C$2:$C$111,0)</f>
        <v>VII. Pozostałe koszty rodzajowe</v>
      </c>
      <c r="D40" s="32">
        <v>58540300</v>
      </c>
      <c r="E40" s="22" t="s">
        <v>90</v>
      </c>
      <c r="F40" s="22" t="s">
        <v>8</v>
      </c>
      <c r="G40" s="33">
        <v>6217.56</v>
      </c>
      <c r="H40" s="33">
        <v>2349.9999999999991</v>
      </c>
      <c r="I40" s="33">
        <v>8383.67</v>
      </c>
      <c r="J40" s="33">
        <v>9130.7099999999991</v>
      </c>
      <c r="K40" s="33">
        <v>7135.4900000000016</v>
      </c>
      <c r="L40" s="33">
        <v>14278.120000000003</v>
      </c>
      <c r="M40" s="33">
        <v>10247.43</v>
      </c>
      <c r="N40" s="33">
        <v>25212.959999999999</v>
      </c>
      <c r="O40" s="33">
        <v>6966.25</v>
      </c>
      <c r="P40" s="33">
        <v>31063.959999999992</v>
      </c>
      <c r="Q40" s="33">
        <v>12583.83</v>
      </c>
      <c r="R40" s="33">
        <v>38214.44</v>
      </c>
      <c r="S40" s="33">
        <f>SUM(_24[[#This Row],[2024-01]:[2024-12]])</f>
        <v>171784.41999999998</v>
      </c>
    </row>
    <row r="41" spans="1:19" x14ac:dyDescent="0.3">
      <c r="A41" s="18" t="str">
        <f t="shared" si="2"/>
        <v>Koszty</v>
      </c>
      <c r="B41" s="57" t="s">
        <v>232</v>
      </c>
      <c r="C41" s="57" t="str">
        <f>_xlfn.XLOOKUP(E41,'25 RZiS Zmapowane P+'!$E$2:$E$111,'25 RZiS Zmapowane P+'!$C$2:$C$111,0)</f>
        <v>VII. Pozostałe koszty rodzajowe</v>
      </c>
      <c r="D41" s="32">
        <v>58540800</v>
      </c>
      <c r="E41" s="22" t="s">
        <v>91</v>
      </c>
      <c r="F41" s="22" t="s">
        <v>8</v>
      </c>
      <c r="G41" s="33">
        <v>0</v>
      </c>
      <c r="H41" s="33">
        <v>40.75</v>
      </c>
      <c r="I41" s="33">
        <v>30.900000000000006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f>SUM(_24[[#This Row],[2024-01]:[2024-12]])</f>
        <v>71.650000000000006</v>
      </c>
    </row>
    <row r="42" spans="1:19" x14ac:dyDescent="0.3">
      <c r="A42" s="18" t="str">
        <f t="shared" si="2"/>
        <v>Koszty</v>
      </c>
      <c r="B42" s="57" t="s">
        <v>232</v>
      </c>
      <c r="C42" s="57" t="str">
        <f>_xlfn.XLOOKUP(E42,'25 RZiS Zmapowane P+'!$E$2:$E$111,'25 RZiS Zmapowane P+'!$C$2:$C$111,0)</f>
        <v>III. Usługi obce</v>
      </c>
      <c r="D42" s="32">
        <v>58550000</v>
      </c>
      <c r="E42" s="22" t="s">
        <v>50</v>
      </c>
      <c r="F42" s="22" t="s">
        <v>8</v>
      </c>
      <c r="G42" s="33">
        <v>1407.14</v>
      </c>
      <c r="H42" s="33">
        <v>1307.1400000000001</v>
      </c>
      <c r="I42" s="33">
        <v>1407.1399999999999</v>
      </c>
      <c r="J42" s="33">
        <v>211.77999999999975</v>
      </c>
      <c r="K42" s="33">
        <v>1397.5700000000006</v>
      </c>
      <c r="L42" s="33">
        <v>1597.5699999999997</v>
      </c>
      <c r="M42" s="33">
        <v>1597.5699999999997</v>
      </c>
      <c r="N42" s="33">
        <v>1397.5699999999997</v>
      </c>
      <c r="O42" s="33">
        <v>1497.5699999999997</v>
      </c>
      <c r="P42" s="33">
        <v>1497.5700000000015</v>
      </c>
      <c r="Q42" s="33">
        <v>1587.57</v>
      </c>
      <c r="R42" s="33">
        <v>1597.57</v>
      </c>
      <c r="S42" s="33">
        <f>SUM(_24[[#This Row],[2024-01]:[2024-12]])</f>
        <v>16503.760000000002</v>
      </c>
    </row>
    <row r="43" spans="1:19" x14ac:dyDescent="0.3">
      <c r="A43" s="18" t="str">
        <f t="shared" si="2"/>
        <v>Koszty</v>
      </c>
      <c r="B43" s="57" t="s">
        <v>232</v>
      </c>
      <c r="C43" s="57" t="str">
        <f>_xlfn.XLOOKUP(E43,'25 RZiS Zmapowane P+'!$E$2:$E$111,'25 RZiS Zmapowane P+'!$C$2:$C$111,0)</f>
        <v>III. Usługi obce</v>
      </c>
      <c r="D43" s="32">
        <v>58552001</v>
      </c>
      <c r="E43" s="22" t="s">
        <v>51</v>
      </c>
      <c r="F43" s="22" t="s">
        <v>8</v>
      </c>
      <c r="G43" s="33">
        <v>20732.66</v>
      </c>
      <c r="H43" s="33">
        <v>11131.310000000001</v>
      </c>
      <c r="I43" s="33">
        <v>9171.7999999999956</v>
      </c>
      <c r="J43" s="33">
        <v>25281.090000000004</v>
      </c>
      <c r="K43" s="33">
        <v>11193.89</v>
      </c>
      <c r="L43" s="33">
        <v>13114.080000000002</v>
      </c>
      <c r="M43" s="33">
        <v>31696.839999999997</v>
      </c>
      <c r="N43" s="33">
        <v>27218.569999999992</v>
      </c>
      <c r="O43" s="33">
        <v>-16176.589999999997</v>
      </c>
      <c r="P43" s="33">
        <v>8522.4599999999919</v>
      </c>
      <c r="Q43" s="33">
        <v>18877.61</v>
      </c>
      <c r="R43" s="33">
        <v>18877.730000000003</v>
      </c>
      <c r="S43" s="33">
        <f>SUM(_24[[#This Row],[2024-01]:[2024-12]])</f>
        <v>179641.44999999998</v>
      </c>
    </row>
    <row r="44" spans="1:19" x14ac:dyDescent="0.3">
      <c r="A44" s="18" t="str">
        <f t="shared" si="2"/>
        <v>Koszty</v>
      </c>
      <c r="B44" s="57" t="s">
        <v>232</v>
      </c>
      <c r="C44" s="57" t="str">
        <f>_xlfn.XLOOKUP(E44,'25 RZiS Zmapowane P+'!$E$2:$E$111,'25 RZiS Zmapowane P+'!$C$2:$C$111,0)</f>
        <v>II. Zużycie materiałów i energii</v>
      </c>
      <c r="D44" s="32">
        <v>58552002</v>
      </c>
      <c r="E44" s="22" t="s">
        <v>24</v>
      </c>
      <c r="F44" s="22" t="s">
        <v>8</v>
      </c>
      <c r="G44" s="33">
        <v>15868.92</v>
      </c>
      <c r="H44" s="33">
        <v>-1291.6399999999994</v>
      </c>
      <c r="I44" s="33">
        <v>15951.24</v>
      </c>
      <c r="J44" s="33">
        <v>14664.52</v>
      </c>
      <c r="K44" s="33">
        <v>15738.599999999999</v>
      </c>
      <c r="L44" s="33">
        <v>19757.259999999995</v>
      </c>
      <c r="M44" s="33">
        <v>4967.1200000000099</v>
      </c>
      <c r="N44" s="33">
        <v>32731.839999999997</v>
      </c>
      <c r="O44" s="33">
        <v>-32507.47</v>
      </c>
      <c r="P44" s="33">
        <v>24379.910000000003</v>
      </c>
      <c r="Q44" s="33">
        <v>11202.79</v>
      </c>
      <c r="R44" s="33">
        <v>25899.03</v>
      </c>
      <c r="S44" s="33">
        <f>SUM(_24[[#This Row],[2024-01]:[2024-12]])</f>
        <v>147362.12</v>
      </c>
    </row>
    <row r="45" spans="1:19" x14ac:dyDescent="0.3">
      <c r="A45" s="18" t="str">
        <f t="shared" si="2"/>
        <v>Koszty</v>
      </c>
      <c r="B45" s="57" t="s">
        <v>232</v>
      </c>
      <c r="C45" s="57" t="str">
        <f>_xlfn.XLOOKUP(E45,'25 RZiS Zmapowane P+'!$E$2:$E$111,'25 RZiS Zmapowane P+'!$C$2:$C$111,0)</f>
        <v>II. Zużycie materiałów i energii</v>
      </c>
      <c r="D45" s="32">
        <v>58552003</v>
      </c>
      <c r="E45" s="22" t="s">
        <v>25</v>
      </c>
      <c r="F45" s="22" t="s">
        <v>8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34164.49</v>
      </c>
      <c r="P45" s="33">
        <v>8126.6300000000047</v>
      </c>
      <c r="Q45" s="33">
        <v>3734.27</v>
      </c>
      <c r="R45" s="33">
        <v>8633</v>
      </c>
      <c r="S45" s="33">
        <f>SUM(_24[[#This Row],[2024-01]:[2024-12]])</f>
        <v>54658.39</v>
      </c>
    </row>
    <row r="46" spans="1:19" x14ac:dyDescent="0.3">
      <c r="A46" s="18" t="str">
        <f t="shared" si="2"/>
        <v>Koszty</v>
      </c>
      <c r="B46" s="57" t="s">
        <v>232</v>
      </c>
      <c r="C46" s="57" t="str">
        <f>_xlfn.XLOOKUP(E46,'25 RZiS Zmapowane P+'!$E$2:$E$111,'25 RZiS Zmapowane P+'!$C$2:$C$111,0)</f>
        <v>III. Usługi obce</v>
      </c>
      <c r="D46" s="32">
        <v>58552004</v>
      </c>
      <c r="E46" s="22" t="s">
        <v>52</v>
      </c>
      <c r="F46" s="22" t="s">
        <v>8</v>
      </c>
      <c r="G46" s="33">
        <v>4183.4799999999996</v>
      </c>
      <c r="H46" s="33">
        <v>4156.9799999999996</v>
      </c>
      <c r="I46" s="33">
        <v>4200.6400000000012</v>
      </c>
      <c r="J46" s="33">
        <v>4804.3099999999995</v>
      </c>
      <c r="K46" s="33">
        <v>9514.8300000000017</v>
      </c>
      <c r="L46" s="33">
        <v>769.69999999999709</v>
      </c>
      <c r="M46" s="33">
        <v>9819.6100000000042</v>
      </c>
      <c r="N46" s="33">
        <v>10297.009999999995</v>
      </c>
      <c r="O46" s="33">
        <v>10829.270000000004</v>
      </c>
      <c r="P46" s="33">
        <v>9784.179999999993</v>
      </c>
      <c r="Q46" s="33">
        <v>9351.0500000000011</v>
      </c>
      <c r="R46" s="33">
        <v>9351.0600000000013</v>
      </c>
      <c r="S46" s="33">
        <f>SUM(_24[[#This Row],[2024-01]:[2024-12]])</f>
        <v>87062.12</v>
      </c>
    </row>
    <row r="47" spans="1:19" x14ac:dyDescent="0.3">
      <c r="A47" s="18" t="str">
        <f t="shared" si="2"/>
        <v>Koszty</v>
      </c>
      <c r="B47" s="57" t="s">
        <v>232</v>
      </c>
      <c r="C47" s="57" t="str">
        <f>_xlfn.XLOOKUP(E47,'25 RZiS Zmapowane P+'!$E$2:$E$111,'25 RZiS Zmapowane P+'!$C$2:$C$111,0)</f>
        <v>II. Zużycie materiałów i energii</v>
      </c>
      <c r="D47" s="32">
        <v>58552005</v>
      </c>
      <c r="E47" s="22" t="s">
        <v>26</v>
      </c>
      <c r="F47" s="22" t="s">
        <v>8</v>
      </c>
      <c r="G47" s="33">
        <v>0</v>
      </c>
      <c r="H47" s="33">
        <v>0</v>
      </c>
      <c r="I47" s="33">
        <v>0</v>
      </c>
      <c r="J47" s="33">
        <v>0</v>
      </c>
      <c r="K47" s="33">
        <v>2700</v>
      </c>
      <c r="L47" s="33">
        <v>0</v>
      </c>
      <c r="M47" s="33">
        <v>1392.06</v>
      </c>
      <c r="N47" s="33">
        <v>1219.52</v>
      </c>
      <c r="O47" s="33">
        <v>35567.189999999995</v>
      </c>
      <c r="P47" s="33">
        <v>25014.090000000004</v>
      </c>
      <c r="Q47" s="33">
        <v>10070.940000000002</v>
      </c>
      <c r="R47" s="33">
        <v>8941.32</v>
      </c>
      <c r="S47" s="33">
        <f>SUM(_24[[#This Row],[2024-01]:[2024-12]])</f>
        <v>84905.12</v>
      </c>
    </row>
    <row r="48" spans="1:19" x14ac:dyDescent="0.3">
      <c r="A48" s="18" t="str">
        <f t="shared" si="2"/>
        <v>Koszty</v>
      </c>
      <c r="B48" s="57" t="s">
        <v>232</v>
      </c>
      <c r="C48" s="57" t="str">
        <f>_xlfn.XLOOKUP(E48,'25 RZiS Zmapowane P+'!$E$2:$E$111,'25 RZiS Zmapowane P+'!$C$2:$C$111,0)</f>
        <v>II. Zużycie materiałów i energii</v>
      </c>
      <c r="D48" s="32">
        <v>58552025</v>
      </c>
      <c r="E48" s="22" t="s">
        <v>27</v>
      </c>
      <c r="F48" s="22" t="s">
        <v>8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13068.35</v>
      </c>
      <c r="P48" s="33">
        <v>10231.429999999998</v>
      </c>
      <c r="Q48" s="33">
        <v>3323.1000000000004</v>
      </c>
      <c r="R48" s="33">
        <v>2800.7700000000009</v>
      </c>
      <c r="S48" s="33">
        <f>SUM(_24[[#This Row],[2024-01]:[2024-12]])</f>
        <v>29423.649999999998</v>
      </c>
    </row>
    <row r="49" spans="1:19" x14ac:dyDescent="0.3">
      <c r="A49" s="18" t="str">
        <f t="shared" si="2"/>
        <v>Koszty</v>
      </c>
      <c r="B49" s="57" t="s">
        <v>232</v>
      </c>
      <c r="C49" s="57" t="str">
        <f>_xlfn.XLOOKUP(E49,'25 RZiS Zmapowane P+'!$E$2:$E$111,'25 RZiS Zmapowane P+'!$C$2:$C$111,0)</f>
        <v>III. Usługi obce</v>
      </c>
      <c r="D49" s="32">
        <v>58552026</v>
      </c>
      <c r="E49" s="22" t="s">
        <v>53</v>
      </c>
      <c r="F49" s="22" t="s">
        <v>8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4707.25</v>
      </c>
      <c r="P49" s="33">
        <v>2493.34</v>
      </c>
      <c r="Q49" s="33">
        <v>2454.41</v>
      </c>
      <c r="R49" s="33">
        <v>2454.41</v>
      </c>
      <c r="S49" s="33">
        <f>SUM(_24[[#This Row],[2024-01]:[2024-12]])</f>
        <v>12109.41</v>
      </c>
    </row>
    <row r="50" spans="1:19" x14ac:dyDescent="0.3">
      <c r="A50" s="18" t="str">
        <f t="shared" si="2"/>
        <v>Koszty</v>
      </c>
      <c r="B50" s="57" t="s">
        <v>232</v>
      </c>
      <c r="C50" s="57" t="str">
        <f>_xlfn.XLOOKUP(E50,'25 RZiS Zmapowane P+'!$E$2:$E$111,'25 RZiS Zmapowane P+'!$C$2:$C$111,0)</f>
        <v>III. Usługi obce</v>
      </c>
      <c r="D50" s="32">
        <v>58552027</v>
      </c>
      <c r="E50" s="22" t="s">
        <v>54</v>
      </c>
      <c r="F50" s="22" t="s">
        <v>8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15.18</v>
      </c>
      <c r="P50" s="33">
        <v>45.54</v>
      </c>
      <c r="Q50" s="33">
        <v>15.18</v>
      </c>
      <c r="R50" s="33">
        <v>15.18</v>
      </c>
      <c r="S50" s="33">
        <f>SUM(_24[[#This Row],[2024-01]:[2024-12]])</f>
        <v>91.080000000000013</v>
      </c>
    </row>
    <row r="51" spans="1:19" x14ac:dyDescent="0.3">
      <c r="A51" s="18" t="str">
        <f t="shared" si="2"/>
        <v>Koszty</v>
      </c>
      <c r="B51" s="57" t="s">
        <v>232</v>
      </c>
      <c r="C51" s="57" t="str">
        <f>_xlfn.XLOOKUP(E51,'25 RZiS Zmapowane P+'!$E$2:$E$111,'25 RZiS Zmapowane P+'!$C$2:$C$111,0)</f>
        <v>III. Usługi obce</v>
      </c>
      <c r="D51" s="32">
        <v>58554000</v>
      </c>
      <c r="E51" s="22" t="s">
        <v>55</v>
      </c>
      <c r="F51" s="22" t="s">
        <v>8</v>
      </c>
      <c r="G51" s="33">
        <v>398.08</v>
      </c>
      <c r="H51" s="33">
        <v>228.00000000000006</v>
      </c>
      <c r="I51" s="33">
        <v>2931.05</v>
      </c>
      <c r="J51" s="33">
        <v>246.06999999999971</v>
      </c>
      <c r="K51" s="33">
        <v>1352.54</v>
      </c>
      <c r="L51" s="33">
        <v>2126.08</v>
      </c>
      <c r="M51" s="33">
        <v>1196.9899999999998</v>
      </c>
      <c r="N51" s="33">
        <v>385.27000000000044</v>
      </c>
      <c r="O51" s="33">
        <v>1900.75</v>
      </c>
      <c r="P51" s="33">
        <v>819.79000000000087</v>
      </c>
      <c r="Q51" s="33">
        <v>1630.63</v>
      </c>
      <c r="R51" s="33">
        <v>5686.68</v>
      </c>
      <c r="S51" s="33">
        <f>SUM(_24[[#This Row],[2024-01]:[2024-12]])</f>
        <v>18901.93</v>
      </c>
    </row>
    <row r="52" spans="1:19" x14ac:dyDescent="0.3">
      <c r="A52" s="18" t="str">
        <f t="shared" si="2"/>
        <v>Koszty</v>
      </c>
      <c r="B52" s="57" t="s">
        <v>234</v>
      </c>
      <c r="C52" s="57" t="str">
        <f>_xlfn.XLOOKUP(E52,'25 RZiS Zmapowane P+'!$E$2:$E$111,'25 RZiS Zmapowane P+'!$C$2:$C$111,0)</f>
        <v>III. Inne koszty operacyjne</v>
      </c>
      <c r="D52" s="32">
        <v>58556000</v>
      </c>
      <c r="E52" s="22" t="s">
        <v>155</v>
      </c>
      <c r="F52" s="22" t="s">
        <v>8</v>
      </c>
      <c r="G52" s="33">
        <v>3000</v>
      </c>
      <c r="H52" s="33">
        <v>0</v>
      </c>
      <c r="I52" s="33">
        <v>0</v>
      </c>
      <c r="J52" s="33">
        <v>0</v>
      </c>
      <c r="K52" s="33">
        <v>5000</v>
      </c>
      <c r="L52" s="33">
        <v>0</v>
      </c>
      <c r="M52" s="33">
        <v>5535</v>
      </c>
      <c r="N52" s="33">
        <v>0</v>
      </c>
      <c r="O52" s="33">
        <v>0</v>
      </c>
      <c r="P52" s="33">
        <v>0</v>
      </c>
      <c r="Q52" s="33">
        <v>3000</v>
      </c>
      <c r="R52" s="33">
        <v>2759.28</v>
      </c>
      <c r="S52" s="33">
        <f>SUM(_24[[#This Row],[2024-01]:[2024-12]])</f>
        <v>19294.28</v>
      </c>
    </row>
    <row r="53" spans="1:19" x14ac:dyDescent="0.3">
      <c r="A53" s="18" t="str">
        <f t="shared" si="2"/>
        <v>Koszty</v>
      </c>
      <c r="B53" s="57" t="s">
        <v>232</v>
      </c>
      <c r="C53" s="57" t="str">
        <f>_xlfn.XLOOKUP(E53,'25 RZiS Zmapowane P+'!$E$2:$E$111,'25 RZiS Zmapowane P+'!$C$2:$C$111,0)</f>
        <v>VII. Pozostałe koszty rodzajowe</v>
      </c>
      <c r="D53" s="32">
        <v>58564000</v>
      </c>
      <c r="E53" s="22" t="s">
        <v>94</v>
      </c>
      <c r="F53" s="22" t="s">
        <v>8</v>
      </c>
      <c r="G53" s="33">
        <v>0</v>
      </c>
      <c r="H53" s="33">
        <v>0</v>
      </c>
      <c r="I53" s="33">
        <v>0</v>
      </c>
      <c r="J53" s="33">
        <v>0</v>
      </c>
      <c r="K53" s="33">
        <v>971.7</v>
      </c>
      <c r="L53" s="33">
        <v>0</v>
      </c>
      <c r="M53" s="33">
        <v>0</v>
      </c>
      <c r="N53" s="33">
        <v>0</v>
      </c>
      <c r="O53" s="33">
        <v>0</v>
      </c>
      <c r="P53" s="33">
        <v>25783.3</v>
      </c>
      <c r="Q53" s="33">
        <v>0</v>
      </c>
      <c r="R53" s="33">
        <v>1067.9000000000001</v>
      </c>
      <c r="S53" s="33">
        <f>SUM(_24[[#This Row],[2024-01]:[2024-12]])</f>
        <v>27822.9</v>
      </c>
    </row>
    <row r="54" spans="1:19" x14ac:dyDescent="0.3">
      <c r="A54" s="18" t="str">
        <f t="shared" si="2"/>
        <v>Koszty</v>
      </c>
      <c r="B54" s="57" t="s">
        <v>232</v>
      </c>
      <c r="C54" s="57" t="str">
        <f>_xlfn.XLOOKUP(E54,'25 RZiS Zmapowane P+'!$E$2:$E$111,'25 RZiS Zmapowane P+'!$C$2:$C$111,0)</f>
        <v>VII. Pozostałe koszty rodzajowe</v>
      </c>
      <c r="D54" s="32">
        <v>58564010</v>
      </c>
      <c r="E54" s="22" t="s">
        <v>95</v>
      </c>
      <c r="F54" s="22" t="s">
        <v>8</v>
      </c>
      <c r="G54" s="33">
        <v>8701.4500000000007</v>
      </c>
      <c r="H54" s="33">
        <v>27102.62</v>
      </c>
      <c r="I54" s="33">
        <v>15380.739999999998</v>
      </c>
      <c r="J54" s="33">
        <v>16352.960000000006</v>
      </c>
      <c r="K54" s="33">
        <v>11699.399999999994</v>
      </c>
      <c r="L54" s="33">
        <v>10795.960000000006</v>
      </c>
      <c r="M54" s="33">
        <v>24183.87999999999</v>
      </c>
      <c r="N54" s="33">
        <v>8079.5299999999988</v>
      </c>
      <c r="O54" s="33">
        <v>14479.009999999995</v>
      </c>
      <c r="P54" s="33">
        <v>15129.840000000026</v>
      </c>
      <c r="Q54" s="33">
        <v>10185.779999999995</v>
      </c>
      <c r="R54" s="33">
        <v>57279.900000000009</v>
      </c>
      <c r="S54" s="33">
        <f>SUM(_24[[#This Row],[2024-01]:[2024-12]])</f>
        <v>219371.07</v>
      </c>
    </row>
    <row r="55" spans="1:19" x14ac:dyDescent="0.3">
      <c r="A55" s="18" t="str">
        <f t="shared" si="2"/>
        <v>Koszty</v>
      </c>
      <c r="B55" s="57" t="s">
        <v>232</v>
      </c>
      <c r="C55" s="57" t="str">
        <f>_xlfn.XLOOKUP(E55,'25 RZiS Zmapowane P+'!$E$2:$E$111,'25 RZiS Zmapowane P+'!$C$2:$C$111,0)</f>
        <v>VII. Pozostałe koszty rodzajowe</v>
      </c>
      <c r="D55" s="32">
        <v>58564020</v>
      </c>
      <c r="E55" s="22" t="s">
        <v>96</v>
      </c>
      <c r="F55" s="22" t="s">
        <v>8</v>
      </c>
      <c r="G55" s="33">
        <v>0</v>
      </c>
      <c r="H55" s="33">
        <v>0</v>
      </c>
      <c r="I55" s="33">
        <v>0</v>
      </c>
      <c r="J55" s="33">
        <v>0</v>
      </c>
      <c r="K55" s="33">
        <v>37314</v>
      </c>
      <c r="L55" s="33">
        <v>128611.20999999999</v>
      </c>
      <c r="M55" s="33">
        <v>3345</v>
      </c>
      <c r="N55" s="33">
        <v>1630</v>
      </c>
      <c r="O55" s="33">
        <v>82727</v>
      </c>
      <c r="P55" s="33">
        <v>-19981.559999999998</v>
      </c>
      <c r="Q55" s="33">
        <v>11849.56</v>
      </c>
      <c r="R55" s="33">
        <v>65800</v>
      </c>
      <c r="S55" s="33">
        <f>SUM(_24[[#This Row],[2024-01]:[2024-12]])</f>
        <v>311295.20999999996</v>
      </c>
    </row>
    <row r="56" spans="1:19" x14ac:dyDescent="0.3">
      <c r="A56" s="18" t="str">
        <f t="shared" si="2"/>
        <v>Koszty</v>
      </c>
      <c r="B56" s="57" t="s">
        <v>232</v>
      </c>
      <c r="C56" s="57" t="str">
        <f>_xlfn.XLOOKUP(E56,'25 RZiS Zmapowane P+'!$E$2:$E$111,'25 RZiS Zmapowane P+'!$C$2:$C$111,0)</f>
        <v>VII. Pozostałe koszty rodzajowe</v>
      </c>
      <c r="D56" s="32">
        <v>58566000</v>
      </c>
      <c r="E56" s="22" t="s">
        <v>97</v>
      </c>
      <c r="F56" s="22" t="s">
        <v>8</v>
      </c>
      <c r="G56" s="33">
        <v>12750.37</v>
      </c>
      <c r="H56" s="33">
        <v>3513.7999999999993</v>
      </c>
      <c r="I56" s="33">
        <v>6237.1900000000005</v>
      </c>
      <c r="J56" s="33">
        <v>7996.6100000000006</v>
      </c>
      <c r="K56" s="33">
        <v>10837.720000000001</v>
      </c>
      <c r="L56" s="33">
        <v>10866.729999999996</v>
      </c>
      <c r="M56" s="33">
        <v>10205.200000000004</v>
      </c>
      <c r="N56" s="33">
        <v>7158.239999999998</v>
      </c>
      <c r="O56" s="33">
        <v>6853.2899999999936</v>
      </c>
      <c r="P56" s="33">
        <v>90575.93</v>
      </c>
      <c r="Q56" s="33">
        <v>19202.849999999999</v>
      </c>
      <c r="R56" s="33">
        <v>19866.359999999997</v>
      </c>
      <c r="S56" s="33">
        <f>SUM(_24[[#This Row],[2024-01]:[2024-12]])</f>
        <v>206064.28999999998</v>
      </c>
    </row>
    <row r="57" spans="1:19" x14ac:dyDescent="0.3">
      <c r="A57" s="18" t="str">
        <f t="shared" si="2"/>
        <v>Koszty</v>
      </c>
      <c r="B57" s="57" t="s">
        <v>232</v>
      </c>
      <c r="C57" s="57" t="str">
        <f>_xlfn.XLOOKUP(E57,'25 RZiS Zmapowane P+'!$E$2:$E$111,'25 RZiS Zmapowane P+'!$C$2:$C$111,0)</f>
        <v>VII. Pozostałe koszty rodzajowe</v>
      </c>
      <c r="D57" s="32">
        <v>58566010</v>
      </c>
      <c r="E57" s="22" t="s">
        <v>98</v>
      </c>
      <c r="F57" s="22" t="s">
        <v>8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63000</v>
      </c>
      <c r="M57" s="33">
        <v>0</v>
      </c>
      <c r="N57" s="33">
        <v>0</v>
      </c>
      <c r="O57" s="33">
        <v>0</v>
      </c>
      <c r="P57" s="33">
        <v>-46549.18</v>
      </c>
      <c r="Q57" s="33">
        <v>11162.080000000002</v>
      </c>
      <c r="R57" s="33">
        <v>-400</v>
      </c>
      <c r="S57" s="33">
        <f>SUM(_24[[#This Row],[2024-01]:[2024-12]])</f>
        <v>27212.9</v>
      </c>
    </row>
    <row r="58" spans="1:19" x14ac:dyDescent="0.3">
      <c r="A58" s="18" t="str">
        <f t="shared" si="2"/>
        <v>Koszty</v>
      </c>
      <c r="B58" s="57" t="s">
        <v>232</v>
      </c>
      <c r="C58" s="57" t="str">
        <f>_xlfn.XLOOKUP(E58,'25 RZiS Zmapowane P+'!$E$2:$E$111,'25 RZiS Zmapowane P+'!$C$2:$C$111,0)</f>
        <v>III. Usługi obce</v>
      </c>
      <c r="D58" s="32">
        <v>58568000</v>
      </c>
      <c r="E58" s="22" t="s">
        <v>56</v>
      </c>
      <c r="F58" s="22" t="s">
        <v>8</v>
      </c>
      <c r="G58" s="33">
        <v>0</v>
      </c>
      <c r="H58" s="33">
        <v>675</v>
      </c>
      <c r="I58" s="33">
        <v>0</v>
      </c>
      <c r="J58" s="33">
        <v>375</v>
      </c>
      <c r="K58" s="33">
        <v>0</v>
      </c>
      <c r="L58" s="33">
        <v>800</v>
      </c>
      <c r="M58" s="33">
        <v>318.75</v>
      </c>
      <c r="N58" s="33">
        <v>0</v>
      </c>
      <c r="O58" s="33">
        <v>7981</v>
      </c>
      <c r="P58" s="33">
        <v>0</v>
      </c>
      <c r="Q58" s="33">
        <v>0</v>
      </c>
      <c r="R58" s="33">
        <v>300</v>
      </c>
      <c r="S58" s="33">
        <f>SUM(_24[[#This Row],[2024-01]:[2024-12]])</f>
        <v>10449.75</v>
      </c>
    </row>
    <row r="59" spans="1:19" x14ac:dyDescent="0.3">
      <c r="A59" s="18" t="str">
        <f t="shared" si="2"/>
        <v>Koszty</v>
      </c>
      <c r="B59" s="57" t="s">
        <v>232</v>
      </c>
      <c r="C59" s="57" t="str">
        <f>_xlfn.XLOOKUP(E59,'25 RZiS Zmapowane P+'!$E$2:$E$111,'25 RZiS Zmapowane P+'!$C$2:$C$111,0)</f>
        <v>VII. Pozostałe koszty rodzajowe</v>
      </c>
      <c r="D59" s="32">
        <v>58568002</v>
      </c>
      <c r="E59" s="22" t="s">
        <v>99</v>
      </c>
      <c r="F59" s="22" t="s">
        <v>8</v>
      </c>
      <c r="G59" s="33">
        <v>0</v>
      </c>
      <c r="H59" s="33">
        <v>0</v>
      </c>
      <c r="I59" s="33">
        <v>4971.41</v>
      </c>
      <c r="J59" s="33">
        <v>5121.57</v>
      </c>
      <c r="K59" s="33">
        <v>1833.3000000000011</v>
      </c>
      <c r="L59" s="33">
        <v>0</v>
      </c>
      <c r="M59" s="33">
        <v>4578.8000000000011</v>
      </c>
      <c r="N59" s="33">
        <v>0</v>
      </c>
      <c r="O59" s="33">
        <v>0</v>
      </c>
      <c r="P59" s="33">
        <v>6275.2699999999968</v>
      </c>
      <c r="Q59" s="33">
        <v>2356.6799999999998</v>
      </c>
      <c r="R59" s="33">
        <v>26199.05</v>
      </c>
      <c r="S59" s="33">
        <f>SUM(_24[[#This Row],[2024-01]:[2024-12]])</f>
        <v>51336.08</v>
      </c>
    </row>
    <row r="60" spans="1:19" x14ac:dyDescent="0.3">
      <c r="A60" s="18" t="str">
        <f t="shared" si="2"/>
        <v>Koszty</v>
      </c>
      <c r="B60" s="57" t="s">
        <v>232</v>
      </c>
      <c r="C60" s="57" t="str">
        <f>_xlfn.XLOOKUP(E60,'25 RZiS Zmapowane P+'!$E$2:$E$111,'25 RZiS Zmapowane P+'!$C$2:$C$111,0)</f>
        <v>VII. Pozostałe koszty rodzajowe</v>
      </c>
      <c r="D60" s="32">
        <v>58568011</v>
      </c>
      <c r="E60" s="22" t="s">
        <v>100</v>
      </c>
      <c r="F60" s="22" t="s">
        <v>8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f>SUM(_24[[#This Row],[2024-01]:[2024-12]])</f>
        <v>0</v>
      </c>
    </row>
    <row r="61" spans="1:19" x14ac:dyDescent="0.3">
      <c r="A61" s="18" t="str">
        <f t="shared" si="2"/>
        <v>Koszty</v>
      </c>
      <c r="B61" s="57" t="s">
        <v>232</v>
      </c>
      <c r="C61" s="57" t="str">
        <f>_xlfn.XLOOKUP(E61,'25 RZiS Zmapowane P+'!$E$2:$E$111,'25 RZiS Zmapowane P+'!$C$2:$C$111,0)</f>
        <v>III. Usługi obce</v>
      </c>
      <c r="D61" s="32">
        <v>58570000</v>
      </c>
      <c r="E61" s="22" t="s">
        <v>57</v>
      </c>
      <c r="F61" s="22" t="s">
        <v>8</v>
      </c>
      <c r="G61" s="33">
        <v>869.42</v>
      </c>
      <c r="H61" s="33">
        <v>869.42</v>
      </c>
      <c r="I61" s="33">
        <v>869.4200000000003</v>
      </c>
      <c r="J61" s="33">
        <v>869.41999999999962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f>SUM(_24[[#This Row],[2024-01]:[2024-12]])</f>
        <v>3477.68</v>
      </c>
    </row>
    <row r="62" spans="1:19" x14ac:dyDescent="0.3">
      <c r="A62" s="18" t="str">
        <f t="shared" si="2"/>
        <v>Koszty</v>
      </c>
      <c r="B62" s="57" t="s">
        <v>232</v>
      </c>
      <c r="C62" s="57" t="str">
        <f>_xlfn.XLOOKUP(E62,'25 RZiS Zmapowane P+'!$E$2:$E$111,'25 RZiS Zmapowane P+'!$C$2:$C$111,0)</f>
        <v>III. Usługi obce</v>
      </c>
      <c r="D62" s="32">
        <v>58590000</v>
      </c>
      <c r="E62" s="22" t="s">
        <v>58</v>
      </c>
      <c r="F62" s="22" t="s">
        <v>8</v>
      </c>
      <c r="G62" s="33">
        <v>0</v>
      </c>
      <c r="H62" s="33">
        <v>0</v>
      </c>
      <c r="I62" s="33">
        <v>-233.75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f>SUM(_24[[#This Row],[2024-01]:[2024-12]])</f>
        <v>-233.75</v>
      </c>
    </row>
    <row r="63" spans="1:19" x14ac:dyDescent="0.3">
      <c r="A63" s="18" t="str">
        <f t="shared" si="2"/>
        <v>Koszty</v>
      </c>
      <c r="B63" s="57" t="s">
        <v>232</v>
      </c>
      <c r="C63" s="57" t="str">
        <f>_xlfn.XLOOKUP(E63,'25 RZiS Zmapowane P+'!$E$2:$E$111,'25 RZiS Zmapowane P+'!$C$2:$C$111,0)</f>
        <v>V. Wynagrodzenia</v>
      </c>
      <c r="D63" s="32">
        <v>59000000</v>
      </c>
      <c r="E63" s="22" t="s">
        <v>68</v>
      </c>
      <c r="F63" s="22" t="s">
        <v>8</v>
      </c>
      <c r="G63" s="33">
        <v>939095.3</v>
      </c>
      <c r="H63" s="33">
        <v>930982.95</v>
      </c>
      <c r="I63" s="33">
        <v>925407.69</v>
      </c>
      <c r="J63" s="33">
        <v>0</v>
      </c>
      <c r="K63" s="33">
        <v>1922476.31</v>
      </c>
      <c r="L63" s="33">
        <v>1060320.5</v>
      </c>
      <c r="M63" s="33">
        <v>997571.83000000007</v>
      </c>
      <c r="N63" s="33">
        <v>0</v>
      </c>
      <c r="O63" s="33">
        <v>2043198.42</v>
      </c>
      <c r="P63" s="33">
        <v>1013295.9800000004</v>
      </c>
      <c r="Q63" s="33">
        <v>1020684.93</v>
      </c>
      <c r="R63" s="33">
        <v>1012831.0999999996</v>
      </c>
      <c r="S63" s="33">
        <f>SUM(_24[[#This Row],[2024-01]:[2024-12]])</f>
        <v>11865865.01</v>
      </c>
    </row>
    <row r="64" spans="1:19" x14ac:dyDescent="0.3">
      <c r="A64" s="18" t="str">
        <f t="shared" si="2"/>
        <v>Koszty</v>
      </c>
      <c r="B64" s="57" t="s">
        <v>232</v>
      </c>
      <c r="C64" s="57" t="str">
        <f>_xlfn.XLOOKUP(E64,'25 RZiS Zmapowane P+'!$E$2:$E$111,'25 RZiS Zmapowane P+'!$C$2:$C$111,0)</f>
        <v>V. Wynagrodzenia</v>
      </c>
      <c r="D64" s="32">
        <v>59002000</v>
      </c>
      <c r="E64" s="22" t="s">
        <v>69</v>
      </c>
      <c r="F64" s="22" t="s">
        <v>8</v>
      </c>
      <c r="G64" s="33">
        <v>2000</v>
      </c>
      <c r="H64" s="33">
        <v>1600</v>
      </c>
      <c r="I64" s="33">
        <v>3550</v>
      </c>
      <c r="J64" s="33">
        <v>0</v>
      </c>
      <c r="K64" s="33">
        <v>70500</v>
      </c>
      <c r="L64" s="33">
        <v>138400</v>
      </c>
      <c r="M64" s="33">
        <v>7900</v>
      </c>
      <c r="N64" s="33">
        <v>0</v>
      </c>
      <c r="O64" s="33">
        <v>3600</v>
      </c>
      <c r="P64" s="33">
        <v>1000</v>
      </c>
      <c r="Q64" s="33">
        <v>0</v>
      </c>
      <c r="R64" s="33">
        <v>1184350</v>
      </c>
      <c r="S64" s="33">
        <f>SUM(_24[[#This Row],[2024-01]:[2024-12]])</f>
        <v>1412900</v>
      </c>
    </row>
    <row r="65" spans="1:19" x14ac:dyDescent="0.3">
      <c r="A65" s="18" t="str">
        <f t="shared" si="2"/>
        <v>Koszty</v>
      </c>
      <c r="B65" s="57" t="s">
        <v>232</v>
      </c>
      <c r="C65" s="57" t="str">
        <f>_xlfn.XLOOKUP(E65,'25 RZiS Zmapowane P+'!$E$2:$E$111,'25 RZiS Zmapowane P+'!$C$2:$C$111,0)</f>
        <v>V. Wynagrodzenia</v>
      </c>
      <c r="D65" s="32">
        <v>59002200</v>
      </c>
      <c r="E65" s="22" t="s">
        <v>70</v>
      </c>
      <c r="F65" s="22" t="s">
        <v>8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1762.29</v>
      </c>
      <c r="Q65" s="33">
        <v>0</v>
      </c>
      <c r="R65" s="33">
        <v>2868.920000000001</v>
      </c>
      <c r="S65" s="33">
        <f>SUM(_24[[#This Row],[2024-01]:[2024-12]])</f>
        <v>4631.2100000000009</v>
      </c>
    </row>
    <row r="66" spans="1:19" x14ac:dyDescent="0.3">
      <c r="A66" s="18" t="str">
        <f t="shared" si="2"/>
        <v>Koszty</v>
      </c>
      <c r="B66" s="57" t="s">
        <v>232</v>
      </c>
      <c r="C66" s="57" t="str">
        <f>_xlfn.XLOOKUP(E66,'25 RZiS Zmapowane P+'!$E$2:$E$111,'25 RZiS Zmapowane P+'!$C$2:$C$111,0)</f>
        <v>V. Wynagrodzenia</v>
      </c>
      <c r="D66" s="32">
        <v>59004000</v>
      </c>
      <c r="E66" s="22" t="s">
        <v>74</v>
      </c>
      <c r="F66" s="22" t="s">
        <v>8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-26873.41</v>
      </c>
      <c r="S66" s="33">
        <f>SUM(_24[[#This Row],[2024-01]:[2024-12]])</f>
        <v>-26873.41</v>
      </c>
    </row>
    <row r="67" spans="1:19" x14ac:dyDescent="0.3">
      <c r="A67" s="18" t="str">
        <f t="shared" si="2"/>
        <v>Koszty</v>
      </c>
      <c r="B67" s="57" t="s">
        <v>232</v>
      </c>
      <c r="C67" s="57" t="str">
        <f>_xlfn.XLOOKUP(E67,'25 RZiS Zmapowane P+'!$E$2:$E$111,'25 RZiS Zmapowane P+'!$C$2:$C$111,0)</f>
        <v>VI. Ubezpieczenia społeczne i inne świadczenia, w tym:</v>
      </c>
      <c r="D67" s="32">
        <v>59004001</v>
      </c>
      <c r="E67" s="22" t="s">
        <v>78</v>
      </c>
      <c r="F67" s="22" t="s">
        <v>8</v>
      </c>
      <c r="G67" s="33">
        <v>0</v>
      </c>
      <c r="H67" s="33">
        <v>0</v>
      </c>
      <c r="I67" s="33">
        <v>0</v>
      </c>
      <c r="J67" s="33">
        <v>0</v>
      </c>
      <c r="K67" s="33">
        <v>-280674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280674</v>
      </c>
      <c r="R67" s="33">
        <v>241383</v>
      </c>
      <c r="S67" s="33">
        <f>SUM(_24[[#This Row],[2024-01]:[2024-12]])</f>
        <v>241383</v>
      </c>
    </row>
    <row r="68" spans="1:19" x14ac:dyDescent="0.3">
      <c r="A68" s="18" t="str">
        <f t="shared" si="2"/>
        <v>Koszty</v>
      </c>
      <c r="B68" s="57" t="s">
        <v>232</v>
      </c>
      <c r="C68" s="57" t="str">
        <f>_xlfn.XLOOKUP(E68,'25 RZiS Zmapowane P+'!$E$2:$E$111,'25 RZiS Zmapowane P+'!$C$2:$C$111,0)</f>
        <v>VI. Ubezpieczenia społeczne i inne świadczenia, w tym:</v>
      </c>
      <c r="D68" s="32">
        <v>59016000</v>
      </c>
      <c r="E68" s="22" t="s">
        <v>79</v>
      </c>
      <c r="F68" s="22" t="s">
        <v>8</v>
      </c>
      <c r="G68" s="33">
        <v>185025.72</v>
      </c>
      <c r="H68" s="33">
        <v>184073.92</v>
      </c>
      <c r="I68" s="33">
        <v>181279.06999999995</v>
      </c>
      <c r="J68" s="33">
        <v>0</v>
      </c>
      <c r="K68" s="33">
        <v>621900.57000000007</v>
      </c>
      <c r="L68" s="33">
        <v>214719.08000000007</v>
      </c>
      <c r="M68" s="33">
        <v>172474.91999999993</v>
      </c>
      <c r="N68" s="33">
        <v>0</v>
      </c>
      <c r="O68" s="33">
        <v>327197.54000000004</v>
      </c>
      <c r="P68" s="33">
        <v>146694.28000000003</v>
      </c>
      <c r="Q68" s="33">
        <v>-139249.28</v>
      </c>
      <c r="R68" s="33">
        <v>129132.53</v>
      </c>
      <c r="S68" s="33">
        <f>SUM(_24[[#This Row],[2024-01]:[2024-12]])</f>
        <v>2023248.35</v>
      </c>
    </row>
    <row r="69" spans="1:19" x14ac:dyDescent="0.3">
      <c r="A69" s="18" t="str">
        <f t="shared" ref="A69:A103" si="3">IF(ISNUMBER(SEARCH("przychody",B69)),"Przychody","Koszty")</f>
        <v>Koszty</v>
      </c>
      <c r="B69" s="57" t="s">
        <v>232</v>
      </c>
      <c r="C69" s="57" t="str">
        <f>_xlfn.XLOOKUP(E69,'25 RZiS Zmapowane P+'!$E$2:$E$111,'25 RZiS Zmapowane P+'!$C$2:$C$111,0)</f>
        <v>V. Wynagrodzenia</v>
      </c>
      <c r="D69" s="32">
        <v>59018300</v>
      </c>
      <c r="E69" s="22" t="s">
        <v>71</v>
      </c>
      <c r="F69" s="22" t="s">
        <v>8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83398</v>
      </c>
      <c r="S69" s="33">
        <f>SUM(_24[[#This Row],[2024-01]:[2024-12]])</f>
        <v>83398</v>
      </c>
    </row>
    <row r="70" spans="1:19" x14ac:dyDescent="0.3">
      <c r="A70" s="18" t="str">
        <f t="shared" si="3"/>
        <v>Koszty</v>
      </c>
      <c r="B70" s="57" t="s">
        <v>232</v>
      </c>
      <c r="C70" s="57" t="str">
        <f>_xlfn.XLOOKUP(E70,'25 RZiS Zmapowane P+'!$E$2:$E$111,'25 RZiS Zmapowane P+'!$C$2:$C$111,0)</f>
        <v>VI. Ubezpieczenia społeczne i inne świadczenia, w tym:</v>
      </c>
      <c r="D70" s="32">
        <v>59028000</v>
      </c>
      <c r="E70" s="22" t="s">
        <v>81</v>
      </c>
      <c r="F70" s="22" t="s">
        <v>8</v>
      </c>
      <c r="G70" s="33">
        <v>12736.84</v>
      </c>
      <c r="H70" s="33">
        <v>13672.25</v>
      </c>
      <c r="I70" s="33">
        <v>13014.600000000002</v>
      </c>
      <c r="J70" s="33">
        <v>14563.479999999996</v>
      </c>
      <c r="K70" s="33">
        <v>11317.660000000003</v>
      </c>
      <c r="L70" s="33">
        <v>13077.479999999996</v>
      </c>
      <c r="M70" s="33">
        <v>10920.600000000006</v>
      </c>
      <c r="N70" s="33">
        <v>15079.830000000002</v>
      </c>
      <c r="O70" s="33">
        <v>7467.429999999993</v>
      </c>
      <c r="P70" s="33">
        <v>12306.199999999997</v>
      </c>
      <c r="Q70" s="33">
        <v>12434.47</v>
      </c>
      <c r="R70" s="33">
        <v>12543.77</v>
      </c>
      <c r="S70" s="33">
        <f>SUM(_24[[#This Row],[2024-01]:[2024-12]])</f>
        <v>149134.60999999999</v>
      </c>
    </row>
    <row r="71" spans="1:19" x14ac:dyDescent="0.3">
      <c r="A71" s="18" t="str">
        <f t="shared" si="3"/>
        <v>Koszty</v>
      </c>
      <c r="B71" s="57" t="s">
        <v>232</v>
      </c>
      <c r="C71" s="57" t="str">
        <f>_xlfn.XLOOKUP(E71,'25 RZiS Zmapowane P+'!$E$2:$E$111,'25 RZiS Zmapowane P+'!$C$2:$C$111,0)</f>
        <v>VI. Ubezpieczenia społeczne i inne świadczenia, w tym:</v>
      </c>
      <c r="D71" s="32">
        <v>59036001</v>
      </c>
      <c r="E71" s="22" t="s">
        <v>82</v>
      </c>
      <c r="F71" s="22" t="s">
        <v>8</v>
      </c>
      <c r="G71" s="33">
        <v>21850</v>
      </c>
      <c r="H71" s="33">
        <v>21660</v>
      </c>
      <c r="I71" s="33">
        <v>21470</v>
      </c>
      <c r="J71" s="33">
        <v>0</v>
      </c>
      <c r="K71" s="33">
        <v>43320</v>
      </c>
      <c r="L71" s="33">
        <v>21660</v>
      </c>
      <c r="M71" s="33">
        <v>42370</v>
      </c>
      <c r="N71" s="33">
        <v>21660</v>
      </c>
      <c r="O71" s="33">
        <v>64980</v>
      </c>
      <c r="P71" s="33">
        <v>-42560</v>
      </c>
      <c r="Q71" s="33">
        <v>21650</v>
      </c>
      <c r="R71" s="33">
        <v>21850</v>
      </c>
      <c r="S71" s="33">
        <f>SUM(_24[[#This Row],[2024-01]:[2024-12]])</f>
        <v>259910</v>
      </c>
    </row>
    <row r="72" spans="1:19" x14ac:dyDescent="0.3">
      <c r="A72" s="18" t="str">
        <f t="shared" si="3"/>
        <v>Koszty</v>
      </c>
      <c r="B72" s="57" t="s">
        <v>232</v>
      </c>
      <c r="C72" s="57" t="str">
        <f>_xlfn.XLOOKUP(E72,'25 RZiS Zmapowane P+'!$E$2:$E$111,'25 RZiS Zmapowane P+'!$C$2:$C$111,0)</f>
        <v>V. Wynagrodzenia</v>
      </c>
      <c r="D72" s="32">
        <v>59040000</v>
      </c>
      <c r="E72" s="22" t="s">
        <v>72</v>
      </c>
      <c r="F72" s="22" t="s">
        <v>8</v>
      </c>
      <c r="G72" s="33">
        <v>7945.9</v>
      </c>
      <c r="H72" s="33">
        <v>8166.08</v>
      </c>
      <c r="I72" s="33">
        <v>0</v>
      </c>
      <c r="J72" s="33">
        <v>16416.170000000002</v>
      </c>
      <c r="K72" s="33">
        <v>0</v>
      </c>
      <c r="L72" s="33">
        <v>16438.269999999997</v>
      </c>
      <c r="M72" s="33">
        <v>7879.7799999999988</v>
      </c>
      <c r="N72" s="33">
        <v>8015.6500000000015</v>
      </c>
      <c r="O72" s="33">
        <v>8666.9200000000055</v>
      </c>
      <c r="P72" s="33">
        <v>-15919.61</v>
      </c>
      <c r="Q72" s="33">
        <v>6424.83</v>
      </c>
      <c r="R72" s="33">
        <v>8387.19</v>
      </c>
      <c r="S72" s="33">
        <f>SUM(_24[[#This Row],[2024-01]:[2024-12]])</f>
        <v>72421.180000000008</v>
      </c>
    </row>
    <row r="73" spans="1:19" x14ac:dyDescent="0.3">
      <c r="A73" s="18" t="str">
        <f t="shared" si="3"/>
        <v>Koszty</v>
      </c>
      <c r="B73" s="57" t="s">
        <v>232</v>
      </c>
      <c r="C73" s="57" t="str">
        <f>_xlfn.XLOOKUP(E73,'25 RZiS Zmapowane P+'!$E$2:$E$111,'25 RZiS Zmapowane P+'!$C$2:$C$111,0)</f>
        <v>V. Wynagrodzenia</v>
      </c>
      <c r="D73" s="32">
        <v>59070000</v>
      </c>
      <c r="E73" s="22" t="s">
        <v>73</v>
      </c>
      <c r="F73" s="22" t="s">
        <v>8</v>
      </c>
      <c r="G73" s="33">
        <v>19450</v>
      </c>
      <c r="H73" s="33">
        <v>20900</v>
      </c>
      <c r="I73" s="33">
        <v>24700</v>
      </c>
      <c r="J73" s="33">
        <v>0</v>
      </c>
      <c r="K73" s="33">
        <v>56400</v>
      </c>
      <c r="L73" s="33">
        <v>28587</v>
      </c>
      <c r="M73" s="33">
        <v>32500</v>
      </c>
      <c r="N73" s="33">
        <v>0</v>
      </c>
      <c r="O73" s="33">
        <v>63500</v>
      </c>
      <c r="P73" s="33">
        <v>22490</v>
      </c>
      <c r="Q73" s="33">
        <v>20025</v>
      </c>
      <c r="R73" s="33">
        <v>22200</v>
      </c>
      <c r="S73" s="33">
        <f>SUM(_24[[#This Row],[2024-01]:[2024-12]])</f>
        <v>310752</v>
      </c>
    </row>
    <row r="74" spans="1:19" x14ac:dyDescent="0.3">
      <c r="A74" s="18" t="str">
        <f t="shared" si="3"/>
        <v>Koszty</v>
      </c>
      <c r="B74" s="57" t="s">
        <v>232</v>
      </c>
      <c r="C74" s="57" t="str">
        <f>_xlfn.XLOOKUP(E74,'25 RZiS Zmapowane P+'!$E$2:$E$111,'25 RZiS Zmapowane P+'!$C$2:$C$111,0)</f>
        <v>IV. Podatki i opłaty</v>
      </c>
      <c r="D74" s="32">
        <v>59080040</v>
      </c>
      <c r="E74" s="22" t="s">
        <v>63</v>
      </c>
      <c r="F74" s="22" t="s">
        <v>8</v>
      </c>
      <c r="G74" s="33">
        <v>10574</v>
      </c>
      <c r="H74" s="33">
        <v>10685</v>
      </c>
      <c r="I74" s="33">
        <v>11348</v>
      </c>
      <c r="J74" s="33">
        <v>11348</v>
      </c>
      <c r="K74" s="33">
        <v>11472</v>
      </c>
      <c r="L74" s="33">
        <v>11723</v>
      </c>
      <c r="M74" s="33">
        <v>11678</v>
      </c>
      <c r="N74" s="33">
        <v>11694</v>
      </c>
      <c r="O74" s="33">
        <v>11546</v>
      </c>
      <c r="P74" s="33">
        <v>11425</v>
      </c>
      <c r="Q74" s="33">
        <v>11648</v>
      </c>
      <c r="R74" s="33">
        <v>11888</v>
      </c>
      <c r="S74" s="33">
        <f>SUM(_24[[#This Row],[2024-01]:[2024-12]])</f>
        <v>137029</v>
      </c>
    </row>
    <row r="75" spans="1:19" x14ac:dyDescent="0.3">
      <c r="A75" s="18" t="str">
        <f t="shared" si="3"/>
        <v>Koszty</v>
      </c>
      <c r="B75" s="57" t="s">
        <v>232</v>
      </c>
      <c r="C75" s="57" t="str">
        <f>_xlfn.XLOOKUP(E75,'25 RZiS Zmapowane P+'!$E$2:$E$111,'25 RZiS Zmapowane P+'!$C$2:$C$111,0)</f>
        <v>IV. Podatki i opłaty</v>
      </c>
      <c r="D75" s="32">
        <v>59500040</v>
      </c>
      <c r="E75" s="22" t="s">
        <v>64</v>
      </c>
      <c r="F75" s="22" t="s">
        <v>8</v>
      </c>
      <c r="G75" s="33">
        <v>2153.5500000000002</v>
      </c>
      <c r="H75" s="33">
        <v>2153.5500000000002</v>
      </c>
      <c r="I75" s="33">
        <v>2153.5499999999993</v>
      </c>
      <c r="J75" s="33">
        <v>1876.0400000000009</v>
      </c>
      <c r="K75" s="33">
        <v>2153.5499999999993</v>
      </c>
      <c r="L75" s="33">
        <v>2153.5500000000011</v>
      </c>
      <c r="M75" s="33">
        <v>2153.5499999999993</v>
      </c>
      <c r="N75" s="33">
        <v>2153.5499999999993</v>
      </c>
      <c r="O75" s="33">
        <v>2153.5499999999993</v>
      </c>
      <c r="P75" s="33">
        <v>2153.5500000000029</v>
      </c>
      <c r="Q75" s="33">
        <v>2153.5500000000002</v>
      </c>
      <c r="R75" s="33">
        <v>2150.5500000000002</v>
      </c>
      <c r="S75" s="33">
        <f>SUM(_24[[#This Row],[2024-01]:[2024-12]])</f>
        <v>25562.09</v>
      </c>
    </row>
    <row r="76" spans="1:19" x14ac:dyDescent="0.3">
      <c r="A76" s="18" t="str">
        <f t="shared" si="3"/>
        <v>Koszty</v>
      </c>
      <c r="B76" s="57" t="s">
        <v>232</v>
      </c>
      <c r="C76" s="57" t="str">
        <f>_xlfn.XLOOKUP(E76,'25 RZiS Zmapowane P+'!$E$2:$E$111,'25 RZiS Zmapowane P+'!$C$2:$C$111,0)</f>
        <v>IV. Podatki i opłaty</v>
      </c>
      <c r="D76" s="32">
        <v>59500050</v>
      </c>
      <c r="E76" s="22" t="s">
        <v>65</v>
      </c>
      <c r="F76" s="22" t="s">
        <v>8</v>
      </c>
      <c r="G76" s="33">
        <v>5141.38</v>
      </c>
      <c r="H76" s="33">
        <v>3027.2200000000003</v>
      </c>
      <c r="I76" s="33">
        <v>3303.6299999999992</v>
      </c>
      <c r="J76" s="33">
        <v>4728.07</v>
      </c>
      <c r="K76" s="33">
        <v>3687.4300000000003</v>
      </c>
      <c r="L76" s="33">
        <v>5281.0600000000013</v>
      </c>
      <c r="M76" s="33">
        <v>5315.8899999999994</v>
      </c>
      <c r="N76" s="33">
        <v>8229.3000000000029</v>
      </c>
      <c r="O76" s="33">
        <v>3556.6199999999953</v>
      </c>
      <c r="P76" s="33">
        <v>835.20000000000437</v>
      </c>
      <c r="Q76" s="33">
        <v>6063.6700000000028</v>
      </c>
      <c r="R76" s="33">
        <v>4801.1300000000056</v>
      </c>
      <c r="S76" s="33">
        <f>SUM(_24[[#This Row],[2024-01]:[2024-12]])</f>
        <v>53970.600000000013</v>
      </c>
    </row>
    <row r="77" spans="1:19" x14ac:dyDescent="0.3">
      <c r="A77" s="18" t="str">
        <f t="shared" si="3"/>
        <v>Koszty</v>
      </c>
      <c r="B77" s="57" t="s">
        <v>232</v>
      </c>
      <c r="C77" s="57" t="str">
        <f>_xlfn.XLOOKUP(E77,'25 RZiS Zmapowane P+'!$E$2:$E$111,'25 RZiS Zmapowane P+'!$C$2:$C$111,0)</f>
        <v>IV. Podatki i opłaty</v>
      </c>
      <c r="D77" s="32">
        <v>59500051</v>
      </c>
      <c r="E77" s="22" t="s">
        <v>66</v>
      </c>
      <c r="F77" s="22" t="s">
        <v>8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1383.82</v>
      </c>
      <c r="P77" s="33">
        <v>8130.18</v>
      </c>
      <c r="Q77" s="33">
        <v>1699.7000000000003</v>
      </c>
      <c r="R77" s="33">
        <v>1275.870000000001</v>
      </c>
      <c r="S77" s="33">
        <f>SUM(_24[[#This Row],[2024-01]:[2024-12]])</f>
        <v>12489.570000000002</v>
      </c>
    </row>
    <row r="78" spans="1:19" x14ac:dyDescent="0.3">
      <c r="A78" s="18" t="str">
        <f t="shared" si="3"/>
        <v>Koszty</v>
      </c>
      <c r="B78" s="57" t="s">
        <v>232</v>
      </c>
      <c r="C78" s="57" t="str">
        <f>_xlfn.XLOOKUP(E78,'25 RZiS Zmapowane P+'!$E$2:$E$111,'25 RZiS Zmapowane P+'!$C$2:$C$111,0)</f>
        <v>III. Usługi obce</v>
      </c>
      <c r="D78" s="32">
        <v>59504050</v>
      </c>
      <c r="E78" s="22" t="s">
        <v>60</v>
      </c>
      <c r="F78" s="22" t="s">
        <v>8</v>
      </c>
      <c r="G78" s="33">
        <v>0</v>
      </c>
      <c r="H78" s="33">
        <v>68660.92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f>SUM(_24[[#This Row],[2024-01]:[2024-12]])</f>
        <v>68660.92</v>
      </c>
    </row>
    <row r="79" spans="1:19" x14ac:dyDescent="0.3">
      <c r="A79" s="18" t="str">
        <f t="shared" si="3"/>
        <v>Przychody</v>
      </c>
      <c r="B79" s="57" t="s">
        <v>233</v>
      </c>
      <c r="C79" s="57" t="str">
        <f>_xlfn.XLOOKUP(E79,'25 RZiS Zmapowane P+'!$E$2:$E$111,'25 RZiS Zmapowane P+'!$C$2:$C$111,0)</f>
        <v>IV. Inne przychody operacyjne</v>
      </c>
      <c r="D79" s="32">
        <v>60000010</v>
      </c>
      <c r="E79" s="22" t="s">
        <v>156</v>
      </c>
      <c r="F79" s="22" t="s">
        <v>8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106900.98</v>
      </c>
      <c r="Q79" s="33">
        <v>0</v>
      </c>
      <c r="R79" s="33">
        <v>24237.58</v>
      </c>
      <c r="S79" s="33">
        <f>SUM(_24[[#This Row],[2024-01]:[2024-12]])</f>
        <v>131138.56</v>
      </c>
    </row>
    <row r="80" spans="1:19" x14ac:dyDescent="0.3">
      <c r="A80" s="18" t="str">
        <f t="shared" si="3"/>
        <v>Koszty</v>
      </c>
      <c r="B80" s="57" t="s">
        <v>234</v>
      </c>
      <c r="C80" s="57" t="str">
        <f>_xlfn.XLOOKUP(E80,'25 RZiS Zmapowane P+'!$E$2:$E$111,'25 RZiS Zmapowane P+'!$C$2:$C$111,0)</f>
        <v>II. Aktualizacja wartości aktywów niefinansowych</v>
      </c>
      <c r="D80" s="32">
        <v>60002000</v>
      </c>
      <c r="E80" s="22" t="s">
        <v>157</v>
      </c>
      <c r="F80" s="22" t="s">
        <v>8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f>SUM(_24[[#This Row],[2024-01]:[2024-12]])</f>
        <v>0</v>
      </c>
    </row>
    <row r="81" spans="1:19" x14ac:dyDescent="0.3">
      <c r="A81" s="18" t="str">
        <f t="shared" si="3"/>
        <v>Koszty</v>
      </c>
      <c r="B81" s="57" t="s">
        <v>236</v>
      </c>
      <c r="C81" s="57" t="str">
        <f>_xlfn.XLOOKUP(E81,'25 RZiS Zmapowane P+'!$E$2:$E$111,'25 RZiS Zmapowane P+'!$C$2:$C$111,0)</f>
        <v>IV. Inne</v>
      </c>
      <c r="D81" s="32">
        <v>60500000</v>
      </c>
      <c r="E81" s="22" t="s">
        <v>183</v>
      </c>
      <c r="F81" s="22" t="s">
        <v>8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f>SUM(_24[[#This Row],[2024-01]:[2024-12]])</f>
        <v>0</v>
      </c>
    </row>
    <row r="82" spans="1:19" x14ac:dyDescent="0.3">
      <c r="A82" s="18" t="str">
        <f t="shared" si="3"/>
        <v>Koszty</v>
      </c>
      <c r="B82" s="57" t="s">
        <v>236</v>
      </c>
      <c r="C82" s="57" t="str">
        <f>_xlfn.XLOOKUP(E82,'25 RZiS Zmapowane P+'!$E$2:$E$111,'25 RZiS Zmapowane P+'!$C$2:$C$111,0)</f>
        <v>IV. Inne</v>
      </c>
      <c r="D82" s="32">
        <v>60501000</v>
      </c>
      <c r="E82" s="22" t="s">
        <v>184</v>
      </c>
      <c r="F82" s="22" t="s">
        <v>8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f>SUM(_24[[#This Row],[2024-01]:[2024-12]])</f>
        <v>0</v>
      </c>
    </row>
    <row r="83" spans="1:19" x14ac:dyDescent="0.3">
      <c r="A83" s="18" t="str">
        <f t="shared" si="3"/>
        <v>Koszty</v>
      </c>
      <c r="B83" s="57" t="s">
        <v>236</v>
      </c>
      <c r="C83" s="57" t="str">
        <f>_xlfn.XLOOKUP(E83,'25 RZiS Zmapowane P+'!$E$2:$E$111,'25 RZiS Zmapowane P+'!$C$2:$C$111,0)</f>
        <v>IV. Inne</v>
      </c>
      <c r="D83" s="32">
        <v>60502010</v>
      </c>
      <c r="E83" s="22" t="s">
        <v>158</v>
      </c>
      <c r="F83" s="22" t="s">
        <v>8</v>
      </c>
      <c r="G83" s="33">
        <v>-33.21</v>
      </c>
      <c r="H83" s="33">
        <v>-186.69</v>
      </c>
      <c r="I83" s="33">
        <v>-86.549999999999983</v>
      </c>
      <c r="J83" s="33">
        <v>-5.0799999999999841</v>
      </c>
      <c r="K83" s="33">
        <v>-37.220000000000027</v>
      </c>
      <c r="L83" s="33">
        <v>0</v>
      </c>
      <c r="M83" s="33">
        <v>2532.96</v>
      </c>
      <c r="N83" s="33">
        <v>-166.49</v>
      </c>
      <c r="O83" s="33">
        <v>0</v>
      </c>
      <c r="P83" s="33">
        <v>-145.68000000000006</v>
      </c>
      <c r="Q83" s="33">
        <v>0</v>
      </c>
      <c r="R83" s="33">
        <v>0</v>
      </c>
      <c r="S83" s="33">
        <f>SUM(_24[[#This Row],[2024-01]:[2024-12]])</f>
        <v>1872.04</v>
      </c>
    </row>
    <row r="84" spans="1:19" x14ac:dyDescent="0.3">
      <c r="A84" s="18" t="str">
        <f t="shared" si="3"/>
        <v>Koszty</v>
      </c>
      <c r="B84" s="57" t="s">
        <v>236</v>
      </c>
      <c r="C84" s="57" t="str">
        <f>_xlfn.XLOOKUP(E84,'25 RZiS Zmapowane P+'!$E$2:$E$111,'25 RZiS Zmapowane P+'!$C$2:$C$111,0)</f>
        <v>IV. Inne</v>
      </c>
      <c r="D84" s="32">
        <v>60502211</v>
      </c>
      <c r="E84" s="22" t="s">
        <v>159</v>
      </c>
      <c r="F84" s="22" t="s">
        <v>8</v>
      </c>
      <c r="G84" s="33">
        <v>-21.76</v>
      </c>
      <c r="H84" s="33">
        <v>0</v>
      </c>
      <c r="I84" s="33">
        <v>146.04</v>
      </c>
      <c r="J84" s="33">
        <v>0</v>
      </c>
      <c r="K84" s="33">
        <v>-510.30999999999995</v>
      </c>
      <c r="L84" s="33">
        <v>-2.4000000000000341</v>
      </c>
      <c r="M84" s="33">
        <v>0</v>
      </c>
      <c r="N84" s="33">
        <v>-2.5799999999999841</v>
      </c>
      <c r="O84" s="33">
        <v>0</v>
      </c>
      <c r="P84" s="33">
        <v>-380.95000000000005</v>
      </c>
      <c r="Q84" s="33">
        <v>0</v>
      </c>
      <c r="R84" s="33">
        <v>-55.1</v>
      </c>
      <c r="S84" s="33">
        <f>SUM(_24[[#This Row],[2024-01]:[2024-12]])</f>
        <v>-827.06000000000006</v>
      </c>
    </row>
    <row r="85" spans="1:19" x14ac:dyDescent="0.3">
      <c r="A85" s="18" t="str">
        <f t="shared" si="3"/>
        <v>Koszty</v>
      </c>
      <c r="B85" s="57" t="s">
        <v>236</v>
      </c>
      <c r="C85" s="57" t="str">
        <f>_xlfn.XLOOKUP(E85,'25 RZiS Zmapowane P+'!$E$2:$E$111,'25 RZiS Zmapowane P+'!$C$2:$C$111,0)</f>
        <v>IV. Inne</v>
      </c>
      <c r="D85" s="32">
        <v>60503010</v>
      </c>
      <c r="E85" s="22" t="s">
        <v>160</v>
      </c>
      <c r="F85" s="22" t="s">
        <v>8</v>
      </c>
      <c r="G85" s="33">
        <v>0</v>
      </c>
      <c r="H85" s="33">
        <v>0</v>
      </c>
      <c r="I85" s="33">
        <v>85.98</v>
      </c>
      <c r="J85" s="33">
        <v>15.719999999999999</v>
      </c>
      <c r="K85" s="33">
        <v>0</v>
      </c>
      <c r="L85" s="33">
        <v>0.11999999999999034</v>
      </c>
      <c r="M85" s="33">
        <v>185.76</v>
      </c>
      <c r="N85" s="33">
        <v>0</v>
      </c>
      <c r="O85" s="33">
        <v>0</v>
      </c>
      <c r="P85" s="33">
        <v>2.9499999999999886</v>
      </c>
      <c r="Q85" s="33">
        <v>683.28</v>
      </c>
      <c r="R85" s="33">
        <v>12.88</v>
      </c>
      <c r="S85" s="33">
        <f>SUM(_24[[#This Row],[2024-01]:[2024-12]])</f>
        <v>986.68999999999994</v>
      </c>
    </row>
    <row r="86" spans="1:19" x14ac:dyDescent="0.3">
      <c r="A86" s="18" t="str">
        <f t="shared" si="3"/>
        <v>Koszty</v>
      </c>
      <c r="B86" s="57" t="s">
        <v>236</v>
      </c>
      <c r="C86" s="57" t="str">
        <f>_xlfn.XLOOKUP(E86,'25 RZiS Zmapowane P+'!$E$2:$E$111,'25 RZiS Zmapowane P+'!$C$2:$C$111,0)</f>
        <v>IV. Inne</v>
      </c>
      <c r="D86" s="32">
        <v>60508010</v>
      </c>
      <c r="E86" s="22" t="s">
        <v>161</v>
      </c>
      <c r="F86" s="22" t="s">
        <v>8</v>
      </c>
      <c r="G86" s="33">
        <v>0</v>
      </c>
      <c r="H86" s="33">
        <v>11.97</v>
      </c>
      <c r="I86" s="33">
        <v>38.22</v>
      </c>
      <c r="J86" s="33">
        <v>214.94</v>
      </c>
      <c r="K86" s="33">
        <v>-7118.3</v>
      </c>
      <c r="L86" s="33">
        <v>0</v>
      </c>
      <c r="M86" s="33">
        <v>44.380000000000109</v>
      </c>
      <c r="N86" s="33">
        <v>-544.48999999999978</v>
      </c>
      <c r="O86" s="33">
        <v>0</v>
      </c>
      <c r="P86" s="33">
        <v>0</v>
      </c>
      <c r="Q86" s="33">
        <v>3.98</v>
      </c>
      <c r="R86" s="33">
        <v>-921.17000000000007</v>
      </c>
      <c r="S86" s="33">
        <f>SUM(_24[[#This Row],[2024-01]:[2024-12]])</f>
        <v>-8270.4700000000012</v>
      </c>
    </row>
    <row r="87" spans="1:19" x14ac:dyDescent="0.3">
      <c r="A87" s="18" t="str">
        <f t="shared" si="3"/>
        <v>Koszty</v>
      </c>
      <c r="B87" s="57" t="s">
        <v>236</v>
      </c>
      <c r="C87" s="57" t="str">
        <f>_xlfn.XLOOKUP(E87,'25 RZiS Zmapowane P+'!$E$2:$E$111,'25 RZiS Zmapowane P+'!$C$2:$C$111,0)</f>
        <v>IV. Inne</v>
      </c>
      <c r="D87" s="32">
        <v>60509010</v>
      </c>
      <c r="E87" s="22" t="s">
        <v>162</v>
      </c>
      <c r="F87" s="22" t="s">
        <v>8</v>
      </c>
      <c r="G87" s="33">
        <v>59.04</v>
      </c>
      <c r="H87" s="33">
        <v>0</v>
      </c>
      <c r="I87" s="33">
        <v>0</v>
      </c>
      <c r="J87" s="33">
        <v>2.3500000000000014</v>
      </c>
      <c r="K87" s="33">
        <v>1962</v>
      </c>
      <c r="L87" s="33">
        <v>0</v>
      </c>
      <c r="M87" s="33">
        <v>0</v>
      </c>
      <c r="N87" s="33">
        <v>9.9999999999909051E-3</v>
      </c>
      <c r="O87" s="33">
        <v>0</v>
      </c>
      <c r="P87" s="33">
        <v>36.440000000000055</v>
      </c>
      <c r="Q87" s="33">
        <v>3.45</v>
      </c>
      <c r="R87" s="33">
        <v>32.67</v>
      </c>
      <c r="S87" s="33">
        <f>SUM(_24[[#This Row],[2024-01]:[2024-12]])</f>
        <v>2095.96</v>
      </c>
    </row>
    <row r="88" spans="1:19" x14ac:dyDescent="0.3">
      <c r="A88" s="18" t="str">
        <f t="shared" si="3"/>
        <v>Koszty</v>
      </c>
      <c r="B88" s="57" t="s">
        <v>236</v>
      </c>
      <c r="C88" s="57" t="str">
        <f>_xlfn.XLOOKUP(E88,'25 RZiS Zmapowane P+'!$E$2:$E$111,'25 RZiS Zmapowane P+'!$C$2:$C$111,0)</f>
        <v>IV. Inne</v>
      </c>
      <c r="D88" s="32">
        <v>60509211</v>
      </c>
      <c r="E88" s="22" t="s">
        <v>163</v>
      </c>
      <c r="F88" s="22" t="s">
        <v>8</v>
      </c>
      <c r="G88" s="33">
        <v>0</v>
      </c>
      <c r="H88" s="33">
        <v>0</v>
      </c>
      <c r="I88" s="33">
        <v>258.49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580.75</v>
      </c>
      <c r="Q88" s="33">
        <v>11.29</v>
      </c>
      <c r="R88" s="33">
        <v>-3426.74</v>
      </c>
      <c r="S88" s="33">
        <f>SUM(_24[[#This Row],[2024-01]:[2024-12]])</f>
        <v>-2576.21</v>
      </c>
    </row>
    <row r="89" spans="1:19" x14ac:dyDescent="0.3">
      <c r="A89" s="18" t="str">
        <f t="shared" si="3"/>
        <v>Koszty</v>
      </c>
      <c r="B89" s="57" t="s">
        <v>232</v>
      </c>
      <c r="C89" s="57" t="str">
        <f>_xlfn.XLOOKUP(E89,'25 RZiS Zmapowane P+'!$E$2:$E$111,'25 RZiS Zmapowane P+'!$C$2:$C$111,0)</f>
        <v>I. Amortyzacja</v>
      </c>
      <c r="D89" s="32">
        <v>61000000</v>
      </c>
      <c r="E89" s="22" t="s">
        <v>13</v>
      </c>
      <c r="F89" s="22" t="s">
        <v>8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8338.5</v>
      </c>
      <c r="R89" s="33">
        <v>926.5</v>
      </c>
      <c r="S89" s="33">
        <f>SUM(_24[[#This Row],[2024-01]:[2024-12]])</f>
        <v>9265</v>
      </c>
    </row>
    <row r="90" spans="1:19" x14ac:dyDescent="0.3">
      <c r="A90" s="18" t="str">
        <f t="shared" si="3"/>
        <v>Koszty</v>
      </c>
      <c r="B90" s="57" t="s">
        <v>232</v>
      </c>
      <c r="C90" s="57" t="str">
        <f>_xlfn.XLOOKUP(E90,'25 RZiS Zmapowane P+'!$E$2:$E$111,'25 RZiS Zmapowane P+'!$C$2:$C$111,0)</f>
        <v>I. Amortyzacja</v>
      </c>
      <c r="D90" s="32">
        <v>61502000</v>
      </c>
      <c r="E90" s="22" t="s">
        <v>14</v>
      </c>
      <c r="F90" s="22" t="s">
        <v>8</v>
      </c>
      <c r="G90" s="33">
        <v>17326.2</v>
      </c>
      <c r="H90" s="33">
        <v>0</v>
      </c>
      <c r="I90" s="33">
        <v>34652.410000000003</v>
      </c>
      <c r="J90" s="33">
        <v>17326.199999999997</v>
      </c>
      <c r="K90" s="33">
        <v>17326.199999999997</v>
      </c>
      <c r="L90" s="33">
        <v>17326.210000000006</v>
      </c>
      <c r="M90" s="33">
        <v>0</v>
      </c>
      <c r="N90" s="33">
        <v>34652.410000000003</v>
      </c>
      <c r="O90" s="33">
        <v>0</v>
      </c>
      <c r="P90" s="33">
        <v>34652.419999999984</v>
      </c>
      <c r="Q90" s="33">
        <v>17326.2</v>
      </c>
      <c r="R90" s="33">
        <v>17326.2</v>
      </c>
      <c r="S90" s="33">
        <f>SUM(_24[[#This Row],[2024-01]:[2024-12]])</f>
        <v>207914.45</v>
      </c>
    </row>
    <row r="91" spans="1:19" x14ac:dyDescent="0.3">
      <c r="A91" s="18" t="str">
        <f t="shared" si="3"/>
        <v>Koszty</v>
      </c>
      <c r="B91" s="57" t="s">
        <v>232</v>
      </c>
      <c r="C91" s="57" t="str">
        <f>_xlfn.XLOOKUP(E91,'25 RZiS Zmapowane P+'!$E$2:$E$111,'25 RZiS Zmapowane P+'!$C$2:$C$111,0)</f>
        <v>I. Amortyzacja</v>
      </c>
      <c r="D91" s="32">
        <v>61504000</v>
      </c>
      <c r="E91" s="22" t="s">
        <v>15</v>
      </c>
      <c r="F91" s="22" t="s">
        <v>8</v>
      </c>
      <c r="G91" s="33">
        <v>313.45999999999998</v>
      </c>
      <c r="H91" s="33">
        <v>0</v>
      </c>
      <c r="I91" s="33">
        <v>626.91000000000008</v>
      </c>
      <c r="J91" s="33">
        <v>313.45999999999992</v>
      </c>
      <c r="K91" s="33">
        <v>313.45000000000005</v>
      </c>
      <c r="L91" s="33">
        <v>313.45000000000005</v>
      </c>
      <c r="M91" s="33">
        <v>0</v>
      </c>
      <c r="N91" s="33">
        <v>626.92000000000007</v>
      </c>
      <c r="O91" s="33">
        <v>0</v>
      </c>
      <c r="P91" s="33">
        <v>626.92000000000007</v>
      </c>
      <c r="Q91" s="33">
        <v>313.45</v>
      </c>
      <c r="R91" s="33">
        <v>313.45999999999998</v>
      </c>
      <c r="S91" s="33">
        <f>SUM(_24[[#This Row],[2024-01]:[2024-12]])</f>
        <v>3761.48</v>
      </c>
    </row>
    <row r="92" spans="1:19" x14ac:dyDescent="0.3">
      <c r="A92" s="18" t="str">
        <f t="shared" si="3"/>
        <v>Koszty</v>
      </c>
      <c r="B92" s="57" t="s">
        <v>232</v>
      </c>
      <c r="C92" s="57" t="str">
        <f>_xlfn.XLOOKUP(E92,'25 RZiS Zmapowane P+'!$E$2:$E$111,'25 RZiS Zmapowane P+'!$C$2:$C$111,0)</f>
        <v>I. Amortyzacja</v>
      </c>
      <c r="D92" s="32">
        <v>61508000</v>
      </c>
      <c r="E92" s="22" t="s">
        <v>16</v>
      </c>
      <c r="F92" s="22" t="s">
        <v>8</v>
      </c>
      <c r="G92" s="33">
        <v>28679.49</v>
      </c>
      <c r="H92" s="33">
        <v>0</v>
      </c>
      <c r="I92" s="33">
        <v>38074.31</v>
      </c>
      <c r="J92" s="33">
        <v>47300.479999999996</v>
      </c>
      <c r="K92" s="33">
        <v>50435.97</v>
      </c>
      <c r="L92" s="33">
        <v>36086.98000000001</v>
      </c>
      <c r="M92" s="33">
        <v>0</v>
      </c>
      <c r="N92" s="33">
        <v>44473.069999999978</v>
      </c>
      <c r="O92" s="33">
        <v>0</v>
      </c>
      <c r="P92" s="33">
        <v>52577.820000000007</v>
      </c>
      <c r="Q92" s="33">
        <v>4082.85</v>
      </c>
      <c r="R92" s="33">
        <v>36848.6</v>
      </c>
      <c r="S92" s="33">
        <f>SUM(_24[[#This Row],[2024-01]:[2024-12]])</f>
        <v>338559.56999999995</v>
      </c>
    </row>
    <row r="93" spans="1:19" x14ac:dyDescent="0.3">
      <c r="A93" s="18" t="str">
        <f t="shared" si="3"/>
        <v>Koszty</v>
      </c>
      <c r="B93" s="57" t="s">
        <v>232</v>
      </c>
      <c r="C93" s="57" t="str">
        <f>_xlfn.XLOOKUP(E93,'25 RZiS Zmapowane P+'!$E$2:$E$111,'25 RZiS Zmapowane P+'!$C$2:$C$111,0)</f>
        <v>I. Amortyzacja</v>
      </c>
      <c r="D93" s="32">
        <v>61512000</v>
      </c>
      <c r="E93" s="22" t="s">
        <v>17</v>
      </c>
      <c r="F93" s="22" t="s">
        <v>8</v>
      </c>
      <c r="G93" s="33">
        <v>583.65</v>
      </c>
      <c r="H93" s="33">
        <v>0</v>
      </c>
      <c r="I93" s="33">
        <v>1663.7799999999997</v>
      </c>
      <c r="J93" s="33">
        <v>966.21</v>
      </c>
      <c r="K93" s="33">
        <v>704.71</v>
      </c>
      <c r="L93" s="33">
        <v>10375.18</v>
      </c>
      <c r="M93" s="33">
        <v>0</v>
      </c>
      <c r="N93" s="33">
        <v>4595.9699999999993</v>
      </c>
      <c r="O93" s="33">
        <v>0</v>
      </c>
      <c r="P93" s="33">
        <v>4042.3199999999997</v>
      </c>
      <c r="Q93" s="33">
        <v>2021.17</v>
      </c>
      <c r="R93" s="33">
        <v>2021.14</v>
      </c>
      <c r="S93" s="33">
        <f>SUM(_24[[#This Row],[2024-01]:[2024-12]])</f>
        <v>26974.129999999997</v>
      </c>
    </row>
    <row r="94" spans="1:19" x14ac:dyDescent="0.3">
      <c r="A94" s="18" t="str">
        <f t="shared" si="3"/>
        <v>Koszty</v>
      </c>
      <c r="B94" s="57" t="s">
        <v>232</v>
      </c>
      <c r="C94" s="57" t="str">
        <f>_xlfn.XLOOKUP(E94,'25 RZiS Zmapowane P+'!$E$2:$E$111,'25 RZiS Zmapowane P+'!$C$2:$C$111,0)</f>
        <v>I. Amortyzacja</v>
      </c>
      <c r="D94" s="32">
        <v>61518000</v>
      </c>
      <c r="E94" s="22" t="s">
        <v>18</v>
      </c>
      <c r="F94" s="22" t="s">
        <v>8</v>
      </c>
      <c r="G94" s="33">
        <v>22857.32</v>
      </c>
      <c r="H94" s="33">
        <v>0</v>
      </c>
      <c r="I94" s="33">
        <v>45714.6</v>
      </c>
      <c r="J94" s="33">
        <v>22857.259999999995</v>
      </c>
      <c r="K94" s="33">
        <v>19036.950000000012</v>
      </c>
      <c r="L94" s="33">
        <v>19036.949999999997</v>
      </c>
      <c r="M94" s="33">
        <v>0</v>
      </c>
      <c r="N94" s="33">
        <v>38073.86</v>
      </c>
      <c r="O94" s="33">
        <v>0</v>
      </c>
      <c r="P94" s="33">
        <v>36769.31</v>
      </c>
      <c r="Q94" s="33">
        <v>16100.98</v>
      </c>
      <c r="R94" s="33">
        <v>12843.080000000013</v>
      </c>
      <c r="S94" s="33">
        <f>SUM(_24[[#This Row],[2024-01]:[2024-12]])</f>
        <v>233290.31000000003</v>
      </c>
    </row>
    <row r="95" spans="1:19" x14ac:dyDescent="0.3">
      <c r="A95" s="18" t="str">
        <f t="shared" si="3"/>
        <v>Przychody</v>
      </c>
      <c r="B95" s="57" t="s">
        <v>233</v>
      </c>
      <c r="C95" s="57" t="str">
        <f>_xlfn.XLOOKUP(E95,'25 RZiS Zmapowane P+'!$E$2:$E$111,'25 RZiS Zmapowane P+'!$C$2:$C$111,0)</f>
        <v>I. Zysk z tytułu rozchodu niefinansowych aktywów trwałych</v>
      </c>
      <c r="D95" s="32">
        <v>62502000</v>
      </c>
      <c r="E95" s="22" t="s">
        <v>164</v>
      </c>
      <c r="F95" s="22" t="s">
        <v>8</v>
      </c>
      <c r="G95" s="33">
        <v>0</v>
      </c>
      <c r="H95" s="33">
        <v>0</v>
      </c>
      <c r="I95" s="33">
        <v>4.0599999999999996</v>
      </c>
      <c r="J95" s="33">
        <v>0</v>
      </c>
      <c r="K95" s="33">
        <v>11.370000000000001</v>
      </c>
      <c r="L95" s="33">
        <v>1241.45</v>
      </c>
      <c r="M95" s="33">
        <v>52195.130000000005</v>
      </c>
      <c r="N95" s="33">
        <v>382.2699999999968</v>
      </c>
      <c r="O95" s="33">
        <v>60715.45</v>
      </c>
      <c r="P95" s="33">
        <v>20.320000000006985</v>
      </c>
      <c r="Q95" s="33">
        <v>3.25</v>
      </c>
      <c r="R95" s="33">
        <v>56.91</v>
      </c>
      <c r="S95" s="33">
        <f>SUM(_24[[#This Row],[2024-01]:[2024-12]])</f>
        <v>114630.21</v>
      </c>
    </row>
    <row r="96" spans="1:19" x14ac:dyDescent="0.3">
      <c r="A96" s="18" t="str">
        <f t="shared" si="3"/>
        <v>Przychody</v>
      </c>
      <c r="B96" s="57" t="s">
        <v>233</v>
      </c>
      <c r="C96" s="57" t="str">
        <f>_xlfn.XLOOKUP(E96,'25 RZiS Zmapowane P+'!$E$2:$E$111,'25 RZiS Zmapowane P+'!$C$2:$C$111,0)</f>
        <v>I. Zysk z tytułu rozchodu niefinansowych aktywów trwałych</v>
      </c>
      <c r="D96" s="32">
        <v>62503000</v>
      </c>
      <c r="E96" s="22" t="s">
        <v>165</v>
      </c>
      <c r="F96" s="22" t="s">
        <v>8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-13031.63</v>
      </c>
      <c r="S96" s="33">
        <f>SUM(_24[[#This Row],[2024-01]:[2024-12]])</f>
        <v>-13031.63</v>
      </c>
    </row>
    <row r="97" spans="1:19" x14ac:dyDescent="0.3">
      <c r="A97" s="18" t="str">
        <f t="shared" si="3"/>
        <v>Przychody</v>
      </c>
      <c r="B97" s="57" t="s">
        <v>235</v>
      </c>
      <c r="C97" s="57" t="str">
        <f>_xlfn.XLOOKUP(E97,'25 RZiS Zmapowane P+'!$E$2:$E$111,'25 RZiS Zmapowane P+'!$C$2:$C$111,0)</f>
        <v>I. Dywidendy i udziały w zyskach, w tym:</v>
      </c>
      <c r="D97" s="32">
        <v>64510000</v>
      </c>
      <c r="E97" s="22" t="s">
        <v>166</v>
      </c>
      <c r="F97" s="22" t="s">
        <v>8</v>
      </c>
      <c r="G97" s="33">
        <v>2.4900000000000002</v>
      </c>
      <c r="H97" s="33">
        <v>0</v>
      </c>
      <c r="I97" s="33">
        <v>0</v>
      </c>
      <c r="J97" s="33">
        <v>63.949999999999996</v>
      </c>
      <c r="K97" s="33">
        <v>135.03</v>
      </c>
      <c r="L97" s="33">
        <v>0</v>
      </c>
      <c r="M97" s="33">
        <v>0</v>
      </c>
      <c r="N97" s="33">
        <v>0</v>
      </c>
      <c r="O97" s="33">
        <v>0</v>
      </c>
      <c r="P97" s="33">
        <v>49.28</v>
      </c>
      <c r="Q97" s="33">
        <v>79.900000000000006</v>
      </c>
      <c r="R97" s="33">
        <v>31.98</v>
      </c>
      <c r="S97" s="33">
        <f>SUM(_24[[#This Row],[2024-01]:[2024-12]])</f>
        <v>362.63</v>
      </c>
    </row>
    <row r="98" spans="1:19" x14ac:dyDescent="0.3">
      <c r="A98" s="18" t="str">
        <f t="shared" si="3"/>
        <v>Koszty</v>
      </c>
      <c r="B98" s="57" t="s">
        <v>236</v>
      </c>
      <c r="C98" s="57" t="str">
        <f>_xlfn.XLOOKUP(E98,'25 RZiS Zmapowane P+'!$E$2:$E$111,'25 RZiS Zmapowane P+'!$C$2:$C$111,0)</f>
        <v>I. Odsetki, w tym:</v>
      </c>
      <c r="D98" s="32">
        <v>65016000</v>
      </c>
      <c r="E98" s="22" t="s">
        <v>167</v>
      </c>
      <c r="F98" s="22" t="s">
        <v>8</v>
      </c>
      <c r="G98" s="33">
        <v>12.22</v>
      </c>
      <c r="H98" s="33">
        <v>-8.9500000000000011</v>
      </c>
      <c r="I98" s="33">
        <v>541.1</v>
      </c>
      <c r="J98" s="33">
        <v>8.92999999999995</v>
      </c>
      <c r="K98" s="33">
        <v>25.210000000000036</v>
      </c>
      <c r="L98" s="33">
        <v>21.159999999999968</v>
      </c>
      <c r="M98" s="33">
        <v>35.139999999999986</v>
      </c>
      <c r="N98" s="33">
        <v>7.1900000000000546</v>
      </c>
      <c r="O98" s="33">
        <v>1213.22</v>
      </c>
      <c r="P98" s="33">
        <v>44.399999999999864</v>
      </c>
      <c r="Q98" s="33">
        <v>0.82000000000000006</v>
      </c>
      <c r="R98" s="33">
        <v>211.65</v>
      </c>
      <c r="S98" s="33">
        <f>SUM(_24[[#This Row],[2024-01]:[2024-12]])</f>
        <v>2112.0899999999997</v>
      </c>
    </row>
    <row r="99" spans="1:19" x14ac:dyDescent="0.3">
      <c r="A99" s="18" t="str">
        <f t="shared" si="3"/>
        <v>Koszty</v>
      </c>
      <c r="B99" s="57" t="s">
        <v>232</v>
      </c>
      <c r="C99" s="57" t="str">
        <f>_xlfn.XLOOKUP(E99,'25 RZiS Zmapowane P+'!$E$2:$E$111,'25 RZiS Zmapowane P+'!$C$2:$C$111,0)</f>
        <v>III. Usługi obce</v>
      </c>
      <c r="D99" s="32">
        <v>65518000</v>
      </c>
      <c r="E99" s="22" t="s">
        <v>61</v>
      </c>
      <c r="F99" s="22" t="s">
        <v>8</v>
      </c>
      <c r="G99" s="33">
        <v>1927.54</v>
      </c>
      <c r="H99" s="33">
        <v>2082.39</v>
      </c>
      <c r="I99" s="33">
        <v>1331.0900000000006</v>
      </c>
      <c r="J99" s="33">
        <v>2300.2299999999996</v>
      </c>
      <c r="K99" s="33">
        <v>1808.8099999999995</v>
      </c>
      <c r="L99" s="33">
        <v>1454.9700000000012</v>
      </c>
      <c r="M99" s="33">
        <v>2932.619999999999</v>
      </c>
      <c r="N99" s="33">
        <v>1500</v>
      </c>
      <c r="O99" s="33">
        <v>1280.7600000000002</v>
      </c>
      <c r="P99" s="33">
        <v>2111.2400000000016</v>
      </c>
      <c r="Q99" s="33">
        <v>2645.9700000000098</v>
      </c>
      <c r="R99" s="33">
        <v>2107.5000000000082</v>
      </c>
      <c r="S99" s="33">
        <f>SUM(_24[[#This Row],[2024-01]:[2024-12]])</f>
        <v>23483.120000000017</v>
      </c>
    </row>
    <row r="100" spans="1:19" x14ac:dyDescent="0.3">
      <c r="A100" s="18" t="str">
        <f t="shared" si="3"/>
        <v>Koszty</v>
      </c>
      <c r="B100" s="57" t="s">
        <v>236</v>
      </c>
      <c r="C100" s="57" t="str">
        <f>_xlfn.XLOOKUP(E100,'25 RZiS Zmapowane P+'!$E$2:$E$111,'25 RZiS Zmapowane P+'!$C$2:$C$111,0)</f>
        <v>IV. Inne</v>
      </c>
      <c r="D100" s="32">
        <v>65528010</v>
      </c>
      <c r="E100" s="22" t="s">
        <v>168</v>
      </c>
      <c r="F100" s="22" t="s">
        <v>8</v>
      </c>
      <c r="G100" s="33">
        <v>-0.01</v>
      </c>
      <c r="H100" s="33">
        <v>-0.01</v>
      </c>
      <c r="I100" s="33">
        <v>0</v>
      </c>
      <c r="J100" s="33">
        <v>0</v>
      </c>
      <c r="K100" s="33">
        <v>-548.1</v>
      </c>
      <c r="L100" s="33">
        <v>0</v>
      </c>
      <c r="M100" s="33">
        <v>-9.9999999999909051E-3</v>
      </c>
      <c r="N100" s="33">
        <v>0</v>
      </c>
      <c r="O100" s="33">
        <v>0</v>
      </c>
      <c r="P100" s="33">
        <v>-9.9999999999909051E-3</v>
      </c>
      <c r="Q100" s="33">
        <v>0</v>
      </c>
      <c r="R100" s="33">
        <v>-0.01</v>
      </c>
      <c r="S100" s="33">
        <f>SUM(_24[[#This Row],[2024-01]:[2024-12]])</f>
        <v>-548.15</v>
      </c>
    </row>
    <row r="101" spans="1:19" x14ac:dyDescent="0.3">
      <c r="A101" s="18" t="str">
        <f t="shared" si="3"/>
        <v>Koszty</v>
      </c>
      <c r="B101" s="57" t="s">
        <v>236</v>
      </c>
      <c r="C101" s="57" t="str">
        <f>_xlfn.XLOOKUP(E101,'25 RZiS Zmapowane P+'!$E$2:$E$111,'25 RZiS Zmapowane P+'!$C$2:$C$111,0)</f>
        <v>IV. Inne</v>
      </c>
      <c r="D101" s="32">
        <v>65528110</v>
      </c>
      <c r="E101" s="22" t="s">
        <v>169</v>
      </c>
      <c r="F101" s="22" t="s">
        <v>8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f>SUM(_24[[#This Row],[2024-01]:[2024-12]])</f>
        <v>0</v>
      </c>
    </row>
    <row r="102" spans="1:19" x14ac:dyDescent="0.3">
      <c r="A102" s="18" t="str">
        <f t="shared" si="3"/>
        <v>Koszty</v>
      </c>
      <c r="B102" s="57" t="s">
        <v>237</v>
      </c>
      <c r="C102" s="7"/>
      <c r="D102" s="32">
        <v>70000000</v>
      </c>
      <c r="E102" s="22" t="s">
        <v>170</v>
      </c>
      <c r="F102" s="22" t="s">
        <v>8</v>
      </c>
      <c r="G102" s="33">
        <v>0</v>
      </c>
      <c r="H102" s="33">
        <v>83990</v>
      </c>
      <c r="I102" s="33">
        <v>83990</v>
      </c>
      <c r="J102" s="33">
        <v>83990</v>
      </c>
      <c r="K102" s="33">
        <v>413010.75</v>
      </c>
      <c r="L102" s="33">
        <v>83990</v>
      </c>
      <c r="M102" s="33">
        <v>83990</v>
      </c>
      <c r="N102" s="33">
        <v>83990</v>
      </c>
      <c r="O102" s="33">
        <v>83990</v>
      </c>
      <c r="P102" s="33">
        <v>374175.12000000011</v>
      </c>
      <c r="Q102" s="33">
        <v>83990</v>
      </c>
      <c r="R102" s="33">
        <v>-1081873.26</v>
      </c>
      <c r="S102" s="33">
        <f>SUM(_24[[#This Row],[2024-01]:[2024-12]])</f>
        <v>377232.6100000001</v>
      </c>
    </row>
    <row r="103" spans="1:19" x14ac:dyDescent="0.3">
      <c r="A103" s="18" t="str">
        <f t="shared" si="3"/>
        <v>Przychody</v>
      </c>
      <c r="B103" s="57" t="s">
        <v>231</v>
      </c>
      <c r="C103" s="57" t="str">
        <f>_xlfn.XLOOKUP(E103,'25 RZiS Zmapowane P+'!$E$2:$E$111,'25 RZiS Zmapowane P+'!$C$2:$C$111,0)</f>
        <v>I. Przychody netto ze sprzedaży produktów</v>
      </c>
      <c r="D103" s="32">
        <v>44006000</v>
      </c>
      <c r="E103" s="22" t="s">
        <v>11</v>
      </c>
      <c r="F103" s="22" t="s">
        <v>8</v>
      </c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>
        <v>-340.23</v>
      </c>
      <c r="R103" s="33">
        <v>0</v>
      </c>
      <c r="S103" s="33">
        <f>SUM(_24[[#This Row],[2024-01]:[2024-12]])</f>
        <v>-340.23</v>
      </c>
    </row>
    <row r="104" spans="1:19" x14ac:dyDescent="0.3">
      <c r="A104" s="58"/>
      <c r="B104" s="59" t="s">
        <v>520</v>
      </c>
      <c r="C104" s="59"/>
      <c r="D104" s="60"/>
      <c r="E104" s="62"/>
      <c r="F104" s="62"/>
      <c r="G104" s="33">
        <f t="shared" ref="G104:R104" si="4">SUMIF($B$3:$B$107,"A. Przychody netto ze sprzedaży i zrównane z nimi, w tym:",G3:G107) - SUMIF($B$3:$B$107,"B. Koszty działalności operacyjnej",G3:G107)</f>
        <v>376375.95000000019</v>
      </c>
      <c r="H104" s="33">
        <f t="shared" si="4"/>
        <v>520778.51000000024</v>
      </c>
      <c r="I104" s="33">
        <f t="shared" si="4"/>
        <v>314197.74999999977</v>
      </c>
      <c r="J104" s="33">
        <f t="shared" si="4"/>
        <v>71175.79999999993</v>
      </c>
      <c r="K104" s="33">
        <f t="shared" si="4"/>
        <v>-1376572.4400000009</v>
      </c>
      <c r="L104" s="33">
        <f t="shared" si="4"/>
        <v>-499558.88000000012</v>
      </c>
      <c r="M104" s="33">
        <f t="shared" si="4"/>
        <v>740299.72999999975</v>
      </c>
      <c r="N104" s="33">
        <f t="shared" si="4"/>
        <v>1210295.4900000002</v>
      </c>
      <c r="O104" s="33">
        <f t="shared" si="4"/>
        <v>-1190982.0599999996</v>
      </c>
      <c r="P104" s="33">
        <f t="shared" si="4"/>
        <v>-36205.160000000382</v>
      </c>
      <c r="Q104" s="33">
        <f t="shared" si="4"/>
        <v>32551.580000000307</v>
      </c>
      <c r="R104" s="33">
        <f t="shared" si="4"/>
        <v>88619.840000000317</v>
      </c>
      <c r="S104" s="33">
        <f>SUM(_24[[#This Row],[2024-01]:[2024-12]])</f>
        <v>250976.10999999987</v>
      </c>
    </row>
    <row r="105" spans="1:19" x14ac:dyDescent="0.3">
      <c r="A105" s="58"/>
      <c r="B105" s="59" t="s">
        <v>521</v>
      </c>
      <c r="C105" s="59"/>
      <c r="D105" s="61"/>
      <c r="E105" s="62"/>
      <c r="F105" s="62"/>
      <c r="G105" s="33">
        <f t="shared" ref="G105:R105" si="5">G104 + SUMIF($B$3:$B$107,"D. Pozostałe przychody operacyjne",G3:G107) - SUMIF($B$3:$B$107,"E. Pozostałe koszty operacyjne",G3:G107)</f>
        <v>379992.20000000019</v>
      </c>
      <c r="H105" s="33">
        <f t="shared" si="5"/>
        <v>524248.56000000023</v>
      </c>
      <c r="I105" s="33">
        <f t="shared" si="5"/>
        <v>314475.31999999977</v>
      </c>
      <c r="J105" s="33">
        <f t="shared" si="5"/>
        <v>77587.899999999936</v>
      </c>
      <c r="K105" s="33">
        <f t="shared" si="5"/>
        <v>-1380468.0700000008</v>
      </c>
      <c r="L105" s="33">
        <f t="shared" si="5"/>
        <v>-290792.90000000014</v>
      </c>
      <c r="M105" s="33">
        <f t="shared" si="5"/>
        <v>787323.85999999975</v>
      </c>
      <c r="N105" s="33">
        <f t="shared" si="5"/>
        <v>1219868.3400000003</v>
      </c>
      <c r="O105" s="33">
        <f t="shared" si="5"/>
        <v>-1126375.6399999997</v>
      </c>
      <c r="P105" s="33">
        <f t="shared" si="5"/>
        <v>74223.739999999627</v>
      </c>
      <c r="Q105" s="33">
        <f t="shared" si="5"/>
        <v>33160.990000000311</v>
      </c>
      <c r="R105" s="33">
        <f t="shared" si="5"/>
        <v>100759.51000000031</v>
      </c>
      <c r="S105" s="33">
        <f>SUM(_24[[#This Row],[2024-01]:[2024-12]])</f>
        <v>714003.81000000017</v>
      </c>
    </row>
    <row r="106" spans="1:19" x14ac:dyDescent="0.3">
      <c r="A106" s="58"/>
      <c r="B106" s="59" t="s">
        <v>522</v>
      </c>
      <c r="C106" s="59"/>
      <c r="D106" s="61"/>
      <c r="E106" s="62"/>
      <c r="F106" s="62"/>
      <c r="G106" s="33">
        <f t="shared" ref="G106:R106" si="6">G105 + SUMIF($B$3:$B$107,"G. Przychody finansowe",G3:G107) - SUMIF($B$3:$B$107,"H. Koszty finansowe",G3:G107)</f>
        <v>379978.41000000015</v>
      </c>
      <c r="H106" s="33">
        <f t="shared" si="6"/>
        <v>524432.24000000022</v>
      </c>
      <c r="I106" s="33">
        <f t="shared" si="6"/>
        <v>313492.03999999975</v>
      </c>
      <c r="J106" s="33">
        <f t="shared" si="6"/>
        <v>77414.989999999932</v>
      </c>
      <c r="K106" s="33">
        <f t="shared" si="6"/>
        <v>-1374106.3200000008</v>
      </c>
      <c r="L106" s="33">
        <f t="shared" si="6"/>
        <v>-290811.78000000014</v>
      </c>
      <c r="M106" s="33">
        <f t="shared" si="6"/>
        <v>784525.62999999977</v>
      </c>
      <c r="N106" s="33">
        <f t="shared" si="6"/>
        <v>1220574.7000000004</v>
      </c>
      <c r="O106" s="33">
        <f t="shared" si="6"/>
        <v>-1127588.8599999996</v>
      </c>
      <c r="P106" s="33">
        <f t="shared" si="6"/>
        <v>74135.119999999632</v>
      </c>
      <c r="Q106" s="33">
        <f t="shared" si="6"/>
        <v>32538.070000000313</v>
      </c>
      <c r="R106" s="33">
        <f t="shared" si="6"/>
        <v>104937.31000000032</v>
      </c>
      <c r="S106" s="33">
        <f>SUM(_24[[#This Row],[2024-01]:[2024-12]])</f>
        <v>719521.55</v>
      </c>
    </row>
    <row r="107" spans="1:19" x14ac:dyDescent="0.3">
      <c r="A107" s="58"/>
      <c r="B107" s="59" t="s">
        <v>523</v>
      </c>
      <c r="C107" s="59"/>
      <c r="D107" s="61"/>
      <c r="E107" s="62"/>
      <c r="F107" s="62"/>
      <c r="G107" s="33">
        <f>G113</f>
        <v>379978.41000000015</v>
      </c>
      <c r="H107" s="33">
        <f t="shared" ref="H107:R107" si="7">H113</f>
        <v>440442.24000000022</v>
      </c>
      <c r="I107" s="33">
        <f t="shared" si="7"/>
        <v>229502.0399999998</v>
      </c>
      <c r="J107" s="33">
        <f t="shared" si="7"/>
        <v>-6575.0100000000093</v>
      </c>
      <c r="K107" s="33">
        <f t="shared" si="7"/>
        <v>-1787117.0700000005</v>
      </c>
      <c r="L107" s="33">
        <f t="shared" si="7"/>
        <v>-374801.78000000026</v>
      </c>
      <c r="M107" s="33">
        <f t="shared" si="7"/>
        <v>700535.62999999989</v>
      </c>
      <c r="N107" s="33">
        <f t="shared" si="7"/>
        <v>1136584.7000000002</v>
      </c>
      <c r="O107" s="33">
        <f t="shared" si="7"/>
        <v>-1211578.8599999999</v>
      </c>
      <c r="P107" s="33">
        <f t="shared" si="7"/>
        <v>-300040.00000000047</v>
      </c>
      <c r="Q107" s="33">
        <f>Q113</f>
        <v>-51451.929999999935</v>
      </c>
      <c r="R107" s="33">
        <f t="shared" si="7"/>
        <v>1186810.5700000012</v>
      </c>
      <c r="S107" s="33">
        <f>SUM(_24[[#This Row],[2024-01]:[2024-12]])</f>
        <v>342288.94000000041</v>
      </c>
    </row>
    <row r="108" spans="1:19" x14ac:dyDescent="0.3"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x14ac:dyDescent="0.3"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1:19" x14ac:dyDescent="0.3"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x14ac:dyDescent="0.3">
      <c r="F111" s="22" t="s">
        <v>280</v>
      </c>
      <c r="G111" s="33">
        <f>SUMIF($A$3:$A$103,"Przychody",G3:G103)</f>
        <v>1857517.74</v>
      </c>
      <c r="H111" s="33">
        <f t="shared" ref="H111:R111" si="8">SUMIF($A$3:$A$103,"Przychody",H3:H103)</f>
        <v>1940996.05</v>
      </c>
      <c r="I111" s="33">
        <f t="shared" si="8"/>
        <v>1838831.57</v>
      </c>
      <c r="J111" s="33">
        <f t="shared" si="8"/>
        <v>460060.05</v>
      </c>
      <c r="K111" s="33">
        <f t="shared" si="8"/>
        <v>1521379.4000000001</v>
      </c>
      <c r="L111" s="33">
        <f t="shared" si="8"/>
        <v>1728905.98</v>
      </c>
      <c r="M111" s="33">
        <f t="shared" si="8"/>
        <v>2383682.13</v>
      </c>
      <c r="N111" s="33">
        <f t="shared" si="8"/>
        <v>1645572.85</v>
      </c>
      <c r="O111" s="33">
        <f t="shared" si="8"/>
        <v>1700606.42</v>
      </c>
      <c r="P111" s="33">
        <f t="shared" si="8"/>
        <v>1745478.18</v>
      </c>
      <c r="Q111" s="33">
        <f t="shared" si="8"/>
        <v>1638083.43</v>
      </c>
      <c r="R111" s="33">
        <f t="shared" si="8"/>
        <v>3379785.9300000006</v>
      </c>
      <c r="S111" s="33"/>
    </row>
    <row r="112" spans="1:19" x14ac:dyDescent="0.3">
      <c r="F112" s="22" t="s">
        <v>281</v>
      </c>
      <c r="G112" s="33">
        <f>SUMIF($A$3:$A$103,"Koszty",G3:G103)</f>
        <v>1477539.3299999998</v>
      </c>
      <c r="H112" s="33">
        <f t="shared" ref="H112:R112" si="9">SUMIF($A$3:$A$103,"Koszty",H3:H103)</f>
        <v>1500553.8099999998</v>
      </c>
      <c r="I112" s="33">
        <f t="shared" si="9"/>
        <v>1609329.5300000003</v>
      </c>
      <c r="J112" s="33">
        <f t="shared" si="9"/>
        <v>466635.06</v>
      </c>
      <c r="K112" s="33">
        <f t="shared" si="9"/>
        <v>3308496.4700000007</v>
      </c>
      <c r="L112" s="33">
        <f t="shared" si="9"/>
        <v>2103707.7600000002</v>
      </c>
      <c r="M112" s="33">
        <f t="shared" si="9"/>
        <v>1683146.5</v>
      </c>
      <c r="N112" s="33">
        <f t="shared" si="9"/>
        <v>508988.14999999985</v>
      </c>
      <c r="O112" s="33">
        <f t="shared" si="9"/>
        <v>2912185.28</v>
      </c>
      <c r="P112" s="33">
        <f t="shared" si="9"/>
        <v>2045518.1800000004</v>
      </c>
      <c r="Q112" s="33">
        <f t="shared" si="9"/>
        <v>1689535.3599999999</v>
      </c>
      <c r="R112" s="33">
        <f t="shared" si="9"/>
        <v>2192975.3599999994</v>
      </c>
      <c r="S112" s="33"/>
    </row>
    <row r="113" spans="6:19" x14ac:dyDescent="0.3">
      <c r="F113" s="22" t="s">
        <v>282</v>
      </c>
      <c r="G113" s="33">
        <f>G111-G112</f>
        <v>379978.41000000015</v>
      </c>
      <c r="H113" s="33">
        <f t="shared" ref="H113:P113" si="10">H111-H112</f>
        <v>440442.24000000022</v>
      </c>
      <c r="I113" s="33">
        <f t="shared" si="10"/>
        <v>229502.0399999998</v>
      </c>
      <c r="J113" s="33">
        <f t="shared" si="10"/>
        <v>-6575.0100000000093</v>
      </c>
      <c r="K113" s="33">
        <f t="shared" si="10"/>
        <v>-1787117.0700000005</v>
      </c>
      <c r="L113" s="33">
        <f t="shared" si="10"/>
        <v>-374801.78000000026</v>
      </c>
      <c r="M113" s="33">
        <f t="shared" si="10"/>
        <v>700535.62999999989</v>
      </c>
      <c r="N113" s="33">
        <f t="shared" si="10"/>
        <v>1136584.7000000002</v>
      </c>
      <c r="O113" s="33">
        <f t="shared" si="10"/>
        <v>-1211578.8599999999</v>
      </c>
      <c r="P113" s="33">
        <f t="shared" si="10"/>
        <v>-300040.00000000047</v>
      </c>
      <c r="Q113" s="33">
        <f>Q111-Q112</f>
        <v>-51451.929999999935</v>
      </c>
      <c r="R113" s="33">
        <f>R111-R112</f>
        <v>1186810.5700000012</v>
      </c>
      <c r="S113" s="33">
        <f>SUM(G113:R113)</f>
        <v>342288.94000000041</v>
      </c>
    </row>
    <row r="115" spans="6:19" x14ac:dyDescent="0.3">
      <c r="G115" t="s">
        <v>283</v>
      </c>
      <c r="H115" t="s">
        <v>284</v>
      </c>
      <c r="I115" t="s">
        <v>285</v>
      </c>
      <c r="J115" t="s">
        <v>286</v>
      </c>
      <c r="K115" t="s">
        <v>287</v>
      </c>
      <c r="L115" t="s">
        <v>288</v>
      </c>
      <c r="M115" t="s">
        <v>289</v>
      </c>
      <c r="N115" t="s">
        <v>290</v>
      </c>
      <c r="O115" t="s">
        <v>291</v>
      </c>
      <c r="P115" t="s">
        <v>292</v>
      </c>
      <c r="Q115" t="s">
        <v>293</v>
      </c>
      <c r="R115" t="s">
        <v>294</v>
      </c>
    </row>
  </sheetData>
  <phoneticPr fontId="12" type="noConversion"/>
  <conditionalFormatting sqref="D104:D107">
    <cfRule type="duplicateValues" dxfId="4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7DD5-41FE-4831-A260-A5248E3DDA25}">
  <sheetPr>
    <tabColor rgb="FF00B0F0"/>
  </sheetPr>
  <dimension ref="A1"/>
  <sheetViews>
    <sheetView workbookViewId="0"/>
  </sheetViews>
  <sheetFormatPr defaultRowHeight="14.4" x14ac:dyDescent="0.3"/>
  <sheetData>
    <row r="1" spans="1:1" x14ac:dyDescent="0.3">
      <c r="A1" t="s">
        <v>519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901E-BC2A-49A8-9E6F-B6E3E08ECE35}">
  <sheetPr>
    <tabColor rgb="FF92D050"/>
  </sheetPr>
  <dimension ref="A2:F70"/>
  <sheetViews>
    <sheetView tabSelected="1" topLeftCell="A16" workbookViewId="0">
      <selection activeCell="D31" sqref="D31"/>
    </sheetView>
  </sheetViews>
  <sheetFormatPr defaultRowHeight="14.4" x14ac:dyDescent="0.3"/>
  <cols>
    <col min="1" max="1" width="100.6640625" bestFit="1" customWidth="1"/>
    <col min="2" max="2" width="13.5546875" style="15" bestFit="1" customWidth="1"/>
    <col min="4" max="4" width="12" bestFit="1" customWidth="1"/>
    <col min="5" max="5" width="48.21875" bestFit="1" customWidth="1"/>
    <col min="6" max="6" width="14.21875" bestFit="1" customWidth="1"/>
  </cols>
  <sheetData>
    <row r="2" spans="1:6" x14ac:dyDescent="0.3">
      <c r="A2" s="26" t="s">
        <v>229</v>
      </c>
      <c r="B2" s="15" t="s">
        <v>349</v>
      </c>
      <c r="E2" s="26" t="s">
        <v>229</v>
      </c>
      <c r="F2" t="s">
        <v>349</v>
      </c>
    </row>
    <row r="3" spans="1:6" x14ac:dyDescent="0.3">
      <c r="A3" s="27" t="s">
        <v>317</v>
      </c>
      <c r="B3" s="15">
        <v>7537505.9300000016</v>
      </c>
      <c r="E3" s="27" t="s">
        <v>317</v>
      </c>
      <c r="F3" s="15">
        <v>7537505.9300000016</v>
      </c>
    </row>
    <row r="4" spans="1:6" x14ac:dyDescent="0.3">
      <c r="A4" s="42" t="s">
        <v>316</v>
      </c>
      <c r="B4" s="15">
        <v>7412</v>
      </c>
      <c r="E4" s="42" t="s">
        <v>316</v>
      </c>
      <c r="F4" s="15">
        <v>7412</v>
      </c>
    </row>
    <row r="5" spans="1:6" x14ac:dyDescent="0.3">
      <c r="A5" s="42" t="s">
        <v>340</v>
      </c>
      <c r="B5" s="15">
        <v>6727838.410000002</v>
      </c>
      <c r="E5" s="42" t="s">
        <v>340</v>
      </c>
      <c r="F5" s="15">
        <v>6727838.410000002</v>
      </c>
    </row>
    <row r="6" spans="1:6" x14ac:dyDescent="0.3">
      <c r="A6" s="42" t="s">
        <v>341</v>
      </c>
      <c r="B6" s="15">
        <v>802255.52</v>
      </c>
      <c r="E6" s="42" t="s">
        <v>341</v>
      </c>
      <c r="F6" s="15">
        <v>802255.52</v>
      </c>
    </row>
    <row r="7" spans="1:6" x14ac:dyDescent="0.3">
      <c r="A7" s="27" t="s">
        <v>348</v>
      </c>
      <c r="B7" s="15">
        <v>95670394.510000005</v>
      </c>
      <c r="E7" s="27" t="s">
        <v>348</v>
      </c>
      <c r="F7" s="15">
        <v>95670394.510000005</v>
      </c>
    </row>
    <row r="8" spans="1:6" x14ac:dyDescent="0.3">
      <c r="A8" s="42" t="s">
        <v>342</v>
      </c>
      <c r="B8" s="15">
        <v>95542030.420000002</v>
      </c>
      <c r="E8" s="42" t="s">
        <v>342</v>
      </c>
      <c r="F8" s="15">
        <v>95542030.420000002</v>
      </c>
    </row>
    <row r="9" spans="1:6" x14ac:dyDescent="0.3">
      <c r="A9" s="42" t="s">
        <v>343</v>
      </c>
      <c r="B9" s="15">
        <v>102893.47000000003</v>
      </c>
      <c r="E9" s="42" t="s">
        <v>343</v>
      </c>
      <c r="F9" s="15">
        <v>102893.47000000003</v>
      </c>
    </row>
    <row r="10" spans="1:6" x14ac:dyDescent="0.3">
      <c r="A10" s="42" t="s">
        <v>338</v>
      </c>
      <c r="B10" s="15">
        <v>25470.62</v>
      </c>
      <c r="E10" s="42" t="s">
        <v>338</v>
      </c>
      <c r="F10" s="15">
        <v>25470.62</v>
      </c>
    </row>
    <row r="11" spans="1:6" x14ac:dyDescent="0.3">
      <c r="A11" s="27" t="s">
        <v>346</v>
      </c>
      <c r="B11" s="15">
        <v>2604310.9200000009</v>
      </c>
      <c r="E11" s="27" t="s">
        <v>346</v>
      </c>
      <c r="F11" s="15">
        <v>-2604310.9200000009</v>
      </c>
    </row>
    <row r="12" spans="1:6" x14ac:dyDescent="0.3">
      <c r="A12" s="42" t="s">
        <v>332</v>
      </c>
      <c r="B12" s="15">
        <v>50000</v>
      </c>
      <c r="E12" s="42" t="s">
        <v>332</v>
      </c>
      <c r="F12" s="15">
        <v>-50000</v>
      </c>
    </row>
    <row r="13" spans="1:6" x14ac:dyDescent="0.3">
      <c r="A13" s="63" t="s">
        <v>101</v>
      </c>
      <c r="B13" s="15">
        <v>50000</v>
      </c>
      <c r="E13" s="42" t="s">
        <v>333</v>
      </c>
      <c r="F13" s="15">
        <v>-2229674.58</v>
      </c>
    </row>
    <row r="14" spans="1:6" x14ac:dyDescent="0.3">
      <c r="A14" s="64" t="s">
        <v>524</v>
      </c>
      <c r="B14" s="15">
        <v>50000</v>
      </c>
      <c r="E14" s="42" t="s">
        <v>366</v>
      </c>
      <c r="F14" s="15">
        <v>-324636.34000000102</v>
      </c>
    </row>
    <row r="15" spans="1:6" x14ac:dyDescent="0.3">
      <c r="A15" s="65" t="s">
        <v>524</v>
      </c>
      <c r="B15" s="15">
        <v>50000</v>
      </c>
      <c r="E15" s="27" t="s">
        <v>347</v>
      </c>
      <c r="F15" s="15">
        <v>-100603589.52</v>
      </c>
    </row>
    <row r="16" spans="1:6" x14ac:dyDescent="0.3">
      <c r="A16" s="42" t="s">
        <v>333</v>
      </c>
      <c r="B16" s="15">
        <v>2229674.58</v>
      </c>
      <c r="E16" s="42" t="s">
        <v>344</v>
      </c>
      <c r="F16" s="15">
        <v>-3005996.86</v>
      </c>
    </row>
    <row r="17" spans="1:6" x14ac:dyDescent="0.3">
      <c r="A17" s="42" t="s">
        <v>366</v>
      </c>
      <c r="B17" s="15">
        <v>324636.34000000102</v>
      </c>
      <c r="E17" s="42" t="s">
        <v>345</v>
      </c>
      <c r="F17" s="15">
        <v>-97597592.659999996</v>
      </c>
    </row>
    <row r="18" spans="1:6" x14ac:dyDescent="0.3">
      <c r="A18" s="27" t="s">
        <v>347</v>
      </c>
      <c r="B18" s="15">
        <v>100603589.52</v>
      </c>
      <c r="E18" s="27" t="s">
        <v>230</v>
      </c>
      <c r="F18" s="15">
        <v>0</v>
      </c>
    </row>
    <row r="19" spans="1:6" x14ac:dyDescent="0.3">
      <c r="A19" s="42" t="s">
        <v>344</v>
      </c>
      <c r="B19" s="15">
        <v>3005996.8600000003</v>
      </c>
    </row>
    <row r="20" spans="1:6" x14ac:dyDescent="0.3">
      <c r="A20" s="63" t="s">
        <v>328</v>
      </c>
      <c r="B20" s="15">
        <v>79.17</v>
      </c>
    </row>
    <row r="21" spans="1:6" x14ac:dyDescent="0.3">
      <c r="A21" s="64" t="s">
        <v>361</v>
      </c>
      <c r="B21" s="15">
        <v>79.17</v>
      </c>
    </row>
    <row r="22" spans="1:6" x14ac:dyDescent="0.3">
      <c r="A22" s="65" t="s">
        <v>524</v>
      </c>
      <c r="B22" s="15">
        <v>79.17</v>
      </c>
      <c r="C22" s="15"/>
      <c r="D22" s="15"/>
      <c r="E22" s="15"/>
    </row>
    <row r="23" spans="1:6" x14ac:dyDescent="0.3">
      <c r="A23" s="63" t="s">
        <v>329</v>
      </c>
      <c r="B23" s="15">
        <v>498323</v>
      </c>
      <c r="C23" s="15"/>
      <c r="D23" s="15"/>
      <c r="E23" s="15"/>
    </row>
    <row r="24" spans="1:6" x14ac:dyDescent="0.3">
      <c r="A24" s="64" t="s">
        <v>360</v>
      </c>
      <c r="B24" s="15">
        <v>498323</v>
      </c>
      <c r="C24" s="15"/>
      <c r="D24" s="15"/>
      <c r="E24" s="15"/>
    </row>
    <row r="25" spans="1:6" x14ac:dyDescent="0.3">
      <c r="A25" s="65" t="s">
        <v>524</v>
      </c>
      <c r="B25" s="15">
        <v>498323</v>
      </c>
    </row>
    <row r="26" spans="1:6" x14ac:dyDescent="0.3">
      <c r="A26" s="63" t="s">
        <v>330</v>
      </c>
      <c r="B26" s="15">
        <v>2507594.6900000004</v>
      </c>
    </row>
    <row r="27" spans="1:6" x14ac:dyDescent="0.3">
      <c r="A27" s="64" t="s">
        <v>360</v>
      </c>
      <c r="B27" s="15">
        <v>1055133.8900000001</v>
      </c>
    </row>
    <row r="28" spans="1:6" x14ac:dyDescent="0.3">
      <c r="A28" s="65" t="s">
        <v>524</v>
      </c>
      <c r="B28" s="15">
        <v>1055133.8900000001</v>
      </c>
    </row>
    <row r="29" spans="1:6" x14ac:dyDescent="0.3">
      <c r="A29" s="64" t="s">
        <v>361</v>
      </c>
      <c r="B29" s="15">
        <v>1452460.8</v>
      </c>
    </row>
    <row r="30" spans="1:6" x14ac:dyDescent="0.3">
      <c r="A30" s="65" t="s">
        <v>524</v>
      </c>
      <c r="B30" s="15">
        <v>1452460.8</v>
      </c>
      <c r="D30" s="15">
        <f>B7-(B31+B30)</f>
        <v>-3379658.9499999881</v>
      </c>
      <c r="E30" s="67">
        <f>B7/(B30+B31)</f>
        <v>0.96587928191916805</v>
      </c>
    </row>
    <row r="31" spans="1:6" x14ac:dyDescent="0.3">
      <c r="A31" s="42" t="s">
        <v>345</v>
      </c>
      <c r="B31" s="15">
        <v>97597592.659999996</v>
      </c>
      <c r="E31" s="66">
        <f>B7/B31</f>
        <v>0.98025363026408086</v>
      </c>
    </row>
    <row r="32" spans="1:6" x14ac:dyDescent="0.3">
      <c r="A32" s="63" t="s">
        <v>335</v>
      </c>
      <c r="B32" s="15">
        <v>0</v>
      </c>
      <c r="E32">
        <f>B7/(B31+B7)</f>
        <v>0.49501418165982958</v>
      </c>
    </row>
    <row r="33" spans="1:2" x14ac:dyDescent="0.3">
      <c r="A33" s="64" t="s">
        <v>524</v>
      </c>
      <c r="B33" s="15">
        <v>0</v>
      </c>
    </row>
    <row r="34" spans="1:2" x14ac:dyDescent="0.3">
      <c r="A34" s="65" t="s">
        <v>524</v>
      </c>
      <c r="B34" s="15">
        <v>0</v>
      </c>
    </row>
    <row r="35" spans="1:2" x14ac:dyDescent="0.3">
      <c r="A35" s="63" t="s">
        <v>337</v>
      </c>
      <c r="B35" s="15">
        <v>0</v>
      </c>
    </row>
    <row r="36" spans="1:2" x14ac:dyDescent="0.3">
      <c r="A36" s="64" t="s">
        <v>363</v>
      </c>
      <c r="B36" s="15">
        <v>0</v>
      </c>
    </row>
    <row r="37" spans="1:2" x14ac:dyDescent="0.3">
      <c r="A37" s="65" t="s">
        <v>524</v>
      </c>
      <c r="B37" s="15">
        <v>0</v>
      </c>
    </row>
    <row r="38" spans="1:2" x14ac:dyDescent="0.3">
      <c r="A38" s="63" t="s">
        <v>331</v>
      </c>
      <c r="B38" s="15">
        <v>97597592.659999996</v>
      </c>
    </row>
    <row r="39" spans="1:2" x14ac:dyDescent="0.3">
      <c r="A39" s="64" t="s">
        <v>362</v>
      </c>
      <c r="B39" s="15">
        <v>106600.2</v>
      </c>
    </row>
    <row r="40" spans="1:2" x14ac:dyDescent="0.3">
      <c r="A40" s="65" t="s">
        <v>364</v>
      </c>
      <c r="B40" s="15">
        <v>106600.2</v>
      </c>
    </row>
    <row r="41" spans="1:2" x14ac:dyDescent="0.3">
      <c r="A41" s="64" t="s">
        <v>358</v>
      </c>
      <c r="B41" s="15">
        <v>1131853.3599999999</v>
      </c>
    </row>
    <row r="42" spans="1:2" x14ac:dyDescent="0.3">
      <c r="A42" s="65" t="s">
        <v>524</v>
      </c>
      <c r="B42" s="15">
        <v>1131853.3599999999</v>
      </c>
    </row>
    <row r="43" spans="1:2" x14ac:dyDescent="0.3">
      <c r="A43" s="64" t="s">
        <v>356</v>
      </c>
      <c r="B43" s="15">
        <v>96359139.099999994</v>
      </c>
    </row>
    <row r="44" spans="1:2" x14ac:dyDescent="0.3">
      <c r="A44" s="65" t="s">
        <v>524</v>
      </c>
      <c r="B44" s="15">
        <v>96359139.099999994</v>
      </c>
    </row>
    <row r="45" spans="1:2" x14ac:dyDescent="0.3">
      <c r="A45" s="27" t="s">
        <v>230</v>
      </c>
      <c r="B45" s="15">
        <v>206415800.88</v>
      </c>
    </row>
    <row r="46" spans="1:2" x14ac:dyDescent="0.3">
      <c r="B46"/>
    </row>
    <row r="47" spans="1:2" x14ac:dyDescent="0.3">
      <c r="B47"/>
    </row>
    <row r="48" spans="1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61B8-2F2B-48B0-8E16-BA3813E3B6FB}">
  <sheetPr>
    <tabColor rgb="FF92D050"/>
  </sheetPr>
  <dimension ref="A1:Z66"/>
  <sheetViews>
    <sheetView topLeftCell="H1" workbookViewId="0">
      <selection activeCell="J3" sqref="J3:P3"/>
    </sheetView>
  </sheetViews>
  <sheetFormatPr defaultRowHeight="14.4" x14ac:dyDescent="0.3"/>
  <cols>
    <col min="2" max="2" width="22.109375" customWidth="1"/>
    <col min="3" max="3" width="22.88671875" bestFit="1" customWidth="1"/>
    <col min="4" max="4" width="27.21875" customWidth="1"/>
    <col min="5" max="6" width="11.33203125" customWidth="1"/>
    <col min="7" max="7" width="11.88671875" customWidth="1"/>
    <col min="8" max="8" width="43.77734375" bestFit="1" customWidth="1"/>
    <col min="10" max="10" width="10.33203125" bestFit="1" customWidth="1"/>
    <col min="11" max="12" width="9.5546875" bestFit="1" customWidth="1"/>
    <col min="13" max="13" width="9.109375" bestFit="1" customWidth="1"/>
    <col min="14" max="14" width="9.33203125" customWidth="1"/>
    <col min="15" max="15" width="9" customWidth="1"/>
    <col min="16" max="16" width="8.5546875" customWidth="1"/>
    <col min="17" max="18" width="9.21875" customWidth="1"/>
    <col min="19" max="19" width="8.77734375" customWidth="1"/>
    <col min="20" max="20" width="9.109375" customWidth="1"/>
    <col min="21" max="21" width="9.5546875" bestFit="1" customWidth="1"/>
    <col min="22" max="23" width="10.33203125" bestFit="1" customWidth="1"/>
    <col min="24" max="24" width="7.6640625" customWidth="1"/>
  </cols>
  <sheetData>
    <row r="1" spans="1:26" ht="41.4" thickBot="1" x14ac:dyDescent="0.35">
      <c r="A1" s="38" t="s">
        <v>226</v>
      </c>
      <c r="B1" s="38" t="s">
        <v>227</v>
      </c>
      <c r="C1" s="38" t="s">
        <v>241</v>
      </c>
      <c r="D1" s="38" t="s">
        <v>313</v>
      </c>
      <c r="E1" s="38" t="s">
        <v>323</v>
      </c>
      <c r="F1" s="38" t="s">
        <v>324</v>
      </c>
      <c r="G1" s="39" t="s">
        <v>1</v>
      </c>
      <c r="H1" s="38" t="s">
        <v>2</v>
      </c>
      <c r="I1" s="38" t="s">
        <v>3</v>
      </c>
      <c r="J1" s="38" t="s">
        <v>295</v>
      </c>
      <c r="K1" s="38" t="s">
        <v>296</v>
      </c>
      <c r="L1" s="38" t="s">
        <v>297</v>
      </c>
      <c r="M1" s="38" t="s">
        <v>298</v>
      </c>
      <c r="N1" s="38" t="s">
        <v>299</v>
      </c>
      <c r="O1" s="38" t="s">
        <v>300</v>
      </c>
      <c r="P1" s="38" t="s">
        <v>301</v>
      </c>
      <c r="Q1" s="38" t="s">
        <v>302</v>
      </c>
      <c r="R1" s="38" t="s">
        <v>303</v>
      </c>
      <c r="S1" s="38" t="s">
        <v>304</v>
      </c>
      <c r="T1" s="38" t="s">
        <v>305</v>
      </c>
      <c r="U1" s="38" t="s">
        <v>306</v>
      </c>
      <c r="V1" s="38" t="s">
        <v>4</v>
      </c>
      <c r="W1" s="40" t="s">
        <v>208</v>
      </c>
      <c r="X1" s="41" t="s">
        <v>5</v>
      </c>
    </row>
    <row r="2" spans="1:26" x14ac:dyDescent="0.3">
      <c r="A2" s="28" t="str">
        <f t="shared" ref="A2:A33" si="0">IF(ISNUMBER(SEARCH("aktywa",B2)),"Aktywa","Pasywa")</f>
        <v>Aktywa</v>
      </c>
      <c r="B2" s="28" t="s">
        <v>317</v>
      </c>
      <c r="C2" s="28" t="s">
        <v>316</v>
      </c>
      <c r="D2" s="28" t="s">
        <v>318</v>
      </c>
      <c r="E2" s="28"/>
      <c r="F2" s="28"/>
      <c r="G2" s="14">
        <v>11000100</v>
      </c>
      <c r="H2" s="7" t="s">
        <v>103</v>
      </c>
      <c r="I2" s="8" t="s">
        <v>102</v>
      </c>
      <c r="J2" s="9">
        <v>77463.009999999995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10">
        <v>77463.009999999995</v>
      </c>
      <c r="W2" s="11">
        <v>77463.009999999995</v>
      </c>
      <c r="X2" s="12">
        <v>0</v>
      </c>
      <c r="Z2" t="s">
        <v>312</v>
      </c>
    </row>
    <row r="3" spans="1:26" ht="18.600000000000001" customHeight="1" x14ac:dyDescent="0.3">
      <c r="A3" s="28" t="str">
        <f t="shared" si="0"/>
        <v>Aktywa</v>
      </c>
      <c r="B3" s="28" t="s">
        <v>317</v>
      </c>
      <c r="C3" s="28" t="s">
        <v>316</v>
      </c>
      <c r="D3" s="28" t="s">
        <v>318</v>
      </c>
      <c r="E3" s="28"/>
      <c r="F3" s="28"/>
      <c r="G3" s="14">
        <v>11000400</v>
      </c>
      <c r="H3" s="7" t="s">
        <v>104</v>
      </c>
      <c r="I3" s="8" t="s">
        <v>102</v>
      </c>
      <c r="J3" s="9">
        <v>-59859.51</v>
      </c>
      <c r="K3" s="9">
        <v>-926.5</v>
      </c>
      <c r="L3" s="9">
        <v>-926.5</v>
      </c>
      <c r="M3" s="9">
        <v>-926.5</v>
      </c>
      <c r="N3" s="9">
        <v>-926.5</v>
      </c>
      <c r="O3" s="9">
        <v>-926.5</v>
      </c>
      <c r="P3" s="9">
        <v>-926.5</v>
      </c>
      <c r="Q3" s="9">
        <v>-926.49999999999272</v>
      </c>
      <c r="R3" s="9">
        <v>-926.5</v>
      </c>
      <c r="S3" s="9">
        <v>-926.5</v>
      </c>
      <c r="T3" s="9">
        <v>-926.5</v>
      </c>
      <c r="U3" s="9">
        <v>-926.5</v>
      </c>
      <c r="V3" s="10">
        <v>-70051.009999999995</v>
      </c>
      <c r="W3" s="11">
        <v>-70051.009999999995</v>
      </c>
      <c r="X3" s="12">
        <v>0</v>
      </c>
      <c r="Z3" t="s">
        <v>307</v>
      </c>
    </row>
    <row r="4" spans="1:26" ht="18.600000000000001" customHeight="1" x14ac:dyDescent="0.3">
      <c r="A4" s="28" t="str">
        <f t="shared" si="0"/>
        <v>Aktywa</v>
      </c>
      <c r="B4" s="28" t="s">
        <v>317</v>
      </c>
      <c r="C4" s="28" t="s">
        <v>340</v>
      </c>
      <c r="D4" s="28" t="s">
        <v>319</v>
      </c>
      <c r="E4" s="28" t="s">
        <v>350</v>
      </c>
      <c r="F4" s="28"/>
      <c r="G4" s="14">
        <v>11502100</v>
      </c>
      <c r="H4" s="7" t="s">
        <v>105</v>
      </c>
      <c r="I4" s="8" t="s">
        <v>102</v>
      </c>
      <c r="J4" s="9">
        <v>8316576.9500000002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10">
        <v>8316576.9500000002</v>
      </c>
      <c r="W4" s="11">
        <v>8316576.9500000002</v>
      </c>
      <c r="X4" s="12">
        <v>0</v>
      </c>
      <c r="Z4" t="s">
        <v>308</v>
      </c>
    </row>
    <row r="5" spans="1:26" ht="18.600000000000001" customHeight="1" x14ac:dyDescent="0.3">
      <c r="A5" s="28" t="str">
        <f t="shared" si="0"/>
        <v>Aktywa</v>
      </c>
      <c r="B5" s="28" t="s">
        <v>317</v>
      </c>
      <c r="C5" s="28" t="s">
        <v>340</v>
      </c>
      <c r="D5" s="28" t="s">
        <v>319</v>
      </c>
      <c r="E5" s="28" t="s">
        <v>350</v>
      </c>
      <c r="F5" s="28"/>
      <c r="G5" s="14">
        <v>11502400</v>
      </c>
      <c r="H5" s="7" t="s">
        <v>106</v>
      </c>
      <c r="I5" s="8" t="s">
        <v>102</v>
      </c>
      <c r="J5" s="9">
        <v>-1679956.62</v>
      </c>
      <c r="K5" s="9">
        <v>-17326.199999999953</v>
      </c>
      <c r="L5" s="9">
        <v>-17326.209999999963</v>
      </c>
      <c r="M5" s="9">
        <v>-17326.199999999953</v>
      </c>
      <c r="N5" s="9">
        <v>-17326.199999999953</v>
      </c>
      <c r="O5" s="9">
        <v>-17326.199999999953</v>
      </c>
      <c r="P5" s="9">
        <v>-17326.200000000186</v>
      </c>
      <c r="Q5" s="9">
        <v>-17326.199999999953</v>
      </c>
      <c r="R5" s="9">
        <v>-17326.209999999963</v>
      </c>
      <c r="S5" s="9">
        <v>-17326.199999999953</v>
      </c>
      <c r="T5" s="9">
        <v>-17326.199999999953</v>
      </c>
      <c r="U5" s="9">
        <v>-17326.200000000186</v>
      </c>
      <c r="V5" s="10">
        <v>-1870544.84</v>
      </c>
      <c r="W5" s="11">
        <v>-1870544.84</v>
      </c>
      <c r="X5" s="12">
        <v>0</v>
      </c>
      <c r="Z5" t="s">
        <v>309</v>
      </c>
    </row>
    <row r="6" spans="1:26" ht="18.600000000000001" customHeight="1" x14ac:dyDescent="0.3">
      <c r="A6" s="28" t="str">
        <f t="shared" si="0"/>
        <v>Aktywa</v>
      </c>
      <c r="B6" s="28" t="s">
        <v>317</v>
      </c>
      <c r="C6" s="28" t="s">
        <v>340</v>
      </c>
      <c r="D6" s="28" t="s">
        <v>320</v>
      </c>
      <c r="E6" s="28"/>
      <c r="F6" s="28"/>
      <c r="G6" s="14">
        <v>11504100</v>
      </c>
      <c r="H6" s="7" t="s">
        <v>107</v>
      </c>
      <c r="I6" s="8" t="s">
        <v>102</v>
      </c>
      <c r="J6" s="9">
        <v>204102.98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10">
        <v>204102.98</v>
      </c>
      <c r="W6" s="11">
        <v>204102.98</v>
      </c>
      <c r="X6" s="12">
        <v>0</v>
      </c>
      <c r="Z6" t="s">
        <v>310</v>
      </c>
    </row>
    <row r="7" spans="1:26" ht="18.600000000000001" customHeight="1" x14ac:dyDescent="0.3">
      <c r="A7" s="28" t="str">
        <f t="shared" si="0"/>
        <v>Aktywa</v>
      </c>
      <c r="B7" s="28" t="s">
        <v>317</v>
      </c>
      <c r="C7" s="28" t="s">
        <v>340</v>
      </c>
      <c r="D7" s="28" t="s">
        <v>320</v>
      </c>
      <c r="E7" s="28"/>
      <c r="F7" s="28"/>
      <c r="G7" s="14">
        <v>11504400</v>
      </c>
      <c r="H7" s="7" t="s">
        <v>108</v>
      </c>
      <c r="I7" s="8" t="s">
        <v>102</v>
      </c>
      <c r="J7" s="9">
        <v>-43327.35</v>
      </c>
      <c r="K7" s="9">
        <v>-313.45000000000437</v>
      </c>
      <c r="L7" s="9">
        <v>-313.45999999999913</v>
      </c>
      <c r="M7" s="9">
        <v>-313.45999999999913</v>
      </c>
      <c r="N7" s="9">
        <v>-6769.3399999999965</v>
      </c>
      <c r="O7" s="9">
        <v>-1604.6399999999994</v>
      </c>
      <c r="P7" s="9">
        <v>-1604.6399999999994</v>
      </c>
      <c r="Q7" s="9">
        <v>-1604.6300000000047</v>
      </c>
      <c r="R7" s="9">
        <v>-1604.6399999999994</v>
      </c>
      <c r="S7" s="9">
        <v>-1604.6299999999974</v>
      </c>
      <c r="T7" s="9">
        <v>-1604.6300000000047</v>
      </c>
      <c r="U7" s="9">
        <v>-1604.6399999999994</v>
      </c>
      <c r="V7" s="10">
        <v>-62269.51</v>
      </c>
      <c r="W7" s="11">
        <v>-62269.51</v>
      </c>
      <c r="X7" s="12">
        <v>0</v>
      </c>
      <c r="Z7" t="s">
        <v>311</v>
      </c>
    </row>
    <row r="8" spans="1:26" ht="18.600000000000001" customHeight="1" x14ac:dyDescent="0.3">
      <c r="A8" s="28" t="str">
        <f t="shared" si="0"/>
        <v>Aktywa</v>
      </c>
      <c r="B8" s="28" t="s">
        <v>317</v>
      </c>
      <c r="C8" s="28" t="s">
        <v>340</v>
      </c>
      <c r="D8" s="28" t="s">
        <v>319</v>
      </c>
      <c r="E8" s="28" t="s">
        <v>351</v>
      </c>
      <c r="F8" s="28"/>
      <c r="G8" s="14">
        <v>11508100</v>
      </c>
      <c r="H8" s="7" t="s">
        <v>109</v>
      </c>
      <c r="I8" s="8" t="s">
        <v>102</v>
      </c>
      <c r="J8" s="9">
        <v>1021948.24</v>
      </c>
      <c r="K8" s="9">
        <v>6806.5100000000093</v>
      </c>
      <c r="L8" s="9">
        <v>-2240.0699999999488</v>
      </c>
      <c r="M8" s="9">
        <v>22451.589999999967</v>
      </c>
      <c r="N8" s="9">
        <v>459</v>
      </c>
      <c r="O8" s="9">
        <v>0</v>
      </c>
      <c r="P8" s="9">
        <v>13387.330000000075</v>
      </c>
      <c r="Q8" s="9">
        <v>-1499.0600000000559</v>
      </c>
      <c r="R8" s="9">
        <v>157.43999999994412</v>
      </c>
      <c r="S8" s="9">
        <v>9879.5400000000373</v>
      </c>
      <c r="T8" s="9">
        <v>2065.0400000000373</v>
      </c>
      <c r="U8" s="9">
        <v>6725.9299999999348</v>
      </c>
      <c r="V8" s="10">
        <v>1080141.49</v>
      </c>
      <c r="W8" s="11">
        <v>1080141.49</v>
      </c>
      <c r="X8" s="12">
        <v>0</v>
      </c>
    </row>
    <row r="9" spans="1:26" ht="18.600000000000001" customHeight="1" x14ac:dyDescent="0.3">
      <c r="A9" s="28" t="str">
        <f t="shared" si="0"/>
        <v>Aktywa</v>
      </c>
      <c r="B9" s="28" t="s">
        <v>317</v>
      </c>
      <c r="C9" s="28" t="s">
        <v>340</v>
      </c>
      <c r="D9" s="28" t="s">
        <v>319</v>
      </c>
      <c r="E9" s="28" t="s">
        <v>351</v>
      </c>
      <c r="F9" s="28"/>
      <c r="G9" s="14">
        <v>11508400</v>
      </c>
      <c r="H9" s="7" t="s">
        <v>110</v>
      </c>
      <c r="I9" s="8" t="s">
        <v>102</v>
      </c>
      <c r="J9" s="9">
        <v>-1009268.7</v>
      </c>
      <c r="K9" s="9">
        <v>-3437.1500000000233</v>
      </c>
      <c r="L9" s="9">
        <v>-3035.4200000000419</v>
      </c>
      <c r="M9" s="9">
        <v>-22451.589999999967</v>
      </c>
      <c r="N9" s="9">
        <v>-459</v>
      </c>
      <c r="O9" s="9">
        <v>0</v>
      </c>
      <c r="P9" s="9">
        <v>-13387.329999999958</v>
      </c>
      <c r="Q9" s="9">
        <v>920.06000000005588</v>
      </c>
      <c r="R9" s="9">
        <v>421.55999999982305</v>
      </c>
      <c r="S9" s="9">
        <v>-9879.5400000000373</v>
      </c>
      <c r="T9" s="9">
        <v>-2065.0399999998044</v>
      </c>
      <c r="U9" s="9">
        <v>-6725.9300000001676</v>
      </c>
      <c r="V9" s="10">
        <v>-1069368.08</v>
      </c>
      <c r="W9" s="11">
        <v>-1069368.08</v>
      </c>
      <c r="X9" s="12">
        <v>0</v>
      </c>
    </row>
    <row r="10" spans="1:26" ht="18.600000000000001" customHeight="1" x14ac:dyDescent="0.3">
      <c r="A10" s="28" t="str">
        <f t="shared" si="0"/>
        <v>Aktywa</v>
      </c>
      <c r="B10" s="28" t="s">
        <v>317</v>
      </c>
      <c r="C10" s="28" t="s">
        <v>340</v>
      </c>
      <c r="D10" s="28" t="s">
        <v>319</v>
      </c>
      <c r="E10" s="28" t="s">
        <v>352</v>
      </c>
      <c r="F10" s="28"/>
      <c r="G10" s="14">
        <v>11514100</v>
      </c>
      <c r="H10" s="7" t="s">
        <v>111</v>
      </c>
      <c r="I10" s="8" t="s">
        <v>102</v>
      </c>
      <c r="J10" s="9">
        <v>1071105.06</v>
      </c>
      <c r="K10" s="9">
        <v>343.89999999990687</v>
      </c>
      <c r="L10" s="9">
        <v>0</v>
      </c>
      <c r="M10" s="9">
        <v>16465.40000000014</v>
      </c>
      <c r="N10" s="9">
        <v>0</v>
      </c>
      <c r="O10" s="9">
        <v>0</v>
      </c>
      <c r="P10" s="9">
        <v>1998.7199999999721</v>
      </c>
      <c r="Q10" s="9">
        <v>0</v>
      </c>
      <c r="R10" s="9">
        <v>0</v>
      </c>
      <c r="S10" s="9">
        <v>2900</v>
      </c>
      <c r="T10" s="9">
        <v>0</v>
      </c>
      <c r="U10" s="9">
        <v>0</v>
      </c>
      <c r="V10" s="10">
        <v>1092813.08</v>
      </c>
      <c r="W10" s="11">
        <v>1092813.08</v>
      </c>
      <c r="X10" s="12">
        <v>0</v>
      </c>
    </row>
    <row r="11" spans="1:26" ht="18.600000000000001" customHeight="1" x14ac:dyDescent="0.3">
      <c r="A11" s="28" t="str">
        <f t="shared" si="0"/>
        <v>Aktywa</v>
      </c>
      <c r="B11" s="28" t="s">
        <v>317</v>
      </c>
      <c r="C11" s="28" t="s">
        <v>340</v>
      </c>
      <c r="D11" s="28" t="s">
        <v>319</v>
      </c>
      <c r="E11" s="28" t="s">
        <v>352</v>
      </c>
      <c r="F11" s="28"/>
      <c r="G11" s="14">
        <v>11514400</v>
      </c>
      <c r="H11" s="7" t="s">
        <v>112</v>
      </c>
      <c r="I11" s="8" t="s">
        <v>102</v>
      </c>
      <c r="J11" s="9">
        <v>-985003.34</v>
      </c>
      <c r="K11" s="9">
        <v>-579</v>
      </c>
      <c r="L11" s="9">
        <v>-3421.140000000014</v>
      </c>
      <c r="M11" s="9">
        <v>-18409.020000000019</v>
      </c>
      <c r="N11" s="9">
        <v>-1749.8100000000559</v>
      </c>
      <c r="O11" s="9">
        <v>-1749.7999999999302</v>
      </c>
      <c r="P11" s="9">
        <v>-3748.5100000000093</v>
      </c>
      <c r="Q11" s="9">
        <v>-1749.8100000000559</v>
      </c>
      <c r="R11" s="9">
        <v>-1749.7999999999302</v>
      </c>
      <c r="S11" s="9">
        <v>-4649.8000000000466</v>
      </c>
      <c r="T11" s="9">
        <v>-1749.7999999999302</v>
      </c>
      <c r="U11" s="9">
        <v>-816.98000000009779</v>
      </c>
      <c r="V11" s="10">
        <v>-1025376.81</v>
      </c>
      <c r="W11" s="11">
        <v>-1025376.81</v>
      </c>
      <c r="X11" s="12">
        <v>0</v>
      </c>
    </row>
    <row r="12" spans="1:26" ht="18.600000000000001" customHeight="1" x14ac:dyDescent="0.3">
      <c r="A12" s="28" t="str">
        <f t="shared" si="0"/>
        <v>Aktywa</v>
      </c>
      <c r="B12" s="28" t="s">
        <v>317</v>
      </c>
      <c r="C12" s="28" t="s">
        <v>340</v>
      </c>
      <c r="D12" s="28" t="s">
        <v>319</v>
      </c>
      <c r="E12" s="28" t="s">
        <v>353</v>
      </c>
      <c r="F12" s="28"/>
      <c r="G12" s="14">
        <v>11518100</v>
      </c>
      <c r="H12" s="7" t="s">
        <v>113</v>
      </c>
      <c r="I12" s="8" t="s">
        <v>102</v>
      </c>
      <c r="J12" s="9">
        <v>1042482.44</v>
      </c>
      <c r="K12" s="9">
        <v>0</v>
      </c>
      <c r="L12" s="9">
        <v>-152490.18999999994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10">
        <v>889992.25</v>
      </c>
      <c r="W12" s="11">
        <v>889992.25</v>
      </c>
      <c r="X12" s="12">
        <v>0</v>
      </c>
    </row>
    <row r="13" spans="1:26" ht="18.600000000000001" customHeight="1" x14ac:dyDescent="0.3">
      <c r="A13" s="28" t="str">
        <f t="shared" si="0"/>
        <v>Aktywa</v>
      </c>
      <c r="B13" s="28" t="s">
        <v>317</v>
      </c>
      <c r="C13" s="28" t="s">
        <v>340</v>
      </c>
      <c r="D13" s="28" t="s">
        <v>319</v>
      </c>
      <c r="E13" s="28" t="s">
        <v>353</v>
      </c>
      <c r="F13" s="28"/>
      <c r="G13" s="14">
        <v>11518400</v>
      </c>
      <c r="H13" s="7" t="s">
        <v>114</v>
      </c>
      <c r="I13" s="8" t="s">
        <v>102</v>
      </c>
      <c r="J13" s="9">
        <v>-881165.3</v>
      </c>
      <c r="K13" s="9">
        <v>-16101</v>
      </c>
      <c r="L13" s="9">
        <v>133847.71000000008</v>
      </c>
      <c r="M13" s="9">
        <v>-13559.440000000061</v>
      </c>
      <c r="N13" s="9">
        <v>-8113.5200000000186</v>
      </c>
      <c r="O13" s="9">
        <v>-6162.7699999999022</v>
      </c>
      <c r="P13" s="9">
        <v>-6162.4500000000698</v>
      </c>
      <c r="Q13" s="9">
        <v>-6162.4599999999627</v>
      </c>
      <c r="R13" s="9">
        <v>-6162.4799999999814</v>
      </c>
      <c r="S13" s="9">
        <v>-6162.4700000000885</v>
      </c>
      <c r="T13" s="9">
        <v>-6162.4599999999627</v>
      </c>
      <c r="U13" s="9">
        <v>-6162.4599999999627</v>
      </c>
      <c r="V13" s="10">
        <v>-828229.1</v>
      </c>
      <c r="W13" s="11">
        <v>-828229.1</v>
      </c>
      <c r="X13" s="12">
        <v>0</v>
      </c>
    </row>
    <row r="14" spans="1:26" ht="18.600000000000001" customHeight="1" x14ac:dyDescent="0.3">
      <c r="A14" s="28" t="str">
        <f t="shared" si="0"/>
        <v>Aktywa</v>
      </c>
      <c r="B14" s="28" t="s">
        <v>317</v>
      </c>
      <c r="C14" s="28" t="s">
        <v>341</v>
      </c>
      <c r="D14" s="28" t="s">
        <v>321</v>
      </c>
      <c r="E14" s="28"/>
      <c r="F14" s="28"/>
      <c r="G14" s="14">
        <v>13500000</v>
      </c>
      <c r="H14" s="7" t="s">
        <v>115</v>
      </c>
      <c r="I14" s="8" t="s">
        <v>102</v>
      </c>
      <c r="J14" s="9">
        <v>159228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10">
        <v>159228</v>
      </c>
      <c r="W14" s="11">
        <v>159228</v>
      </c>
      <c r="X14" s="12">
        <v>0</v>
      </c>
    </row>
    <row r="15" spans="1:26" ht="18.600000000000001" customHeight="1" x14ac:dyDescent="0.3">
      <c r="A15" s="28" t="str">
        <f t="shared" si="0"/>
        <v>Aktywa</v>
      </c>
      <c r="B15" s="28" t="s">
        <v>348</v>
      </c>
      <c r="C15" s="28" t="s">
        <v>342</v>
      </c>
      <c r="D15" s="28" t="s">
        <v>326</v>
      </c>
      <c r="E15" s="28" t="s">
        <v>354</v>
      </c>
      <c r="F15" s="28" t="s">
        <v>364</v>
      </c>
      <c r="G15" s="14">
        <v>15500000</v>
      </c>
      <c r="H15" s="7" t="s">
        <v>116</v>
      </c>
      <c r="I15" s="8" t="s">
        <v>102</v>
      </c>
      <c r="J15" s="9">
        <v>15147.43</v>
      </c>
      <c r="K15" s="9">
        <v>769.25</v>
      </c>
      <c r="L15" s="9">
        <v>-2600</v>
      </c>
      <c r="M15" s="9">
        <v>-2600</v>
      </c>
      <c r="N15" s="9">
        <v>-2600</v>
      </c>
      <c r="O15" s="9">
        <v>-2600</v>
      </c>
      <c r="P15" s="9">
        <v>-516.68000000000029</v>
      </c>
      <c r="Q15" s="9">
        <v>173.75</v>
      </c>
      <c r="R15" s="9">
        <v>36.899999999999636</v>
      </c>
      <c r="S15" s="9">
        <v>19365.650000000001</v>
      </c>
      <c r="T15" s="9">
        <v>-5000</v>
      </c>
      <c r="U15" s="9">
        <v>26568.670000000002</v>
      </c>
      <c r="V15" s="10">
        <v>46144.97</v>
      </c>
      <c r="W15" s="11">
        <v>46144.97</v>
      </c>
      <c r="X15" s="12">
        <v>0</v>
      </c>
    </row>
    <row r="16" spans="1:26" ht="18.600000000000001" customHeight="1" x14ac:dyDescent="0.3">
      <c r="A16" s="28" t="str">
        <f t="shared" si="0"/>
        <v>Aktywa</v>
      </c>
      <c r="B16" s="28" t="s">
        <v>348</v>
      </c>
      <c r="C16" s="28" t="s">
        <v>342</v>
      </c>
      <c r="D16" s="28" t="s">
        <v>335</v>
      </c>
      <c r="E16" s="28" t="s">
        <v>355</v>
      </c>
      <c r="F16" s="28"/>
      <c r="G16" s="14">
        <v>15500800</v>
      </c>
      <c r="H16" s="7" t="s">
        <v>117</v>
      </c>
      <c r="I16" s="8" t="s">
        <v>102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10">
        <v>0</v>
      </c>
      <c r="W16" s="11">
        <v>0</v>
      </c>
      <c r="X16" s="12">
        <v>0</v>
      </c>
    </row>
    <row r="17" spans="1:24" ht="18.600000000000001" customHeight="1" x14ac:dyDescent="0.3">
      <c r="A17" s="28" t="str">
        <f t="shared" si="0"/>
        <v>Aktywa</v>
      </c>
      <c r="B17" s="28" t="s">
        <v>348</v>
      </c>
      <c r="C17" s="28" t="s">
        <v>342</v>
      </c>
      <c r="D17" s="28" t="s">
        <v>326</v>
      </c>
      <c r="E17" s="28" t="s">
        <v>354</v>
      </c>
      <c r="F17" s="28" t="s">
        <v>364</v>
      </c>
      <c r="G17" s="14">
        <v>15500999</v>
      </c>
      <c r="H17" s="7" t="s">
        <v>118</v>
      </c>
      <c r="I17" s="8" t="s">
        <v>102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319.97000000000003</v>
      </c>
      <c r="V17" s="10">
        <v>319.97000000000003</v>
      </c>
      <c r="W17" s="11">
        <v>319.97000000000003</v>
      </c>
      <c r="X17" s="12">
        <v>0</v>
      </c>
    </row>
    <row r="18" spans="1:24" ht="18.600000000000001" customHeight="1" x14ac:dyDescent="0.3">
      <c r="A18" s="28" t="str">
        <f t="shared" si="0"/>
        <v>Aktywa</v>
      </c>
      <c r="B18" s="28" t="s">
        <v>348</v>
      </c>
      <c r="C18" s="28" t="s">
        <v>342</v>
      </c>
      <c r="D18" s="28" t="s">
        <v>325</v>
      </c>
      <c r="E18" s="28" t="s">
        <v>354</v>
      </c>
      <c r="F18" s="28" t="s">
        <v>364</v>
      </c>
      <c r="G18" s="14">
        <v>15540000</v>
      </c>
      <c r="H18" s="7" t="s">
        <v>119</v>
      </c>
      <c r="I18" s="8" t="s">
        <v>102</v>
      </c>
      <c r="J18" s="9">
        <v>1206.04</v>
      </c>
      <c r="K18" s="9">
        <v>-5000</v>
      </c>
      <c r="L18" s="9">
        <v>799.5</v>
      </c>
      <c r="M18" s="9">
        <v>676.5</v>
      </c>
      <c r="N18" s="9">
        <v>753.5</v>
      </c>
      <c r="O18" s="9">
        <v>676.5</v>
      </c>
      <c r="P18" s="9">
        <v>676.5</v>
      </c>
      <c r="Q18" s="9">
        <v>1722</v>
      </c>
      <c r="R18" s="9">
        <v>1275.1100000000001</v>
      </c>
      <c r="S18" s="9">
        <v>4097.3700000000008</v>
      </c>
      <c r="T18" s="9">
        <v>-7162.9800000000005</v>
      </c>
      <c r="U18" s="9">
        <v>3344.88</v>
      </c>
      <c r="V18" s="10">
        <v>3064.92</v>
      </c>
      <c r="W18" s="11">
        <v>3064.92</v>
      </c>
      <c r="X18" s="12">
        <v>0</v>
      </c>
    </row>
    <row r="19" spans="1:24" ht="18.600000000000001" customHeight="1" x14ac:dyDescent="0.3">
      <c r="A19" s="28" t="str">
        <f t="shared" si="0"/>
        <v>Aktywa</v>
      </c>
      <c r="B19" s="28" t="s">
        <v>348</v>
      </c>
      <c r="C19" s="28" t="s">
        <v>342</v>
      </c>
      <c r="D19" s="28" t="s">
        <v>325</v>
      </c>
      <c r="E19" s="28" t="s">
        <v>354</v>
      </c>
      <c r="F19" s="28" t="s">
        <v>364</v>
      </c>
      <c r="G19" s="14">
        <v>15540999</v>
      </c>
      <c r="H19" s="7" t="s">
        <v>120</v>
      </c>
      <c r="I19" s="8" t="s">
        <v>102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-33.42</v>
      </c>
      <c r="V19" s="10">
        <v>-33.42</v>
      </c>
      <c r="W19" s="11">
        <v>-33.42</v>
      </c>
      <c r="X19" s="12">
        <v>0</v>
      </c>
    </row>
    <row r="20" spans="1:24" ht="18.600000000000001" customHeight="1" x14ac:dyDescent="0.3">
      <c r="A20" s="28" t="str">
        <f t="shared" si="0"/>
        <v>Aktywa</v>
      </c>
      <c r="B20" s="28" t="s">
        <v>348</v>
      </c>
      <c r="C20" s="28" t="s">
        <v>342</v>
      </c>
      <c r="D20" s="28" t="s">
        <v>326</v>
      </c>
      <c r="E20" s="28" t="s">
        <v>355</v>
      </c>
      <c r="F20" s="28"/>
      <c r="G20" s="14">
        <v>15550368</v>
      </c>
      <c r="H20" s="7" t="s">
        <v>121</v>
      </c>
      <c r="I20" s="8" t="s">
        <v>102</v>
      </c>
      <c r="J20" s="9">
        <v>91020851.159999996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-4.3199999928474426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10">
        <v>91020846.840000004</v>
      </c>
      <c r="W20" s="11">
        <v>91020846.840000004</v>
      </c>
      <c r="X20" s="12">
        <v>0</v>
      </c>
    </row>
    <row r="21" spans="1:24" ht="18.600000000000001" customHeight="1" x14ac:dyDescent="0.3">
      <c r="A21" s="28" t="str">
        <f t="shared" si="0"/>
        <v>Pasywa</v>
      </c>
      <c r="B21" s="28" t="s">
        <v>347</v>
      </c>
      <c r="C21" s="28" t="s">
        <v>345</v>
      </c>
      <c r="D21" s="28" t="s">
        <v>331</v>
      </c>
      <c r="E21" s="28" t="s">
        <v>356</v>
      </c>
      <c r="F21" s="28"/>
      <c r="G21" s="14">
        <v>15552000</v>
      </c>
      <c r="H21" s="7" t="s">
        <v>122</v>
      </c>
      <c r="I21" s="8" t="s">
        <v>102</v>
      </c>
      <c r="J21" s="9">
        <v>96008975.519999996</v>
      </c>
      <c r="K21" s="9">
        <v>-1861827</v>
      </c>
      <c r="L21" s="9">
        <v>1795000</v>
      </c>
      <c r="M21" s="9">
        <v>407621</v>
      </c>
      <c r="N21" s="9">
        <v>955819</v>
      </c>
      <c r="O21" s="9">
        <v>-170817</v>
      </c>
      <c r="P21" s="9">
        <v>-633951.25999999046</v>
      </c>
      <c r="Q21" s="9">
        <v>-88363</v>
      </c>
      <c r="R21" s="9">
        <v>-70812</v>
      </c>
      <c r="S21" s="9">
        <v>-129897.99000000954</v>
      </c>
      <c r="T21" s="9">
        <v>-23495.09999999404</v>
      </c>
      <c r="U21" s="9">
        <v>170886.92999999225</v>
      </c>
      <c r="V21" s="10">
        <v>96359139.099999994</v>
      </c>
      <c r="W21" s="11">
        <v>96359139.099999994</v>
      </c>
      <c r="X21" s="12">
        <v>0</v>
      </c>
    </row>
    <row r="22" spans="1:24" ht="18.600000000000001" customHeight="1" x14ac:dyDescent="0.3">
      <c r="A22" s="28" t="str">
        <f t="shared" si="0"/>
        <v>Aktywa</v>
      </c>
      <c r="B22" s="28" t="s">
        <v>348</v>
      </c>
      <c r="C22" s="28" t="s">
        <v>342</v>
      </c>
      <c r="D22" s="28" t="s">
        <v>339</v>
      </c>
      <c r="E22" s="28" t="s">
        <v>357</v>
      </c>
      <c r="F22" s="28"/>
      <c r="G22" s="14">
        <v>15562000</v>
      </c>
      <c r="H22" s="7" t="s">
        <v>123</v>
      </c>
      <c r="I22" s="8" t="s">
        <v>102</v>
      </c>
      <c r="J22" s="9">
        <v>7065.52</v>
      </c>
      <c r="K22" s="9">
        <v>4799.41</v>
      </c>
      <c r="L22" s="9">
        <v>875.11999999999898</v>
      </c>
      <c r="M22" s="9">
        <v>988.93000000000029</v>
      </c>
      <c r="N22" s="9">
        <v>-324.45999999999913</v>
      </c>
      <c r="O22" s="9">
        <v>435.82999999999993</v>
      </c>
      <c r="P22" s="9">
        <v>1608.0900000000001</v>
      </c>
      <c r="Q22" s="9">
        <v>-246</v>
      </c>
      <c r="R22" s="9">
        <v>9758.4</v>
      </c>
      <c r="S22" s="9">
        <v>-19799.13</v>
      </c>
      <c r="T22" s="9">
        <v>13981.350000000002</v>
      </c>
      <c r="U22" s="9">
        <v>-12687.910000000002</v>
      </c>
      <c r="V22" s="10">
        <v>6455.15</v>
      </c>
      <c r="W22" s="11">
        <v>6455.15</v>
      </c>
      <c r="X22" s="12">
        <v>0</v>
      </c>
    </row>
    <row r="23" spans="1:24" ht="18.600000000000001" customHeight="1" x14ac:dyDescent="0.3">
      <c r="A23" s="28" t="str">
        <f t="shared" si="0"/>
        <v>Pasywa</v>
      </c>
      <c r="B23" s="28" t="s">
        <v>347</v>
      </c>
      <c r="C23" s="28" t="s">
        <v>345</v>
      </c>
      <c r="D23" s="28" t="s">
        <v>331</v>
      </c>
      <c r="E23" s="28" t="s">
        <v>358</v>
      </c>
      <c r="F23" s="28"/>
      <c r="G23" s="14">
        <v>16004000</v>
      </c>
      <c r="H23" s="7" t="s">
        <v>124</v>
      </c>
      <c r="I23" s="8" t="s">
        <v>102</v>
      </c>
      <c r="J23" s="9">
        <v>368039</v>
      </c>
      <c r="K23" s="9">
        <v>35064</v>
      </c>
      <c r="L23" s="9">
        <v>86089</v>
      </c>
      <c r="M23" s="9">
        <v>42215</v>
      </c>
      <c r="N23" s="9">
        <v>27515</v>
      </c>
      <c r="O23" s="9">
        <v>34074</v>
      </c>
      <c r="P23" s="9">
        <v>52694</v>
      </c>
      <c r="Q23" s="9">
        <v>30222</v>
      </c>
      <c r="R23" s="9">
        <v>29072</v>
      </c>
      <c r="S23" s="9">
        <v>53572</v>
      </c>
      <c r="T23" s="9">
        <v>28170</v>
      </c>
      <c r="U23" s="9">
        <v>32801</v>
      </c>
      <c r="V23" s="10">
        <v>819527</v>
      </c>
      <c r="W23" s="11">
        <v>819527</v>
      </c>
      <c r="X23" s="12">
        <v>0</v>
      </c>
    </row>
    <row r="24" spans="1:24" ht="18.600000000000001" customHeight="1" x14ac:dyDescent="0.3">
      <c r="A24" s="28" t="str">
        <f t="shared" si="0"/>
        <v>Aktywa</v>
      </c>
      <c r="B24" s="28" t="s">
        <v>348</v>
      </c>
      <c r="C24" s="28" t="s">
        <v>342</v>
      </c>
      <c r="D24" s="28" t="s">
        <v>326</v>
      </c>
      <c r="E24" s="28" t="s">
        <v>359</v>
      </c>
      <c r="F24" s="28"/>
      <c r="G24" s="14">
        <v>16004010</v>
      </c>
      <c r="H24" s="7" t="s">
        <v>125</v>
      </c>
      <c r="I24" s="8" t="s">
        <v>102</v>
      </c>
      <c r="J24" s="9">
        <v>621569.04</v>
      </c>
      <c r="K24" s="9">
        <v>25400.770000000019</v>
      </c>
      <c r="L24" s="9">
        <v>46832.219999999972</v>
      </c>
      <c r="M24" s="9">
        <v>52825.969999999972</v>
      </c>
      <c r="N24" s="9">
        <v>30515.75</v>
      </c>
      <c r="O24" s="9">
        <v>30174.689999999944</v>
      </c>
      <c r="P24" s="9">
        <v>55004.170000000042</v>
      </c>
      <c r="Q24" s="9">
        <v>26251.760000000009</v>
      </c>
      <c r="R24" s="9">
        <v>36588.369999999995</v>
      </c>
      <c r="S24" s="9">
        <v>35269.570000000065</v>
      </c>
      <c r="T24" s="9">
        <v>37089.089999999967</v>
      </c>
      <c r="U24" s="9">
        <v>36210.020000000019</v>
      </c>
      <c r="V24" s="10">
        <v>1033731.42</v>
      </c>
      <c r="W24" s="11">
        <v>1033731.42</v>
      </c>
      <c r="X24" s="12">
        <v>0</v>
      </c>
    </row>
    <row r="25" spans="1:24" ht="18.600000000000001" customHeight="1" x14ac:dyDescent="0.3">
      <c r="A25" s="28" t="str">
        <f t="shared" si="0"/>
        <v>Aktywa</v>
      </c>
      <c r="B25" s="28" t="s">
        <v>348</v>
      </c>
      <c r="C25" s="28" t="s">
        <v>342</v>
      </c>
      <c r="D25" s="28" t="s">
        <v>326</v>
      </c>
      <c r="E25" s="28" t="s">
        <v>359</v>
      </c>
      <c r="F25" s="28"/>
      <c r="G25" s="14">
        <v>16004080</v>
      </c>
      <c r="H25" s="7" t="s">
        <v>126</v>
      </c>
      <c r="I25" s="8" t="s">
        <v>102</v>
      </c>
      <c r="J25" s="9">
        <v>2135.36</v>
      </c>
      <c r="K25" s="9">
        <v>-678.77000000000021</v>
      </c>
      <c r="L25" s="9">
        <v>0</v>
      </c>
      <c r="M25" s="9">
        <v>-703.09999999999991</v>
      </c>
      <c r="N25" s="9">
        <v>0</v>
      </c>
      <c r="O25" s="9">
        <v>-97.539999999999964</v>
      </c>
      <c r="P25" s="9">
        <v>25.8599999999999</v>
      </c>
      <c r="Q25" s="9">
        <v>0</v>
      </c>
      <c r="R25" s="9">
        <v>-56.579999999999927</v>
      </c>
      <c r="S25" s="9">
        <v>-100.61000000000001</v>
      </c>
      <c r="T25" s="9">
        <v>-66.699999999999989</v>
      </c>
      <c r="U25" s="9">
        <v>2814.63</v>
      </c>
      <c r="V25" s="10">
        <v>3272.55</v>
      </c>
      <c r="W25" s="11">
        <v>3272.55</v>
      </c>
      <c r="X25" s="12">
        <v>0</v>
      </c>
    </row>
    <row r="26" spans="1:24" ht="18.600000000000001" customHeight="1" x14ac:dyDescent="0.3">
      <c r="A26" s="28" t="str">
        <f t="shared" si="0"/>
        <v>Aktywa</v>
      </c>
      <c r="B26" s="28" t="s">
        <v>348</v>
      </c>
      <c r="C26" s="28" t="s">
        <v>342</v>
      </c>
      <c r="D26" s="28" t="s">
        <v>326</v>
      </c>
      <c r="E26" s="28" t="s">
        <v>355</v>
      </c>
      <c r="F26" s="28"/>
      <c r="G26" s="14">
        <v>16008000</v>
      </c>
      <c r="H26" s="7" t="s">
        <v>127</v>
      </c>
      <c r="I26" s="8" t="s">
        <v>102</v>
      </c>
      <c r="J26" s="9">
        <v>-11714.43</v>
      </c>
      <c r="K26" s="9">
        <v>15089.74</v>
      </c>
      <c r="L26" s="9">
        <v>29514.709999999995</v>
      </c>
      <c r="M26" s="9">
        <v>797.4600000000064</v>
      </c>
      <c r="N26" s="9">
        <v>634.95999999999913</v>
      </c>
      <c r="O26" s="9">
        <v>-11740.310000000001</v>
      </c>
      <c r="P26" s="9">
        <v>-4282.4000000000015</v>
      </c>
      <c r="Q26" s="9">
        <v>-1439.3299999999981</v>
      </c>
      <c r="R26" s="9">
        <v>3647.59</v>
      </c>
      <c r="S26" s="9">
        <v>-9211.8000000000011</v>
      </c>
      <c r="T26" s="9">
        <v>8169.7499999999982</v>
      </c>
      <c r="U26" s="9">
        <v>-12518.919999999998</v>
      </c>
      <c r="V26" s="10">
        <v>6947.02</v>
      </c>
      <c r="W26" s="11">
        <v>6947.02</v>
      </c>
      <c r="X26" s="12">
        <v>0</v>
      </c>
    </row>
    <row r="27" spans="1:24" ht="18.600000000000001" customHeight="1" x14ac:dyDescent="0.3">
      <c r="A27" s="28" t="str">
        <f t="shared" si="0"/>
        <v>Aktywa</v>
      </c>
      <c r="B27" s="28" t="s">
        <v>348</v>
      </c>
      <c r="C27" s="28" t="s">
        <v>342</v>
      </c>
      <c r="D27" s="28" t="s">
        <v>335</v>
      </c>
      <c r="E27" s="28" t="s">
        <v>355</v>
      </c>
      <c r="F27" s="28"/>
      <c r="G27" s="14">
        <v>16008030</v>
      </c>
      <c r="H27" s="7" t="s">
        <v>128</v>
      </c>
      <c r="I27" s="8" t="s">
        <v>102</v>
      </c>
      <c r="J27" s="9">
        <v>0</v>
      </c>
      <c r="K27" s="9">
        <v>10000</v>
      </c>
      <c r="L27" s="9">
        <v>0</v>
      </c>
      <c r="M27" s="9">
        <v>0</v>
      </c>
      <c r="N27" s="9">
        <v>-10000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10">
        <v>0</v>
      </c>
      <c r="W27" s="11">
        <v>0</v>
      </c>
      <c r="X27" s="12">
        <v>0</v>
      </c>
    </row>
    <row r="28" spans="1:24" ht="18.600000000000001" customHeight="1" x14ac:dyDescent="0.3">
      <c r="A28" s="28" t="str">
        <f t="shared" si="0"/>
        <v>Aktywa</v>
      </c>
      <c r="B28" s="28" t="s">
        <v>348</v>
      </c>
      <c r="C28" s="28" t="s">
        <v>338</v>
      </c>
      <c r="D28" s="28" t="s">
        <v>101</v>
      </c>
      <c r="E28" s="28"/>
      <c r="F28" s="28"/>
      <c r="G28" s="14">
        <v>17000000</v>
      </c>
      <c r="H28" s="7" t="s">
        <v>129</v>
      </c>
      <c r="I28" s="8" t="s">
        <v>102</v>
      </c>
      <c r="J28" s="9">
        <v>62811.57</v>
      </c>
      <c r="K28" s="9">
        <v>-6281.0999999999985</v>
      </c>
      <c r="L28" s="9">
        <v>-6281.0999999999985</v>
      </c>
      <c r="M28" s="9">
        <v>-6281.1000000000058</v>
      </c>
      <c r="N28" s="9">
        <v>-6281.0999999999985</v>
      </c>
      <c r="O28" s="9">
        <v>-6281.0999999999985</v>
      </c>
      <c r="P28" s="9">
        <v>-6281.0999999999985</v>
      </c>
      <c r="Q28" s="9">
        <v>-6281.1000000000022</v>
      </c>
      <c r="R28" s="9">
        <v>-6281.0999999999985</v>
      </c>
      <c r="S28" s="9">
        <v>-6281.1</v>
      </c>
      <c r="T28" s="9">
        <v>-6281.67</v>
      </c>
      <c r="U28" s="9">
        <v>0</v>
      </c>
      <c r="V28" s="10">
        <v>0</v>
      </c>
      <c r="W28" s="11">
        <v>0</v>
      </c>
      <c r="X28" s="12">
        <v>0</v>
      </c>
    </row>
    <row r="29" spans="1:24" ht="18.600000000000001" customHeight="1" x14ac:dyDescent="0.3">
      <c r="A29" s="28" t="str">
        <f t="shared" si="0"/>
        <v>Aktywa</v>
      </c>
      <c r="B29" s="28" t="s">
        <v>348</v>
      </c>
      <c r="C29" s="28" t="s">
        <v>338</v>
      </c>
      <c r="D29" s="28" t="s">
        <v>101</v>
      </c>
      <c r="E29" s="28"/>
      <c r="F29" s="28"/>
      <c r="G29" s="14">
        <v>17000030</v>
      </c>
      <c r="H29" s="7" t="s">
        <v>130</v>
      </c>
      <c r="I29" s="8" t="s">
        <v>102</v>
      </c>
      <c r="J29" s="9">
        <v>17661.79</v>
      </c>
      <c r="K29" s="9">
        <v>-2812.4300000000003</v>
      </c>
      <c r="L29" s="9">
        <v>1370.2899999999991</v>
      </c>
      <c r="M29" s="9">
        <v>24187.9</v>
      </c>
      <c r="N29" s="9">
        <v>-5296.1100000000006</v>
      </c>
      <c r="O29" s="9">
        <v>8255.8299999999945</v>
      </c>
      <c r="P29" s="9">
        <v>2916.4500000000044</v>
      </c>
      <c r="Q29" s="9">
        <v>-5329.6300000000047</v>
      </c>
      <c r="R29" s="9">
        <v>-3381.0899999999965</v>
      </c>
      <c r="S29" s="9">
        <v>-5329.09</v>
      </c>
      <c r="T29" s="9">
        <v>-5329.09</v>
      </c>
      <c r="U29" s="9">
        <v>-1444.2000000000007</v>
      </c>
      <c r="V29" s="10">
        <v>25470.62</v>
      </c>
      <c r="W29" s="11">
        <v>25470.62</v>
      </c>
      <c r="X29" s="12">
        <v>0</v>
      </c>
    </row>
    <row r="30" spans="1:24" ht="18.600000000000001" customHeight="1" x14ac:dyDescent="0.3">
      <c r="A30" s="28" t="str">
        <f t="shared" si="0"/>
        <v>Aktywa</v>
      </c>
      <c r="B30" s="28" t="s">
        <v>348</v>
      </c>
      <c r="C30" s="28" t="s">
        <v>343</v>
      </c>
      <c r="D30" s="28" t="s">
        <v>327</v>
      </c>
      <c r="E30" s="28" t="s">
        <v>368</v>
      </c>
      <c r="F30" s="28" t="s">
        <v>367</v>
      </c>
      <c r="G30" s="14">
        <v>18579900</v>
      </c>
      <c r="H30" s="7" t="s">
        <v>131</v>
      </c>
      <c r="I30" s="8" t="s">
        <v>102</v>
      </c>
      <c r="J30" s="9">
        <v>73896.98</v>
      </c>
      <c r="K30" s="9">
        <v>179485.22000000003</v>
      </c>
      <c r="L30" s="9">
        <v>116172.51000000001</v>
      </c>
      <c r="M30" s="9">
        <v>-342155.16000000003</v>
      </c>
      <c r="N30" s="9">
        <v>140378.92000000001</v>
      </c>
      <c r="O30" s="9">
        <v>589860.22</v>
      </c>
      <c r="P30" s="9">
        <v>-655795.8899999999</v>
      </c>
      <c r="Q30" s="9">
        <v>67057.490000000005</v>
      </c>
      <c r="R30" s="9">
        <v>-68231.48000000001</v>
      </c>
      <c r="S30" s="9">
        <v>15997.279999999999</v>
      </c>
      <c r="T30" s="9">
        <v>69099.47</v>
      </c>
      <c r="U30" s="9">
        <v>-91363.78</v>
      </c>
      <c r="V30" s="10">
        <v>94401.780000000028</v>
      </c>
      <c r="W30" s="11">
        <v>94401.78</v>
      </c>
      <c r="X30" s="12">
        <v>0</v>
      </c>
    </row>
    <row r="31" spans="1:24" ht="18.600000000000001" customHeight="1" x14ac:dyDescent="0.3">
      <c r="A31" s="28" t="str">
        <f t="shared" si="0"/>
        <v>Aktywa</v>
      </c>
      <c r="B31" s="28" t="s">
        <v>348</v>
      </c>
      <c r="C31" s="28" t="s">
        <v>343</v>
      </c>
      <c r="D31" s="28" t="s">
        <v>327</v>
      </c>
      <c r="E31" s="28" t="s">
        <v>368</v>
      </c>
      <c r="F31" s="28" t="s">
        <v>367</v>
      </c>
      <c r="G31" s="14">
        <v>18580000</v>
      </c>
      <c r="H31" s="7" t="s">
        <v>132</v>
      </c>
      <c r="I31" s="8" t="s">
        <v>102</v>
      </c>
      <c r="J31" s="9">
        <v>7177.18</v>
      </c>
      <c r="K31" s="9">
        <v>-121.44000000000051</v>
      </c>
      <c r="L31" s="9">
        <v>34678.03</v>
      </c>
      <c r="M31" s="9">
        <v>-37467.629999999997</v>
      </c>
      <c r="N31" s="9">
        <v>0</v>
      </c>
      <c r="O31" s="9">
        <v>2883.2999999999993</v>
      </c>
      <c r="P31" s="9">
        <v>265.61000000000058</v>
      </c>
      <c r="Q31" s="9">
        <v>88.960000000000036</v>
      </c>
      <c r="R31" s="9">
        <v>-972.0600000000004</v>
      </c>
      <c r="S31" s="9">
        <v>-7325.44</v>
      </c>
      <c r="T31" s="9">
        <v>-964.54</v>
      </c>
      <c r="U31" s="9">
        <v>1758.03</v>
      </c>
      <c r="V31" s="10">
        <v>0</v>
      </c>
      <c r="W31" s="11">
        <v>0</v>
      </c>
      <c r="X31" s="12">
        <v>0</v>
      </c>
    </row>
    <row r="32" spans="1:24" ht="18.600000000000001" customHeight="1" x14ac:dyDescent="0.3">
      <c r="A32" s="28" t="str">
        <f t="shared" si="0"/>
        <v>Aktywa</v>
      </c>
      <c r="B32" s="28" t="s">
        <v>348</v>
      </c>
      <c r="C32" s="28" t="s">
        <v>343</v>
      </c>
      <c r="D32" s="28" t="s">
        <v>327</v>
      </c>
      <c r="E32" s="28" t="s">
        <v>368</v>
      </c>
      <c r="F32" s="28" t="s">
        <v>367</v>
      </c>
      <c r="G32" s="14">
        <v>18580100</v>
      </c>
      <c r="H32" s="7" t="s">
        <v>133</v>
      </c>
      <c r="I32" s="8" t="s">
        <v>102</v>
      </c>
      <c r="J32" s="9">
        <v>20275.14</v>
      </c>
      <c r="K32" s="9">
        <v>-1344.0299999999988</v>
      </c>
      <c r="L32" s="9">
        <v>-8823.61</v>
      </c>
      <c r="M32" s="9">
        <v>0</v>
      </c>
      <c r="N32" s="9">
        <v>0</v>
      </c>
      <c r="O32" s="9">
        <v>-145.95000000000073</v>
      </c>
      <c r="P32" s="9">
        <v>3288.4500000000007</v>
      </c>
      <c r="Q32" s="9">
        <v>-0.19000000000050932</v>
      </c>
      <c r="R32" s="9">
        <v>0</v>
      </c>
      <c r="S32" s="9">
        <v>2496.6000000000004</v>
      </c>
      <c r="T32" s="9">
        <v>13199.93</v>
      </c>
      <c r="U32" s="9">
        <v>-28946.34</v>
      </c>
      <c r="V32" s="10">
        <v>0</v>
      </c>
      <c r="W32" s="11">
        <v>0</v>
      </c>
      <c r="X32" s="12">
        <v>0</v>
      </c>
    </row>
    <row r="33" spans="1:24" ht="18.600000000000001" customHeight="1" x14ac:dyDescent="0.3">
      <c r="A33" s="28" t="str">
        <f t="shared" si="0"/>
        <v>Aktywa</v>
      </c>
      <c r="B33" s="28" t="s">
        <v>348</v>
      </c>
      <c r="C33" s="28" t="s">
        <v>343</v>
      </c>
      <c r="D33" s="28" t="s">
        <v>327</v>
      </c>
      <c r="E33" s="28" t="s">
        <v>368</v>
      </c>
      <c r="F33" s="28" t="s">
        <v>367</v>
      </c>
      <c r="G33" s="14">
        <v>18580200</v>
      </c>
      <c r="H33" s="7" t="s">
        <v>134</v>
      </c>
      <c r="I33" s="8" t="s">
        <v>102</v>
      </c>
      <c r="J33" s="9">
        <v>1038.47</v>
      </c>
      <c r="K33" s="9">
        <v>-525</v>
      </c>
      <c r="L33" s="9">
        <v>4487</v>
      </c>
      <c r="M33" s="9">
        <v>-10</v>
      </c>
      <c r="N33" s="9">
        <v>-10</v>
      </c>
      <c r="O33" s="9">
        <v>-10</v>
      </c>
      <c r="P33" s="9">
        <v>-16</v>
      </c>
      <c r="Q33" s="9">
        <v>-10</v>
      </c>
      <c r="R33" s="9">
        <v>-1019.0000000000005</v>
      </c>
      <c r="S33" s="9">
        <v>973.36000000000013</v>
      </c>
      <c r="T33" s="9">
        <v>-10</v>
      </c>
      <c r="U33" s="9">
        <v>-10</v>
      </c>
      <c r="V33" s="10">
        <v>4878.83</v>
      </c>
      <c r="W33" s="11">
        <v>4878.83</v>
      </c>
      <c r="X33" s="12">
        <v>0</v>
      </c>
    </row>
    <row r="34" spans="1:24" ht="18.600000000000001" customHeight="1" x14ac:dyDescent="0.3">
      <c r="A34" s="28" t="str">
        <f t="shared" ref="A34:A64" si="1">IF(ISNUMBER(SEARCH("aktywa",B34)),"Aktywa","Pasywa")</f>
        <v>Aktywa</v>
      </c>
      <c r="B34" s="28" t="s">
        <v>348</v>
      </c>
      <c r="C34" s="28" t="s">
        <v>343</v>
      </c>
      <c r="D34" s="28" t="s">
        <v>327</v>
      </c>
      <c r="E34" s="28" t="s">
        <v>368</v>
      </c>
      <c r="F34" s="28" t="s">
        <v>367</v>
      </c>
      <c r="G34" s="14">
        <v>19000000</v>
      </c>
      <c r="H34" s="7" t="s">
        <v>135</v>
      </c>
      <c r="I34" s="8" t="s">
        <v>102</v>
      </c>
      <c r="J34" s="9">
        <v>4724.93</v>
      </c>
      <c r="K34" s="9">
        <v>-132.92000000000007</v>
      </c>
      <c r="L34" s="9">
        <v>322.96999999999935</v>
      </c>
      <c r="M34" s="9">
        <v>0</v>
      </c>
      <c r="N34" s="9">
        <v>-1133.9999999999995</v>
      </c>
      <c r="O34" s="9">
        <v>-500</v>
      </c>
      <c r="P34" s="9">
        <v>1031.9999999999995</v>
      </c>
      <c r="Q34" s="9">
        <v>0</v>
      </c>
      <c r="R34" s="9">
        <v>-1258.0599999999995</v>
      </c>
      <c r="S34" s="9">
        <v>1056.6400000000003</v>
      </c>
      <c r="T34" s="9">
        <v>-998.70000000000027</v>
      </c>
      <c r="U34" s="9">
        <v>500</v>
      </c>
      <c r="V34" s="10">
        <v>3612.86</v>
      </c>
      <c r="W34" s="11">
        <v>3612.86</v>
      </c>
      <c r="X34" s="12">
        <v>0</v>
      </c>
    </row>
    <row r="35" spans="1:24" ht="18.600000000000001" customHeight="1" x14ac:dyDescent="0.3">
      <c r="A35" s="28" t="str">
        <f t="shared" si="1"/>
        <v>Aktywa</v>
      </c>
      <c r="B35" s="28" t="s">
        <v>348</v>
      </c>
      <c r="C35" s="28" t="s">
        <v>343</v>
      </c>
      <c r="D35" s="28" t="s">
        <v>327</v>
      </c>
      <c r="E35" s="28" t="s">
        <v>368</v>
      </c>
      <c r="F35" s="28" t="s">
        <v>367</v>
      </c>
      <c r="G35" s="14">
        <v>19002000</v>
      </c>
      <c r="H35" s="7" t="s">
        <v>136</v>
      </c>
      <c r="I35" s="8" t="s">
        <v>102</v>
      </c>
      <c r="J35" s="9">
        <v>19532.080000000002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2000</v>
      </c>
      <c r="R35" s="9">
        <v>0</v>
      </c>
      <c r="S35" s="9">
        <v>-2000</v>
      </c>
      <c r="T35" s="9">
        <v>-20642.43</v>
      </c>
      <c r="U35" s="9">
        <v>1110.3499999999999</v>
      </c>
      <c r="V35" s="10">
        <v>0</v>
      </c>
      <c r="W35" s="11">
        <v>0</v>
      </c>
      <c r="X35" s="12">
        <v>0</v>
      </c>
    </row>
    <row r="36" spans="1:24" ht="18.600000000000001" customHeight="1" x14ac:dyDescent="0.3">
      <c r="A36" s="28" t="str">
        <f t="shared" si="1"/>
        <v>Pasywa</v>
      </c>
      <c r="B36" s="28" t="s">
        <v>346</v>
      </c>
      <c r="C36" s="28" t="s">
        <v>332</v>
      </c>
      <c r="D36" s="28" t="s">
        <v>101</v>
      </c>
      <c r="E36" s="28"/>
      <c r="F36" s="28"/>
      <c r="G36" s="14">
        <v>20000000</v>
      </c>
      <c r="H36" s="7" t="s">
        <v>137</v>
      </c>
      <c r="I36" s="8" t="s">
        <v>102</v>
      </c>
      <c r="J36" s="9">
        <v>50000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10">
        <v>50000</v>
      </c>
      <c r="W36" s="11">
        <v>50000</v>
      </c>
      <c r="X36" s="12">
        <v>0</v>
      </c>
    </row>
    <row r="37" spans="1:24" ht="18.600000000000001" customHeight="1" x14ac:dyDescent="0.3">
      <c r="A37" s="28" t="str">
        <f t="shared" si="1"/>
        <v>Pasywa</v>
      </c>
      <c r="B37" s="28" t="s">
        <v>346</v>
      </c>
      <c r="C37" s="28" t="s">
        <v>333</v>
      </c>
      <c r="D37" s="28" t="s">
        <v>101</v>
      </c>
      <c r="E37" s="28"/>
      <c r="F37" s="28"/>
      <c r="G37" s="14">
        <v>21000000</v>
      </c>
      <c r="H37" s="7" t="s">
        <v>138</v>
      </c>
      <c r="I37" s="8" t="s">
        <v>102</v>
      </c>
      <c r="J37" s="9">
        <v>1892451.04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321922.68999999994</v>
      </c>
      <c r="S37" s="9">
        <v>0</v>
      </c>
      <c r="T37" s="9">
        <v>0</v>
      </c>
      <c r="U37" s="9">
        <v>0</v>
      </c>
      <c r="V37" s="10">
        <v>2214373.73</v>
      </c>
      <c r="W37" s="11">
        <v>2214373.73</v>
      </c>
      <c r="X37" s="12">
        <v>0</v>
      </c>
    </row>
    <row r="38" spans="1:24" ht="18.600000000000001" customHeight="1" x14ac:dyDescent="0.3">
      <c r="A38" s="28" t="str">
        <f t="shared" si="1"/>
        <v>Pasywa</v>
      </c>
      <c r="B38" s="28" t="s">
        <v>346</v>
      </c>
      <c r="C38" s="28" t="s">
        <v>333</v>
      </c>
      <c r="D38" s="28" t="s">
        <v>101</v>
      </c>
      <c r="E38" s="28"/>
      <c r="F38" s="28"/>
      <c r="G38" s="14">
        <v>21500000</v>
      </c>
      <c r="H38" s="7" t="s">
        <v>139</v>
      </c>
      <c r="I38" s="8" t="s">
        <v>102</v>
      </c>
      <c r="J38" s="9">
        <v>337223.54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-321922.69</v>
      </c>
      <c r="S38" s="9">
        <v>0</v>
      </c>
      <c r="T38" s="9">
        <v>0</v>
      </c>
      <c r="U38" s="9">
        <v>0</v>
      </c>
      <c r="V38" s="10">
        <v>15300.849999999977</v>
      </c>
      <c r="W38" s="11">
        <v>15300.85</v>
      </c>
      <c r="X38" s="12">
        <v>-2.3646862246096134E-11</v>
      </c>
    </row>
    <row r="39" spans="1:24" ht="18.600000000000001" customHeight="1" x14ac:dyDescent="0.3">
      <c r="A39" s="28" t="str">
        <f t="shared" si="1"/>
        <v>Pasywa</v>
      </c>
      <c r="B39" s="28" t="s">
        <v>347</v>
      </c>
      <c r="C39" s="28" t="s">
        <v>344</v>
      </c>
      <c r="D39" s="28" t="s">
        <v>329</v>
      </c>
      <c r="E39" s="28" t="s">
        <v>360</v>
      </c>
      <c r="F39" s="28"/>
      <c r="G39" s="14">
        <v>30500000</v>
      </c>
      <c r="H39" s="7" t="s">
        <v>140</v>
      </c>
      <c r="I39" s="8" t="s">
        <v>102</v>
      </c>
      <c r="J39" s="9">
        <v>515308</v>
      </c>
      <c r="K39" s="9">
        <v>-2375</v>
      </c>
      <c r="L39" s="9">
        <v>2375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-16985</v>
      </c>
      <c r="V39" s="10">
        <v>498323</v>
      </c>
      <c r="W39" s="11">
        <v>498323</v>
      </c>
      <c r="X39" s="12">
        <v>0</v>
      </c>
    </row>
    <row r="40" spans="1:24" ht="18.600000000000001" customHeight="1" x14ac:dyDescent="0.3">
      <c r="A40" s="28" t="str">
        <f t="shared" si="1"/>
        <v>Pasywa</v>
      </c>
      <c r="B40" s="28" t="s">
        <v>347</v>
      </c>
      <c r="C40" s="28" t="s">
        <v>344</v>
      </c>
      <c r="D40" s="28" t="s">
        <v>330</v>
      </c>
      <c r="E40" s="28" t="s">
        <v>361</v>
      </c>
      <c r="F40" s="28"/>
      <c r="G40" s="14">
        <v>33506033</v>
      </c>
      <c r="H40" s="7" t="s">
        <v>141</v>
      </c>
      <c r="I40" s="8" t="s">
        <v>102</v>
      </c>
      <c r="J40" s="9">
        <v>1458033</v>
      </c>
      <c r="K40" s="9">
        <v>0</v>
      </c>
      <c r="L40" s="9">
        <v>0</v>
      </c>
      <c r="M40" s="9">
        <v>-1458033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1452460.8</v>
      </c>
      <c r="V40" s="10">
        <v>1452460.8</v>
      </c>
      <c r="W40" s="11">
        <v>1452460.8</v>
      </c>
      <c r="X40" s="12">
        <v>0</v>
      </c>
    </row>
    <row r="41" spans="1:24" ht="18.600000000000001" customHeight="1" x14ac:dyDescent="0.3">
      <c r="A41" s="28" t="str">
        <f t="shared" si="1"/>
        <v>Pasywa</v>
      </c>
      <c r="B41" s="28" t="s">
        <v>347</v>
      </c>
      <c r="C41" s="28" t="s">
        <v>344</v>
      </c>
      <c r="D41" s="28" t="s">
        <v>330</v>
      </c>
      <c r="E41" s="28" t="s">
        <v>360</v>
      </c>
      <c r="F41" s="28"/>
      <c r="G41" s="14">
        <v>33506050</v>
      </c>
      <c r="H41" s="7" t="s">
        <v>142</v>
      </c>
      <c r="I41" s="8" t="s">
        <v>102</v>
      </c>
      <c r="J41" s="9">
        <v>740835.59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262148.30000000005</v>
      </c>
      <c r="V41" s="10">
        <v>1002983.89</v>
      </c>
      <c r="W41" s="11">
        <v>1002983.89</v>
      </c>
      <c r="X41" s="12">
        <v>0</v>
      </c>
    </row>
    <row r="42" spans="1:24" ht="18.600000000000001" customHeight="1" x14ac:dyDescent="0.3">
      <c r="A42" s="28" t="str">
        <f t="shared" si="1"/>
        <v>Pasywa</v>
      </c>
      <c r="B42" s="28" t="s">
        <v>347</v>
      </c>
      <c r="C42" s="28" t="s">
        <v>344</v>
      </c>
      <c r="D42" s="28" t="s">
        <v>330</v>
      </c>
      <c r="E42" s="28" t="s">
        <v>360</v>
      </c>
      <c r="F42" s="28"/>
      <c r="G42" s="14">
        <v>34014000</v>
      </c>
      <c r="H42" s="7" t="s">
        <v>143</v>
      </c>
      <c r="I42" s="8" t="s">
        <v>102</v>
      </c>
      <c r="J42" s="9">
        <v>27350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24800</v>
      </c>
      <c r="V42" s="10">
        <v>52150</v>
      </c>
      <c r="W42" s="11">
        <v>52150</v>
      </c>
      <c r="X42" s="12">
        <v>0</v>
      </c>
    </row>
    <row r="43" spans="1:24" ht="18.600000000000001" customHeight="1" x14ac:dyDescent="0.3">
      <c r="A43" s="28" t="str">
        <f t="shared" si="1"/>
        <v>Pasywa</v>
      </c>
      <c r="B43" s="28" t="s">
        <v>347</v>
      </c>
      <c r="C43" s="28" t="s">
        <v>345</v>
      </c>
      <c r="D43" s="28" t="s">
        <v>331</v>
      </c>
      <c r="E43" s="28" t="s">
        <v>362</v>
      </c>
      <c r="F43" s="28" t="s">
        <v>364</v>
      </c>
      <c r="G43" s="14">
        <v>34500000</v>
      </c>
      <c r="H43" s="7" t="s">
        <v>144</v>
      </c>
      <c r="I43" s="8" t="s">
        <v>102</v>
      </c>
      <c r="J43" s="9">
        <v>24764.080000000002</v>
      </c>
      <c r="K43" s="9">
        <v>-11201.760000000002</v>
      </c>
      <c r="L43" s="9">
        <v>-21140.87</v>
      </c>
      <c r="M43" s="9">
        <v>59545.15</v>
      </c>
      <c r="N43" s="9">
        <v>-47164.52</v>
      </c>
      <c r="O43" s="9">
        <v>28226.39</v>
      </c>
      <c r="P43" s="9">
        <v>85949.16</v>
      </c>
      <c r="Q43" s="9">
        <v>-23709.11</v>
      </c>
      <c r="R43" s="9">
        <v>-61043.140000000007</v>
      </c>
      <c r="S43" s="9">
        <v>38598.830000000009</v>
      </c>
      <c r="T43" s="9">
        <v>-8398.4500000000044</v>
      </c>
      <c r="U43" s="9">
        <v>-18659.590000000004</v>
      </c>
      <c r="V43" s="10">
        <v>45766.17</v>
      </c>
      <c r="W43" s="11">
        <v>45766.17</v>
      </c>
      <c r="X43" s="12">
        <v>0</v>
      </c>
    </row>
    <row r="44" spans="1:24" ht="18.600000000000001" customHeight="1" x14ac:dyDescent="0.3">
      <c r="A44" s="28" t="str">
        <f t="shared" si="1"/>
        <v>Aktywa</v>
      </c>
      <c r="B44" s="28" t="s">
        <v>348</v>
      </c>
      <c r="C44" s="28" t="s">
        <v>342</v>
      </c>
      <c r="D44" s="28" t="s">
        <v>325</v>
      </c>
      <c r="E44" s="28" t="s">
        <v>354</v>
      </c>
      <c r="F44" s="28" t="s">
        <v>364</v>
      </c>
      <c r="G44" s="14">
        <v>34550000</v>
      </c>
      <c r="H44" s="7" t="s">
        <v>145</v>
      </c>
      <c r="I44" s="8" t="s">
        <v>102</v>
      </c>
      <c r="J44" s="9">
        <v>1877205</v>
      </c>
      <c r="K44" s="9">
        <v>-1876903.45</v>
      </c>
      <c r="L44" s="9">
        <v>1765359.8599999999</v>
      </c>
      <c r="M44" s="9">
        <v>-335134.17999999993</v>
      </c>
      <c r="N44" s="9">
        <v>312205</v>
      </c>
      <c r="O44" s="9">
        <v>-56041.169999999925</v>
      </c>
      <c r="P44" s="9">
        <v>47587.169999999925</v>
      </c>
      <c r="Q44" s="9">
        <v>246</v>
      </c>
      <c r="R44" s="9">
        <v>30.270000000018626</v>
      </c>
      <c r="S44" s="9">
        <v>-23112.629999999888</v>
      </c>
      <c r="T44" s="9">
        <v>-38893.130000000121</v>
      </c>
      <c r="U44" s="9">
        <v>1433122.26</v>
      </c>
      <c r="V44" s="10">
        <v>3105671</v>
      </c>
      <c r="W44" s="11">
        <v>3105671</v>
      </c>
      <c r="X44" s="12">
        <v>0</v>
      </c>
    </row>
    <row r="45" spans="1:24" ht="18.600000000000001" customHeight="1" x14ac:dyDescent="0.3">
      <c r="A45" s="28" t="str">
        <f t="shared" si="1"/>
        <v>Pasywa</v>
      </c>
      <c r="B45" s="28" t="s">
        <v>347</v>
      </c>
      <c r="C45" s="28" t="s">
        <v>345</v>
      </c>
      <c r="D45" s="28" t="s">
        <v>331</v>
      </c>
      <c r="E45" s="28" t="s">
        <v>362</v>
      </c>
      <c r="F45" s="28" t="s">
        <v>364</v>
      </c>
      <c r="G45" s="14">
        <v>34550999</v>
      </c>
      <c r="H45" s="7" t="s">
        <v>146</v>
      </c>
      <c r="I45" s="8" t="s">
        <v>102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10">
        <v>0</v>
      </c>
      <c r="W45" s="11">
        <v>0</v>
      </c>
      <c r="X45" s="12">
        <v>0</v>
      </c>
    </row>
    <row r="46" spans="1:24" ht="18.600000000000001" customHeight="1" x14ac:dyDescent="0.3">
      <c r="A46" s="28" t="str">
        <f t="shared" si="1"/>
        <v>Aktywa</v>
      </c>
      <c r="B46" s="28" t="s">
        <v>348</v>
      </c>
      <c r="C46" s="28" t="s">
        <v>342</v>
      </c>
      <c r="D46" s="28" t="s">
        <v>326</v>
      </c>
      <c r="E46" s="28" t="s">
        <v>359</v>
      </c>
      <c r="F46" s="28"/>
      <c r="G46" s="14">
        <v>35002000</v>
      </c>
      <c r="H46" s="7" t="s">
        <v>147</v>
      </c>
      <c r="I46" s="8" t="s">
        <v>102</v>
      </c>
      <c r="J46" s="9">
        <v>584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10">
        <v>584</v>
      </c>
      <c r="W46" s="11">
        <v>584</v>
      </c>
      <c r="X46" s="12">
        <v>0</v>
      </c>
    </row>
    <row r="47" spans="1:24" ht="18.600000000000001" customHeight="1" x14ac:dyDescent="0.3">
      <c r="A47" s="28" t="str">
        <f t="shared" si="1"/>
        <v>Pasywa</v>
      </c>
      <c r="B47" s="28" t="s">
        <v>347</v>
      </c>
      <c r="C47" s="28" t="s">
        <v>345</v>
      </c>
      <c r="D47" s="28" t="s">
        <v>331</v>
      </c>
      <c r="E47" s="28" t="s">
        <v>358</v>
      </c>
      <c r="F47" s="28"/>
      <c r="G47" s="14">
        <v>35002010</v>
      </c>
      <c r="H47" s="7" t="s">
        <v>148</v>
      </c>
      <c r="I47" s="8" t="s">
        <v>102</v>
      </c>
      <c r="J47" s="9">
        <v>87869.07</v>
      </c>
      <c r="K47" s="9">
        <v>-412.01000000000931</v>
      </c>
      <c r="L47" s="9">
        <v>12757.910000000003</v>
      </c>
      <c r="M47" s="9">
        <v>-570.99000000000524</v>
      </c>
      <c r="N47" s="9">
        <v>174.91000000000349</v>
      </c>
      <c r="O47" s="9">
        <v>84.930000000007567</v>
      </c>
      <c r="P47" s="9">
        <v>246.73999999999069</v>
      </c>
      <c r="Q47" s="9">
        <v>465.57000000000698</v>
      </c>
      <c r="R47" s="9">
        <v>286.02999999999884</v>
      </c>
      <c r="S47" s="9">
        <v>815.59999999999127</v>
      </c>
      <c r="T47" s="9">
        <v>137.82000000000698</v>
      </c>
      <c r="U47" s="9">
        <v>3169.6999999999971</v>
      </c>
      <c r="V47" s="10">
        <v>105025.28</v>
      </c>
      <c r="W47" s="11">
        <v>105025.28</v>
      </c>
      <c r="X47" s="12">
        <v>0</v>
      </c>
    </row>
    <row r="48" spans="1:24" ht="18.600000000000001" customHeight="1" x14ac:dyDescent="0.3">
      <c r="A48" s="28" t="str">
        <f t="shared" si="1"/>
        <v>Pasywa</v>
      </c>
      <c r="B48" s="28" t="s">
        <v>347</v>
      </c>
      <c r="C48" s="28" t="s">
        <v>345</v>
      </c>
      <c r="D48" s="28" t="s">
        <v>331</v>
      </c>
      <c r="E48" s="28" t="s">
        <v>358</v>
      </c>
      <c r="F48" s="28"/>
      <c r="G48" s="14">
        <v>35002100</v>
      </c>
      <c r="H48" s="7" t="s">
        <v>149</v>
      </c>
      <c r="I48" s="8" t="s">
        <v>102</v>
      </c>
      <c r="J48" s="9">
        <v>236.89</v>
      </c>
      <c r="K48" s="9">
        <v>0</v>
      </c>
      <c r="L48" s="9">
        <v>0</v>
      </c>
      <c r="M48" s="9">
        <v>0</v>
      </c>
      <c r="N48" s="9">
        <v>0</v>
      </c>
      <c r="O48" s="9">
        <v>33.330000000000041</v>
      </c>
      <c r="P48" s="9">
        <v>25.859999999999957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10">
        <v>296.08</v>
      </c>
      <c r="W48" s="11">
        <v>296.08</v>
      </c>
      <c r="X48" s="12">
        <v>0</v>
      </c>
    </row>
    <row r="49" spans="1:24" ht="18.600000000000001" customHeight="1" x14ac:dyDescent="0.3">
      <c r="A49" s="28" t="str">
        <f t="shared" si="1"/>
        <v>Pasywa</v>
      </c>
      <c r="B49" s="28" t="s">
        <v>347</v>
      </c>
      <c r="C49" s="28" t="s">
        <v>345</v>
      </c>
      <c r="D49" s="28" t="s">
        <v>331</v>
      </c>
      <c r="E49" s="28" t="s">
        <v>358</v>
      </c>
      <c r="F49" s="28"/>
      <c r="G49" s="14">
        <v>35004001</v>
      </c>
      <c r="H49" s="7" t="s">
        <v>150</v>
      </c>
      <c r="I49" s="8" t="s">
        <v>102</v>
      </c>
      <c r="J49" s="9">
        <v>87880</v>
      </c>
      <c r="K49" s="9">
        <v>-1028</v>
      </c>
      <c r="L49" s="9">
        <v>9404</v>
      </c>
      <c r="M49" s="9">
        <v>118272</v>
      </c>
      <c r="N49" s="9">
        <v>-100726</v>
      </c>
      <c r="O49" s="9">
        <v>14087</v>
      </c>
      <c r="P49" s="9">
        <v>-6210</v>
      </c>
      <c r="Q49" s="9">
        <v>9539</v>
      </c>
      <c r="R49" s="9">
        <v>3053</v>
      </c>
      <c r="S49" s="9">
        <v>8988</v>
      </c>
      <c r="T49" s="9">
        <v>13231</v>
      </c>
      <c r="U49" s="9">
        <v>6853</v>
      </c>
      <c r="V49" s="10">
        <v>163343</v>
      </c>
      <c r="W49" s="11">
        <v>163343</v>
      </c>
      <c r="X49" s="12">
        <v>0</v>
      </c>
    </row>
    <row r="50" spans="1:24" ht="18.600000000000001" customHeight="1" x14ac:dyDescent="0.3">
      <c r="A50" s="28" t="str">
        <f t="shared" si="1"/>
        <v>Pasywa</v>
      </c>
      <c r="B50" s="28" t="s">
        <v>347</v>
      </c>
      <c r="C50" s="28" t="s">
        <v>345</v>
      </c>
      <c r="D50" s="28" t="s">
        <v>331</v>
      </c>
      <c r="E50" s="28" t="s">
        <v>358</v>
      </c>
      <c r="F50" s="28"/>
      <c r="G50" s="14">
        <v>35006000</v>
      </c>
      <c r="H50" s="7" t="s">
        <v>151</v>
      </c>
      <c r="I50" s="8" t="s">
        <v>102</v>
      </c>
      <c r="J50" s="9">
        <v>433622.1</v>
      </c>
      <c r="K50" s="9">
        <v>-10204.509999999951</v>
      </c>
      <c r="L50" s="9">
        <v>-1536.140000000014</v>
      </c>
      <c r="M50" s="9">
        <v>450774.19</v>
      </c>
      <c r="N50" s="9">
        <v>-492565.76000000001</v>
      </c>
      <c r="O50" s="9">
        <v>76065.37</v>
      </c>
      <c r="P50" s="9">
        <v>-90599.890000000014</v>
      </c>
      <c r="Q50" s="9">
        <v>3886.9400000000023</v>
      </c>
      <c r="R50" s="9">
        <v>-7531.3999999999651</v>
      </c>
      <c r="S50" s="9">
        <v>-2597.1900000000023</v>
      </c>
      <c r="T50" s="9">
        <v>-1151.179999999993</v>
      </c>
      <c r="U50" s="9">
        <v>-358162.53</v>
      </c>
      <c r="V50" s="10">
        <v>0</v>
      </c>
      <c r="W50" s="11">
        <v>0</v>
      </c>
      <c r="X50" s="12">
        <v>0</v>
      </c>
    </row>
    <row r="51" spans="1:24" ht="18.600000000000001" customHeight="1" x14ac:dyDescent="0.3">
      <c r="A51" s="28" t="str">
        <f t="shared" si="1"/>
        <v>Aktywa</v>
      </c>
      <c r="B51" s="28" t="s">
        <v>317</v>
      </c>
      <c r="C51" s="28" t="s">
        <v>341</v>
      </c>
      <c r="D51" s="28" t="s">
        <v>321</v>
      </c>
      <c r="E51" s="28"/>
      <c r="F51" s="28"/>
      <c r="G51" s="14">
        <v>36500010</v>
      </c>
      <c r="H51" s="7" t="s">
        <v>152</v>
      </c>
      <c r="I51" s="8" t="s">
        <v>102</v>
      </c>
      <c r="J51" s="9">
        <v>121.1</v>
      </c>
      <c r="K51" s="9">
        <v>3.0000000000001137E-2</v>
      </c>
      <c r="L51" s="9">
        <v>0</v>
      </c>
      <c r="M51" s="9">
        <v>-9.9999999999909051E-3</v>
      </c>
      <c r="N51" s="9">
        <v>0</v>
      </c>
      <c r="O51" s="9">
        <v>3.0000000000001137E-2</v>
      </c>
      <c r="P51" s="9">
        <v>-2.0000000000010232E-2</v>
      </c>
      <c r="Q51" s="9">
        <v>-9.9999999999909051E-3</v>
      </c>
      <c r="R51" s="9">
        <v>9.9999999999909051E-3</v>
      </c>
      <c r="S51" s="9">
        <v>0</v>
      </c>
      <c r="T51" s="9">
        <v>1</v>
      </c>
      <c r="U51" s="9">
        <v>2.3100000000000023</v>
      </c>
      <c r="V51" s="10">
        <v>124.44</v>
      </c>
      <c r="W51" s="11">
        <v>124.44</v>
      </c>
      <c r="X51" s="12">
        <v>0</v>
      </c>
    </row>
    <row r="52" spans="1:24" ht="18.600000000000001" customHeight="1" x14ac:dyDescent="0.3">
      <c r="A52" s="28" t="str">
        <f t="shared" si="1"/>
        <v>Aktywa</v>
      </c>
      <c r="B52" s="28" t="s">
        <v>317</v>
      </c>
      <c r="C52" s="28" t="s">
        <v>341</v>
      </c>
      <c r="D52" s="28" t="s">
        <v>322</v>
      </c>
      <c r="E52" s="28"/>
      <c r="F52" s="28"/>
      <c r="G52" s="14">
        <v>14502000</v>
      </c>
      <c r="H52" s="7" t="s">
        <v>171</v>
      </c>
      <c r="I52" s="8" t="s">
        <v>102</v>
      </c>
      <c r="J52" s="9">
        <v>520903.26</v>
      </c>
      <c r="K52" s="9">
        <v>-451.25</v>
      </c>
      <c r="L52" s="9">
        <v>451.25</v>
      </c>
      <c r="M52" s="9">
        <v>-277026.27</v>
      </c>
      <c r="N52" s="9">
        <v>0</v>
      </c>
      <c r="O52" s="9">
        <v>0</v>
      </c>
      <c r="P52" s="9">
        <v>0</v>
      </c>
      <c r="Q52" s="9">
        <v>0</v>
      </c>
      <c r="R52" s="9">
        <v>-243876.99</v>
      </c>
      <c r="S52" s="9">
        <v>0</v>
      </c>
      <c r="T52" s="9">
        <v>0</v>
      </c>
      <c r="U52" s="9">
        <v>571149.07999999996</v>
      </c>
      <c r="V52" s="10">
        <v>571149.07999999996</v>
      </c>
      <c r="W52" s="11">
        <v>571149.07999999996</v>
      </c>
      <c r="X52" s="12">
        <v>0</v>
      </c>
    </row>
    <row r="53" spans="1:24" ht="18.600000000000001" customHeight="1" x14ac:dyDescent="0.3">
      <c r="A53" s="28" t="str">
        <f t="shared" si="1"/>
        <v>Aktywa</v>
      </c>
      <c r="B53" s="28" t="s">
        <v>348</v>
      </c>
      <c r="C53" s="28" t="s">
        <v>342</v>
      </c>
      <c r="D53" s="28" t="s">
        <v>326</v>
      </c>
      <c r="E53" s="28" t="s">
        <v>359</v>
      </c>
      <c r="F53" s="28"/>
      <c r="G53" s="14">
        <v>16500000</v>
      </c>
      <c r="H53" s="7" t="s">
        <v>172</v>
      </c>
      <c r="I53" s="8" t="s">
        <v>102</v>
      </c>
      <c r="J53" s="9">
        <v>717622</v>
      </c>
      <c r="K53" s="9">
        <v>0</v>
      </c>
      <c r="L53" s="9">
        <v>0</v>
      </c>
      <c r="M53" s="9">
        <v>0</v>
      </c>
      <c r="N53" s="9">
        <v>0</v>
      </c>
      <c r="O53" s="9">
        <v>-728950</v>
      </c>
      <c r="P53" s="9">
        <v>11328</v>
      </c>
      <c r="Q53" s="9">
        <v>0</v>
      </c>
      <c r="R53" s="9">
        <v>0</v>
      </c>
      <c r="S53" s="9">
        <v>0</v>
      </c>
      <c r="T53" s="9">
        <v>0</v>
      </c>
      <c r="U53" s="9">
        <v>315026</v>
      </c>
      <c r="V53" s="10">
        <v>315026</v>
      </c>
      <c r="W53" s="11">
        <v>315026</v>
      </c>
      <c r="X53" s="12">
        <v>0</v>
      </c>
    </row>
    <row r="54" spans="1:24" ht="18.600000000000001" customHeight="1" x14ac:dyDescent="0.3">
      <c r="A54" s="28" t="str">
        <f t="shared" si="1"/>
        <v>Pasywa</v>
      </c>
      <c r="B54" s="28" t="s">
        <v>347</v>
      </c>
      <c r="C54" s="28" t="s">
        <v>345</v>
      </c>
      <c r="D54" s="28" t="s">
        <v>337</v>
      </c>
      <c r="E54" s="28" t="s">
        <v>363</v>
      </c>
      <c r="F54" s="28"/>
      <c r="G54" s="14">
        <v>33506000</v>
      </c>
      <c r="H54" s="7" t="s">
        <v>173</v>
      </c>
      <c r="I54" s="8" t="s">
        <v>102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-730.43</v>
      </c>
      <c r="Q54" s="9">
        <v>730.43</v>
      </c>
      <c r="R54" s="9">
        <v>-29.56</v>
      </c>
      <c r="S54" s="9">
        <v>29.56</v>
      </c>
      <c r="T54" s="9">
        <v>0</v>
      </c>
      <c r="U54" s="9">
        <v>0</v>
      </c>
      <c r="V54" s="10">
        <v>0</v>
      </c>
      <c r="W54" s="11">
        <v>0</v>
      </c>
      <c r="X54" s="12">
        <v>0</v>
      </c>
    </row>
    <row r="55" spans="1:24" ht="18.600000000000001" customHeight="1" x14ac:dyDescent="0.3">
      <c r="A55" s="28" t="str">
        <f t="shared" si="1"/>
        <v>Aktywa</v>
      </c>
      <c r="B55" s="28" t="s">
        <v>317</v>
      </c>
      <c r="C55" s="28" t="s">
        <v>340</v>
      </c>
      <c r="D55" s="28" t="s">
        <v>334</v>
      </c>
      <c r="E55" s="28"/>
      <c r="F55" s="28"/>
      <c r="G55" s="14">
        <v>17006000</v>
      </c>
      <c r="H55" s="7" t="s">
        <v>174</v>
      </c>
      <c r="I55" s="8" t="s">
        <v>102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10">
        <v>0</v>
      </c>
      <c r="W55" s="11">
        <v>0</v>
      </c>
      <c r="X55" s="12">
        <v>0</v>
      </c>
    </row>
    <row r="56" spans="1:24" ht="18.600000000000001" customHeight="1" x14ac:dyDescent="0.3">
      <c r="A56" s="28" t="str">
        <f t="shared" si="1"/>
        <v>Aktywa</v>
      </c>
      <c r="B56" s="28" t="s">
        <v>348</v>
      </c>
      <c r="C56" s="28" t="s">
        <v>342</v>
      </c>
      <c r="D56" s="28" t="s">
        <v>335</v>
      </c>
      <c r="E56" s="28" t="s">
        <v>355</v>
      </c>
      <c r="F56" s="28"/>
      <c r="G56" s="14">
        <v>15560000</v>
      </c>
      <c r="H56" s="7" t="s">
        <v>175</v>
      </c>
      <c r="I56" s="8" t="s">
        <v>102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10">
        <v>0</v>
      </c>
      <c r="W56" s="11">
        <v>0</v>
      </c>
      <c r="X56" s="12">
        <v>0</v>
      </c>
    </row>
    <row r="57" spans="1:24" ht="18.600000000000001" customHeight="1" x14ac:dyDescent="0.3">
      <c r="A57" s="28" t="str">
        <f t="shared" si="1"/>
        <v>Aktywa</v>
      </c>
      <c r="B57" s="28" t="s">
        <v>317</v>
      </c>
      <c r="C57" s="28" t="s">
        <v>341</v>
      </c>
      <c r="D57" s="28" t="s">
        <v>321</v>
      </c>
      <c r="E57" s="28"/>
      <c r="F57" s="28"/>
      <c r="G57" s="14">
        <v>15514000</v>
      </c>
      <c r="H57" s="7" t="s">
        <v>176</v>
      </c>
      <c r="I57" s="8" t="s">
        <v>102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71754</v>
      </c>
      <c r="V57" s="10">
        <v>71754</v>
      </c>
      <c r="W57" s="11">
        <v>71754</v>
      </c>
      <c r="X57" s="12">
        <v>0</v>
      </c>
    </row>
    <row r="58" spans="1:24" ht="18.600000000000001" customHeight="1" x14ac:dyDescent="0.3">
      <c r="A58" s="28" t="str">
        <f t="shared" si="1"/>
        <v>Pasywa</v>
      </c>
      <c r="B58" s="28" t="s">
        <v>347</v>
      </c>
      <c r="C58" s="28" t="s">
        <v>345</v>
      </c>
      <c r="D58" s="28" t="s">
        <v>331</v>
      </c>
      <c r="E58" s="28" t="s">
        <v>362</v>
      </c>
      <c r="F58" s="28" t="s">
        <v>364</v>
      </c>
      <c r="G58" s="14">
        <v>34504000</v>
      </c>
      <c r="H58" s="7" t="s">
        <v>177</v>
      </c>
      <c r="I58" s="8" t="s">
        <v>102</v>
      </c>
      <c r="J58" s="9">
        <v>35.57</v>
      </c>
      <c r="K58" s="9">
        <v>-35.57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60834.03</v>
      </c>
      <c r="V58" s="10">
        <v>60834.03</v>
      </c>
      <c r="W58" s="11">
        <v>60834.03</v>
      </c>
      <c r="X58" s="12">
        <v>0</v>
      </c>
    </row>
    <row r="59" spans="1:24" ht="18.600000000000001" customHeight="1" x14ac:dyDescent="0.3">
      <c r="A59" s="28" t="str">
        <f t="shared" si="1"/>
        <v>Aktywa</v>
      </c>
      <c r="B59" s="28" t="s">
        <v>348</v>
      </c>
      <c r="C59" s="28" t="s">
        <v>342</v>
      </c>
      <c r="D59" s="28" t="s">
        <v>335</v>
      </c>
      <c r="E59" s="28" t="s">
        <v>355</v>
      </c>
      <c r="F59" s="28"/>
      <c r="G59" s="14">
        <v>34515000</v>
      </c>
      <c r="H59" s="7" t="s">
        <v>178</v>
      </c>
      <c r="I59" s="8" t="s">
        <v>102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10">
        <v>0</v>
      </c>
      <c r="W59" s="11">
        <v>0</v>
      </c>
      <c r="X59" s="12">
        <v>0</v>
      </c>
    </row>
    <row r="60" spans="1:24" ht="18.600000000000001" customHeight="1" x14ac:dyDescent="0.3">
      <c r="A60" s="28" t="str">
        <f t="shared" si="1"/>
        <v>Aktywa</v>
      </c>
      <c r="B60" s="28" t="s">
        <v>348</v>
      </c>
      <c r="C60" s="28" t="s">
        <v>343</v>
      </c>
      <c r="D60" s="28" t="s">
        <v>336</v>
      </c>
      <c r="E60" s="28"/>
      <c r="F60" s="28"/>
      <c r="G60" s="14">
        <v>65526100</v>
      </c>
      <c r="H60" s="7" t="s">
        <v>179</v>
      </c>
      <c r="I60" s="8" t="s">
        <v>102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27079.759999999998</v>
      </c>
      <c r="U60" s="9">
        <v>-27079.759999999998</v>
      </c>
      <c r="V60" s="10">
        <v>0</v>
      </c>
      <c r="W60" s="11">
        <v>0</v>
      </c>
      <c r="X60" s="12">
        <v>0</v>
      </c>
    </row>
    <row r="61" spans="1:24" ht="18.600000000000001" customHeight="1" x14ac:dyDescent="0.3">
      <c r="A61" s="28" t="str">
        <f t="shared" si="1"/>
        <v>Pasywa</v>
      </c>
      <c r="B61" s="28" t="s">
        <v>347</v>
      </c>
      <c r="C61" s="28" t="s">
        <v>345</v>
      </c>
      <c r="D61" s="28" t="s">
        <v>335</v>
      </c>
      <c r="E61" s="28"/>
      <c r="F61" s="28"/>
      <c r="G61" s="14">
        <v>16000000</v>
      </c>
      <c r="H61" s="7" t="s">
        <v>180</v>
      </c>
      <c r="I61" s="8" t="s">
        <v>102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10">
        <v>0</v>
      </c>
      <c r="W61" s="11">
        <v>0</v>
      </c>
      <c r="X61" s="12">
        <v>0</v>
      </c>
    </row>
    <row r="62" spans="1:24" ht="18.600000000000001" customHeight="1" x14ac:dyDescent="0.3">
      <c r="A62" s="28" t="str">
        <f t="shared" si="1"/>
        <v>Pasywa</v>
      </c>
      <c r="B62" s="28" t="s">
        <v>347</v>
      </c>
      <c r="C62" s="28" t="s">
        <v>344</v>
      </c>
      <c r="D62" s="28" t="s">
        <v>328</v>
      </c>
      <c r="E62" s="28" t="s">
        <v>361</v>
      </c>
      <c r="F62" s="28"/>
      <c r="G62" s="14">
        <v>31500000</v>
      </c>
      <c r="H62" s="7" t="s">
        <v>181</v>
      </c>
      <c r="I62" s="8" t="s">
        <v>102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79.17</v>
      </c>
      <c r="V62" s="10">
        <v>79.17</v>
      </c>
      <c r="W62" s="11">
        <v>79.17</v>
      </c>
      <c r="X62" s="12">
        <v>0</v>
      </c>
    </row>
    <row r="63" spans="1:24" ht="18.600000000000001" customHeight="1" x14ac:dyDescent="0.3">
      <c r="A63" s="28" t="str">
        <f t="shared" si="1"/>
        <v>Pasywa</v>
      </c>
      <c r="B63" s="28" t="s">
        <v>347</v>
      </c>
      <c r="C63" s="28" t="s">
        <v>345</v>
      </c>
      <c r="D63" s="28" t="s">
        <v>331</v>
      </c>
      <c r="E63" s="28" t="s">
        <v>358</v>
      </c>
      <c r="F63" s="28"/>
      <c r="G63" s="14">
        <v>36000000</v>
      </c>
      <c r="H63" s="7" t="s">
        <v>182</v>
      </c>
      <c r="I63" s="8" t="s">
        <v>102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43662</v>
      </c>
      <c r="V63" s="10">
        <v>43662</v>
      </c>
      <c r="W63" s="11">
        <v>43662</v>
      </c>
      <c r="X63" s="12">
        <v>0</v>
      </c>
    </row>
    <row r="64" spans="1:24" ht="18.600000000000001" customHeight="1" x14ac:dyDescent="0.3">
      <c r="A64" s="28" t="str">
        <f t="shared" si="1"/>
        <v>Pasywa</v>
      </c>
      <c r="B64" s="28" t="s">
        <v>346</v>
      </c>
      <c r="C64" s="28" t="s">
        <v>366</v>
      </c>
      <c r="D64" s="28"/>
      <c r="E64" s="28"/>
      <c r="F64" s="28"/>
      <c r="G64" s="14"/>
      <c r="H64" s="7" t="s">
        <v>365</v>
      </c>
      <c r="I64" s="8"/>
      <c r="J64" s="9">
        <v>181516.08000000054</v>
      </c>
      <c r="K64" s="9">
        <v>161780.99</v>
      </c>
      <c r="L64" s="9">
        <v>54304.5699999996</v>
      </c>
      <c r="M64" s="9">
        <v>-575793.26000000047</v>
      </c>
      <c r="N64" s="9">
        <v>80904.459999999963</v>
      </c>
      <c r="O64" s="9">
        <v>-183603.59999999963</v>
      </c>
      <c r="P64" s="9">
        <v>21642.130000000587</v>
      </c>
      <c r="Q64" s="9">
        <v>123113.26999999909</v>
      </c>
      <c r="R64" s="9">
        <v>-193925.26999999932</v>
      </c>
      <c r="S64" s="9">
        <v>8818.260000000475</v>
      </c>
      <c r="T64" s="9">
        <v>47007.4300000004</v>
      </c>
      <c r="U64" s="9">
        <v>598871.2799999998</v>
      </c>
      <c r="V64" s="10">
        <f>((SUM(_25B[[#This Row],[2025-01]:[2025-12]])))</f>
        <v>324636.34000000102</v>
      </c>
      <c r="W64" s="11">
        <v>-324636.34000000102</v>
      </c>
      <c r="X64" s="12">
        <v>0</v>
      </c>
    </row>
    <row r="66" spans="10:10" x14ac:dyDescent="0.3">
      <c r="J66">
        <v>-1</v>
      </c>
    </row>
  </sheetData>
  <conditionalFormatting sqref="G2:G64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A0D0-0F46-4A11-9796-F709C07D2907}">
  <sheetPr>
    <tabColor rgb="FFFFC000"/>
  </sheetPr>
  <dimension ref="A1:Z66"/>
  <sheetViews>
    <sheetView topLeftCell="H53" workbookViewId="0">
      <selection activeCell="I65" sqref="I65"/>
    </sheetView>
  </sheetViews>
  <sheetFormatPr defaultRowHeight="14.4" x14ac:dyDescent="0.3"/>
  <cols>
    <col min="2" max="2" width="22.109375" customWidth="1"/>
    <col min="3" max="3" width="22.88671875" bestFit="1" customWidth="1"/>
    <col min="4" max="4" width="27.21875" customWidth="1"/>
    <col min="5" max="6" width="11.33203125" customWidth="1"/>
    <col min="7" max="7" width="11.88671875" customWidth="1"/>
    <col min="8" max="8" width="43.77734375" bestFit="1" customWidth="1"/>
    <col min="10" max="10" width="10.33203125" bestFit="1" customWidth="1"/>
    <col min="11" max="12" width="9.5546875" bestFit="1" customWidth="1"/>
    <col min="13" max="13" width="9.109375" bestFit="1" customWidth="1"/>
    <col min="14" max="14" width="9.33203125" customWidth="1"/>
    <col min="15" max="15" width="9" customWidth="1"/>
    <col min="16" max="16" width="8.5546875" customWidth="1"/>
    <col min="17" max="18" width="9.21875" customWidth="1"/>
    <col min="19" max="19" width="8.77734375" customWidth="1"/>
    <col min="20" max="20" width="9.109375" customWidth="1"/>
    <col min="21" max="21" width="9.5546875" bestFit="1" customWidth="1"/>
    <col min="22" max="23" width="10.33203125" bestFit="1" customWidth="1"/>
    <col min="24" max="24" width="7.6640625" customWidth="1"/>
  </cols>
  <sheetData>
    <row r="1" spans="1:26" ht="41.4" thickBot="1" x14ac:dyDescent="0.35">
      <c r="A1" s="1" t="s">
        <v>226</v>
      </c>
      <c r="B1" s="1" t="s">
        <v>227</v>
      </c>
      <c r="C1" s="1" t="s">
        <v>241</v>
      </c>
      <c r="D1" s="1" t="s">
        <v>313</v>
      </c>
      <c r="E1" s="1" t="s">
        <v>323</v>
      </c>
      <c r="F1" s="1" t="s">
        <v>324</v>
      </c>
      <c r="G1" s="2" t="s">
        <v>1</v>
      </c>
      <c r="H1" s="1" t="s">
        <v>2</v>
      </c>
      <c r="I1" s="1" t="s">
        <v>3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4</v>
      </c>
      <c r="W1" s="3" t="s">
        <v>208</v>
      </c>
      <c r="X1" s="4" t="s">
        <v>5</v>
      </c>
    </row>
    <row r="2" spans="1:26" x14ac:dyDescent="0.3">
      <c r="A2" s="28" t="str">
        <f t="shared" ref="A2:A33" si="0">IF(ISNUMBER(SEARCH("aktywa",B2)),"Aktywa","Pasywa")</f>
        <v>Aktywa</v>
      </c>
      <c r="B2" s="28" t="s">
        <v>317</v>
      </c>
      <c r="C2" s="28" t="s">
        <v>316</v>
      </c>
      <c r="D2" s="28" t="s">
        <v>318</v>
      </c>
      <c r="E2" s="28"/>
      <c r="F2" s="28"/>
      <c r="G2" s="14">
        <v>11000100</v>
      </c>
      <c r="H2" s="7" t="s">
        <v>103</v>
      </c>
      <c r="I2" s="8" t="s">
        <v>102</v>
      </c>
      <c r="J2" s="9">
        <v>77463.009999999995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10">
        <v>77463.009999999995</v>
      </c>
      <c r="W2" s="11">
        <v>77463.009999999995</v>
      </c>
      <c r="X2" s="12">
        <v>0</v>
      </c>
      <c r="Z2" t="s">
        <v>312</v>
      </c>
    </row>
    <row r="3" spans="1:26" x14ac:dyDescent="0.3">
      <c r="A3" s="28" t="str">
        <f t="shared" si="0"/>
        <v>Aktywa</v>
      </c>
      <c r="B3" s="28" t="s">
        <v>317</v>
      </c>
      <c r="C3" s="28" t="s">
        <v>316</v>
      </c>
      <c r="D3" s="28" t="s">
        <v>318</v>
      </c>
      <c r="E3" s="28"/>
      <c r="F3" s="28"/>
      <c r="G3" s="14">
        <v>11000400</v>
      </c>
      <c r="H3" s="7" t="s">
        <v>104</v>
      </c>
      <c r="I3" s="8" t="s">
        <v>102</v>
      </c>
      <c r="J3" s="9">
        <v>-59859.51</v>
      </c>
      <c r="K3" s="9">
        <v>-926.5</v>
      </c>
      <c r="L3" s="9">
        <v>-926.5</v>
      </c>
      <c r="M3" s="9">
        <v>-926.5</v>
      </c>
      <c r="N3" s="9">
        <v>-926.5</v>
      </c>
      <c r="O3" s="9">
        <v>-926.5</v>
      </c>
      <c r="P3" s="9">
        <v>-926.5</v>
      </c>
      <c r="Q3" s="9">
        <v>-926.49999999999272</v>
      </c>
      <c r="R3" s="9">
        <v>-926.5</v>
      </c>
      <c r="S3" s="9">
        <v>-926.5</v>
      </c>
      <c r="T3" s="9">
        <v>-926.5</v>
      </c>
      <c r="U3" s="9">
        <v>-926.5</v>
      </c>
      <c r="V3" s="10">
        <v>-70051.009999999995</v>
      </c>
      <c r="W3" s="11">
        <v>-70051.009999999995</v>
      </c>
      <c r="X3" s="12">
        <v>0</v>
      </c>
      <c r="Z3" t="s">
        <v>307</v>
      </c>
    </row>
    <row r="4" spans="1:26" ht="51" x14ac:dyDescent="0.3">
      <c r="A4" s="28" t="str">
        <f t="shared" si="0"/>
        <v>Aktywa</v>
      </c>
      <c r="B4" s="28" t="s">
        <v>317</v>
      </c>
      <c r="C4" s="28" t="s">
        <v>340</v>
      </c>
      <c r="D4" s="28" t="s">
        <v>319</v>
      </c>
      <c r="E4" s="28" t="s">
        <v>350</v>
      </c>
      <c r="F4" s="28"/>
      <c r="G4" s="14">
        <v>11502100</v>
      </c>
      <c r="H4" s="7" t="s">
        <v>105</v>
      </c>
      <c r="I4" s="8" t="s">
        <v>102</v>
      </c>
      <c r="J4" s="9">
        <v>8316576.9500000002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10">
        <v>8316576.9500000002</v>
      </c>
      <c r="W4" s="11">
        <v>8316576.9500000002</v>
      </c>
      <c r="X4" s="12">
        <v>0</v>
      </c>
      <c r="Z4" t="s">
        <v>308</v>
      </c>
    </row>
    <row r="5" spans="1:26" ht="51" x14ac:dyDescent="0.3">
      <c r="A5" s="28" t="str">
        <f t="shared" si="0"/>
        <v>Aktywa</v>
      </c>
      <c r="B5" s="28" t="s">
        <v>317</v>
      </c>
      <c r="C5" s="28" t="s">
        <v>340</v>
      </c>
      <c r="D5" s="28" t="s">
        <v>319</v>
      </c>
      <c r="E5" s="28" t="s">
        <v>350</v>
      </c>
      <c r="F5" s="28"/>
      <c r="G5" s="14">
        <v>11502400</v>
      </c>
      <c r="H5" s="7" t="s">
        <v>106</v>
      </c>
      <c r="I5" s="8" t="s">
        <v>102</v>
      </c>
      <c r="J5" s="9">
        <v>-1679956.62</v>
      </c>
      <c r="K5" s="9">
        <v>-17326.199999999953</v>
      </c>
      <c r="L5" s="9">
        <v>-17326.209999999963</v>
      </c>
      <c r="M5" s="9">
        <v>-17326.199999999953</v>
      </c>
      <c r="N5" s="9">
        <v>-17326.199999999953</v>
      </c>
      <c r="O5" s="9">
        <v>-17326.199999999953</v>
      </c>
      <c r="P5" s="9">
        <v>-17326.200000000186</v>
      </c>
      <c r="Q5" s="9">
        <v>-17326.199999999953</v>
      </c>
      <c r="R5" s="9">
        <v>-17326.209999999963</v>
      </c>
      <c r="S5" s="9">
        <v>-17326.199999999953</v>
      </c>
      <c r="T5" s="9">
        <v>-17326.199999999953</v>
      </c>
      <c r="U5" s="9">
        <v>-17326.200000000186</v>
      </c>
      <c r="V5" s="10">
        <v>-1870544.84</v>
      </c>
      <c r="W5" s="11">
        <v>-1870544.84</v>
      </c>
      <c r="X5" s="12">
        <v>0</v>
      </c>
      <c r="Z5" t="s">
        <v>309</v>
      </c>
    </row>
    <row r="6" spans="1:26" x14ac:dyDescent="0.3">
      <c r="A6" s="28" t="str">
        <f t="shared" si="0"/>
        <v>Aktywa</v>
      </c>
      <c r="B6" s="28" t="s">
        <v>317</v>
      </c>
      <c r="C6" s="28" t="s">
        <v>340</v>
      </c>
      <c r="D6" s="28" t="s">
        <v>320</v>
      </c>
      <c r="E6" s="28"/>
      <c r="F6" s="28"/>
      <c r="G6" s="14">
        <v>11504100</v>
      </c>
      <c r="H6" s="7" t="s">
        <v>107</v>
      </c>
      <c r="I6" s="8" t="s">
        <v>102</v>
      </c>
      <c r="J6" s="9">
        <v>204102.98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10">
        <v>204102.98</v>
      </c>
      <c r="W6" s="11">
        <v>204102.98</v>
      </c>
      <c r="X6" s="12">
        <v>0</v>
      </c>
      <c r="Z6" t="s">
        <v>310</v>
      </c>
    </row>
    <row r="7" spans="1:26" x14ac:dyDescent="0.3">
      <c r="A7" s="28" t="str">
        <f t="shared" si="0"/>
        <v>Aktywa</v>
      </c>
      <c r="B7" s="28" t="s">
        <v>317</v>
      </c>
      <c r="C7" s="28" t="s">
        <v>340</v>
      </c>
      <c r="D7" s="28" t="s">
        <v>320</v>
      </c>
      <c r="E7" s="28"/>
      <c r="F7" s="28"/>
      <c r="G7" s="14">
        <v>11504400</v>
      </c>
      <c r="H7" s="7" t="s">
        <v>108</v>
      </c>
      <c r="I7" s="8" t="s">
        <v>102</v>
      </c>
      <c r="J7" s="9">
        <v>-43327.35</v>
      </c>
      <c r="K7" s="9">
        <v>-313.45000000000437</v>
      </c>
      <c r="L7" s="9">
        <v>-313.45999999999913</v>
      </c>
      <c r="M7" s="9">
        <v>-313.45999999999913</v>
      </c>
      <c r="N7" s="9">
        <v>-6769.3399999999965</v>
      </c>
      <c r="O7" s="9">
        <v>-1604.6399999999994</v>
      </c>
      <c r="P7" s="9">
        <v>-1604.6399999999994</v>
      </c>
      <c r="Q7" s="9">
        <v>-1604.6300000000047</v>
      </c>
      <c r="R7" s="9">
        <v>-1604.6399999999994</v>
      </c>
      <c r="S7" s="9">
        <v>-1604.6299999999974</v>
      </c>
      <c r="T7" s="9">
        <v>-1604.6300000000047</v>
      </c>
      <c r="U7" s="9">
        <v>-1604.6399999999994</v>
      </c>
      <c r="V7" s="10">
        <v>-62269.51</v>
      </c>
      <c r="W7" s="11">
        <v>-62269.51</v>
      </c>
      <c r="X7" s="12">
        <v>0</v>
      </c>
      <c r="Z7" t="s">
        <v>311</v>
      </c>
    </row>
    <row r="8" spans="1:26" ht="30.6" x14ac:dyDescent="0.3">
      <c r="A8" s="28" t="str">
        <f t="shared" si="0"/>
        <v>Aktywa</v>
      </c>
      <c r="B8" s="28" t="s">
        <v>317</v>
      </c>
      <c r="C8" s="28" t="s">
        <v>340</v>
      </c>
      <c r="D8" s="28" t="s">
        <v>319</v>
      </c>
      <c r="E8" s="28" t="s">
        <v>351</v>
      </c>
      <c r="F8" s="28"/>
      <c r="G8" s="14">
        <v>11508100</v>
      </c>
      <c r="H8" s="7" t="s">
        <v>109</v>
      </c>
      <c r="I8" s="8" t="s">
        <v>102</v>
      </c>
      <c r="J8" s="9">
        <v>1021948.24</v>
      </c>
      <c r="K8" s="9">
        <v>6806.5100000000093</v>
      </c>
      <c r="L8" s="9">
        <v>-2240.0699999999488</v>
      </c>
      <c r="M8" s="9">
        <v>22451.589999999967</v>
      </c>
      <c r="N8" s="9">
        <v>459</v>
      </c>
      <c r="O8" s="9">
        <v>0</v>
      </c>
      <c r="P8" s="9">
        <v>13387.330000000075</v>
      </c>
      <c r="Q8" s="9">
        <v>-1499.0600000000559</v>
      </c>
      <c r="R8" s="9">
        <v>157.43999999994412</v>
      </c>
      <c r="S8" s="9">
        <v>9879.5400000000373</v>
      </c>
      <c r="T8" s="9">
        <v>2065.0400000000373</v>
      </c>
      <c r="U8" s="9">
        <v>6725.9299999999348</v>
      </c>
      <c r="V8" s="10">
        <v>1080141.49</v>
      </c>
      <c r="W8" s="11">
        <v>1080141.49</v>
      </c>
      <c r="X8" s="12">
        <v>0</v>
      </c>
    </row>
    <row r="9" spans="1:26" ht="30.6" x14ac:dyDescent="0.3">
      <c r="A9" s="28" t="str">
        <f t="shared" si="0"/>
        <v>Aktywa</v>
      </c>
      <c r="B9" s="28" t="s">
        <v>317</v>
      </c>
      <c r="C9" s="28" t="s">
        <v>340</v>
      </c>
      <c r="D9" s="28" t="s">
        <v>319</v>
      </c>
      <c r="E9" s="28" t="s">
        <v>351</v>
      </c>
      <c r="F9" s="28"/>
      <c r="G9" s="14">
        <v>11508400</v>
      </c>
      <c r="H9" s="7" t="s">
        <v>110</v>
      </c>
      <c r="I9" s="8" t="s">
        <v>102</v>
      </c>
      <c r="J9" s="9">
        <v>-1009268.7</v>
      </c>
      <c r="K9" s="9">
        <v>-3437.1500000000233</v>
      </c>
      <c r="L9" s="9">
        <v>-3035.4200000000419</v>
      </c>
      <c r="M9" s="9">
        <v>-22451.589999999967</v>
      </c>
      <c r="N9" s="9">
        <v>-459</v>
      </c>
      <c r="O9" s="9">
        <v>0</v>
      </c>
      <c r="P9" s="9">
        <v>-13387.329999999958</v>
      </c>
      <c r="Q9" s="9">
        <v>920.06000000005588</v>
      </c>
      <c r="R9" s="9">
        <v>421.55999999982305</v>
      </c>
      <c r="S9" s="9">
        <v>-9879.5400000000373</v>
      </c>
      <c r="T9" s="9">
        <v>-2065.0399999998044</v>
      </c>
      <c r="U9" s="9">
        <v>-6725.9300000001676</v>
      </c>
      <c r="V9" s="10">
        <v>-1069368.08</v>
      </c>
      <c r="W9" s="11">
        <v>-1069368.08</v>
      </c>
      <c r="X9" s="12">
        <v>0</v>
      </c>
    </row>
    <row r="10" spans="1:26" ht="20.399999999999999" x14ac:dyDescent="0.3">
      <c r="A10" s="28" t="str">
        <f t="shared" si="0"/>
        <v>Aktywa</v>
      </c>
      <c r="B10" s="28" t="s">
        <v>317</v>
      </c>
      <c r="C10" s="28" t="s">
        <v>340</v>
      </c>
      <c r="D10" s="28" t="s">
        <v>319</v>
      </c>
      <c r="E10" s="28" t="s">
        <v>352</v>
      </c>
      <c r="F10" s="28"/>
      <c r="G10" s="14">
        <v>11514100</v>
      </c>
      <c r="H10" s="7" t="s">
        <v>111</v>
      </c>
      <c r="I10" s="8" t="s">
        <v>102</v>
      </c>
      <c r="J10" s="9">
        <v>1071105.06</v>
      </c>
      <c r="K10" s="9">
        <v>343.89999999990687</v>
      </c>
      <c r="L10" s="9">
        <v>0</v>
      </c>
      <c r="M10" s="9">
        <v>16465.40000000014</v>
      </c>
      <c r="N10" s="9">
        <v>0</v>
      </c>
      <c r="O10" s="9">
        <v>0</v>
      </c>
      <c r="P10" s="9">
        <v>1998.7199999999721</v>
      </c>
      <c r="Q10" s="9">
        <v>0</v>
      </c>
      <c r="R10" s="9">
        <v>0</v>
      </c>
      <c r="S10" s="9">
        <v>2900</v>
      </c>
      <c r="T10" s="9">
        <v>0</v>
      </c>
      <c r="U10" s="9">
        <v>0</v>
      </c>
      <c r="V10" s="10">
        <v>1092813.08</v>
      </c>
      <c r="W10" s="11">
        <v>1092813.08</v>
      </c>
      <c r="X10" s="12">
        <v>0</v>
      </c>
    </row>
    <row r="11" spans="1:26" ht="20.399999999999999" x14ac:dyDescent="0.3">
      <c r="A11" s="28" t="str">
        <f t="shared" si="0"/>
        <v>Aktywa</v>
      </c>
      <c r="B11" s="28" t="s">
        <v>317</v>
      </c>
      <c r="C11" s="28" t="s">
        <v>340</v>
      </c>
      <c r="D11" s="28" t="s">
        <v>319</v>
      </c>
      <c r="E11" s="28" t="s">
        <v>352</v>
      </c>
      <c r="F11" s="28"/>
      <c r="G11" s="14">
        <v>11514400</v>
      </c>
      <c r="H11" s="7" t="s">
        <v>112</v>
      </c>
      <c r="I11" s="8" t="s">
        <v>102</v>
      </c>
      <c r="J11" s="9">
        <v>-985003.34</v>
      </c>
      <c r="K11" s="9">
        <v>-579</v>
      </c>
      <c r="L11" s="9">
        <v>-3421.140000000014</v>
      </c>
      <c r="M11" s="9">
        <v>-18409.020000000019</v>
      </c>
      <c r="N11" s="9">
        <v>-1749.8100000000559</v>
      </c>
      <c r="O11" s="9">
        <v>-1749.7999999999302</v>
      </c>
      <c r="P11" s="9">
        <v>-3748.5100000000093</v>
      </c>
      <c r="Q11" s="9">
        <v>-1749.8100000000559</v>
      </c>
      <c r="R11" s="9">
        <v>-1749.7999999999302</v>
      </c>
      <c r="S11" s="9">
        <v>-4649.8000000000466</v>
      </c>
      <c r="T11" s="9">
        <v>-1749.7999999999302</v>
      </c>
      <c r="U11" s="9">
        <v>-816.98000000009779</v>
      </c>
      <c r="V11" s="10">
        <v>-1025376.81</v>
      </c>
      <c r="W11" s="11">
        <v>-1025376.81</v>
      </c>
      <c r="X11" s="12">
        <v>0</v>
      </c>
    </row>
    <row r="12" spans="1:26" ht="20.399999999999999" x14ac:dyDescent="0.3">
      <c r="A12" s="28" t="str">
        <f t="shared" si="0"/>
        <v>Aktywa</v>
      </c>
      <c r="B12" s="28" t="s">
        <v>317</v>
      </c>
      <c r="C12" s="28" t="s">
        <v>340</v>
      </c>
      <c r="D12" s="28" t="s">
        <v>319</v>
      </c>
      <c r="E12" s="28" t="s">
        <v>353</v>
      </c>
      <c r="F12" s="28"/>
      <c r="G12" s="14">
        <v>11518100</v>
      </c>
      <c r="H12" s="7" t="s">
        <v>113</v>
      </c>
      <c r="I12" s="8" t="s">
        <v>102</v>
      </c>
      <c r="J12" s="9">
        <v>1042482.44</v>
      </c>
      <c r="K12" s="9">
        <v>0</v>
      </c>
      <c r="L12" s="9">
        <v>-152490.18999999994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10">
        <v>889992.25</v>
      </c>
      <c r="W12" s="11">
        <v>889992.25</v>
      </c>
      <c r="X12" s="12">
        <v>0</v>
      </c>
    </row>
    <row r="13" spans="1:26" ht="20.399999999999999" x14ac:dyDescent="0.3">
      <c r="A13" s="28" t="str">
        <f t="shared" si="0"/>
        <v>Aktywa</v>
      </c>
      <c r="B13" s="28" t="s">
        <v>317</v>
      </c>
      <c r="C13" s="28" t="s">
        <v>340</v>
      </c>
      <c r="D13" s="28" t="s">
        <v>319</v>
      </c>
      <c r="E13" s="28" t="s">
        <v>353</v>
      </c>
      <c r="F13" s="28"/>
      <c r="G13" s="14">
        <v>11518400</v>
      </c>
      <c r="H13" s="7" t="s">
        <v>114</v>
      </c>
      <c r="I13" s="8" t="s">
        <v>102</v>
      </c>
      <c r="J13" s="9">
        <v>-881165.3</v>
      </c>
      <c r="K13" s="9">
        <v>-16101</v>
      </c>
      <c r="L13" s="9">
        <v>133847.71000000008</v>
      </c>
      <c r="M13" s="9">
        <v>-13559.440000000061</v>
      </c>
      <c r="N13" s="9">
        <v>-8113.5200000000186</v>
      </c>
      <c r="O13" s="9">
        <v>-6162.7699999999022</v>
      </c>
      <c r="P13" s="9">
        <v>-6162.4500000000698</v>
      </c>
      <c r="Q13" s="9">
        <v>-6162.4599999999627</v>
      </c>
      <c r="R13" s="9">
        <v>-6162.4799999999814</v>
      </c>
      <c r="S13" s="9">
        <v>-6162.4700000000885</v>
      </c>
      <c r="T13" s="9">
        <v>-6162.4599999999627</v>
      </c>
      <c r="U13" s="9">
        <v>-6162.4599999999627</v>
      </c>
      <c r="V13" s="10">
        <v>-828229.1</v>
      </c>
      <c r="W13" s="11">
        <v>-828229.1</v>
      </c>
      <c r="X13" s="12">
        <v>0</v>
      </c>
    </row>
    <row r="14" spans="1:26" ht="20.399999999999999" x14ac:dyDescent="0.3">
      <c r="A14" s="28" t="str">
        <f t="shared" si="0"/>
        <v>Aktywa</v>
      </c>
      <c r="B14" s="28" t="s">
        <v>317</v>
      </c>
      <c r="C14" s="28" t="s">
        <v>341</v>
      </c>
      <c r="D14" s="28" t="s">
        <v>321</v>
      </c>
      <c r="E14" s="28"/>
      <c r="F14" s="28"/>
      <c r="G14" s="14">
        <v>13500000</v>
      </c>
      <c r="H14" s="7" t="s">
        <v>115</v>
      </c>
      <c r="I14" s="8" t="s">
        <v>102</v>
      </c>
      <c r="J14" s="9">
        <v>159228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10">
        <v>159228</v>
      </c>
      <c r="W14" s="11">
        <v>159228</v>
      </c>
      <c r="X14" s="12">
        <v>0</v>
      </c>
    </row>
    <row r="15" spans="1:26" ht="40.799999999999997" x14ac:dyDescent="0.3">
      <c r="A15" s="28" t="str">
        <f t="shared" si="0"/>
        <v>Aktywa</v>
      </c>
      <c r="B15" s="28" t="s">
        <v>348</v>
      </c>
      <c r="C15" s="28" t="s">
        <v>342</v>
      </c>
      <c r="D15" s="28" t="s">
        <v>326</v>
      </c>
      <c r="E15" s="28" t="s">
        <v>354</v>
      </c>
      <c r="F15" s="28" t="s">
        <v>364</v>
      </c>
      <c r="G15" s="14">
        <v>15500000</v>
      </c>
      <c r="H15" s="7" t="s">
        <v>116</v>
      </c>
      <c r="I15" s="8" t="s">
        <v>102</v>
      </c>
      <c r="J15" s="9">
        <v>15147.43</v>
      </c>
      <c r="K15" s="9">
        <v>769.25</v>
      </c>
      <c r="L15" s="9">
        <v>-2600</v>
      </c>
      <c r="M15" s="9">
        <v>-2600</v>
      </c>
      <c r="N15" s="9">
        <v>-2600</v>
      </c>
      <c r="O15" s="9">
        <v>-2600</v>
      </c>
      <c r="P15" s="9">
        <v>-516.68000000000029</v>
      </c>
      <c r="Q15" s="9">
        <v>173.75</v>
      </c>
      <c r="R15" s="9">
        <v>36.899999999999636</v>
      </c>
      <c r="S15" s="9">
        <v>19365.650000000001</v>
      </c>
      <c r="T15" s="9">
        <v>-5000</v>
      </c>
      <c r="U15" s="9">
        <v>26568.670000000002</v>
      </c>
      <c r="V15" s="10">
        <v>46144.97</v>
      </c>
      <c r="W15" s="11">
        <v>46144.97</v>
      </c>
      <c r="X15" s="12">
        <v>0</v>
      </c>
    </row>
    <row r="16" spans="1:26" x14ac:dyDescent="0.3">
      <c r="A16" s="28" t="str">
        <f t="shared" si="0"/>
        <v>Aktywa</v>
      </c>
      <c r="B16" s="28" t="s">
        <v>348</v>
      </c>
      <c r="C16" s="28" t="s">
        <v>342</v>
      </c>
      <c r="D16" s="28" t="s">
        <v>335</v>
      </c>
      <c r="E16" s="28" t="s">
        <v>355</v>
      </c>
      <c r="F16" s="28"/>
      <c r="G16" s="14">
        <v>15500800</v>
      </c>
      <c r="H16" s="7" t="s">
        <v>117</v>
      </c>
      <c r="I16" s="8" t="s">
        <v>102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10">
        <v>0</v>
      </c>
      <c r="W16" s="11">
        <v>0</v>
      </c>
      <c r="X16" s="12">
        <v>0</v>
      </c>
    </row>
    <row r="17" spans="1:24" ht="40.799999999999997" x14ac:dyDescent="0.3">
      <c r="A17" s="28" t="str">
        <f t="shared" si="0"/>
        <v>Aktywa</v>
      </c>
      <c r="B17" s="28" t="s">
        <v>348</v>
      </c>
      <c r="C17" s="28" t="s">
        <v>342</v>
      </c>
      <c r="D17" s="28" t="s">
        <v>326</v>
      </c>
      <c r="E17" s="28" t="s">
        <v>354</v>
      </c>
      <c r="F17" s="28" t="s">
        <v>364</v>
      </c>
      <c r="G17" s="14">
        <v>15500999</v>
      </c>
      <c r="H17" s="7" t="s">
        <v>118</v>
      </c>
      <c r="I17" s="8" t="s">
        <v>102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319.97000000000003</v>
      </c>
      <c r="V17" s="10">
        <v>319.97000000000003</v>
      </c>
      <c r="W17" s="11">
        <v>319.97000000000003</v>
      </c>
      <c r="X17" s="12">
        <v>0</v>
      </c>
    </row>
    <row r="18" spans="1:24" ht="40.799999999999997" x14ac:dyDescent="0.3">
      <c r="A18" s="28" t="str">
        <f t="shared" si="0"/>
        <v>Aktywa</v>
      </c>
      <c r="B18" s="28" t="s">
        <v>348</v>
      </c>
      <c r="C18" s="28" t="s">
        <v>342</v>
      </c>
      <c r="D18" s="28" t="s">
        <v>325</v>
      </c>
      <c r="E18" s="28" t="s">
        <v>354</v>
      </c>
      <c r="F18" s="28" t="s">
        <v>364</v>
      </c>
      <c r="G18" s="14">
        <v>15540000</v>
      </c>
      <c r="H18" s="7" t="s">
        <v>119</v>
      </c>
      <c r="I18" s="8" t="s">
        <v>102</v>
      </c>
      <c r="J18" s="9">
        <v>1206.04</v>
      </c>
      <c r="K18" s="9">
        <v>-5000</v>
      </c>
      <c r="L18" s="9">
        <v>799.5</v>
      </c>
      <c r="M18" s="9">
        <v>676.5</v>
      </c>
      <c r="N18" s="9">
        <v>753.5</v>
      </c>
      <c r="O18" s="9">
        <v>676.5</v>
      </c>
      <c r="P18" s="9">
        <v>676.5</v>
      </c>
      <c r="Q18" s="9">
        <v>1722</v>
      </c>
      <c r="R18" s="9">
        <v>1275.1100000000001</v>
      </c>
      <c r="S18" s="9">
        <v>4097.3700000000008</v>
      </c>
      <c r="T18" s="9">
        <v>-7162.9800000000005</v>
      </c>
      <c r="U18" s="9">
        <v>3344.88</v>
      </c>
      <c r="V18" s="10">
        <v>3064.92</v>
      </c>
      <c r="W18" s="11">
        <v>3064.92</v>
      </c>
      <c r="X18" s="12">
        <v>0</v>
      </c>
    </row>
    <row r="19" spans="1:24" ht="40.799999999999997" x14ac:dyDescent="0.3">
      <c r="A19" s="28" t="str">
        <f t="shared" si="0"/>
        <v>Aktywa</v>
      </c>
      <c r="B19" s="28" t="s">
        <v>348</v>
      </c>
      <c r="C19" s="28" t="s">
        <v>342</v>
      </c>
      <c r="D19" s="28" t="s">
        <v>325</v>
      </c>
      <c r="E19" s="28" t="s">
        <v>354</v>
      </c>
      <c r="F19" s="28" t="s">
        <v>364</v>
      </c>
      <c r="G19" s="14">
        <v>15540999</v>
      </c>
      <c r="H19" s="7" t="s">
        <v>120</v>
      </c>
      <c r="I19" s="8" t="s">
        <v>102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-33.42</v>
      </c>
      <c r="V19" s="10">
        <v>-33.42</v>
      </c>
      <c r="W19" s="11">
        <v>-33.42</v>
      </c>
      <c r="X19" s="12">
        <v>0</v>
      </c>
    </row>
    <row r="20" spans="1:24" x14ac:dyDescent="0.3">
      <c r="A20" s="28" t="str">
        <f t="shared" si="0"/>
        <v>Aktywa</v>
      </c>
      <c r="B20" s="28" t="s">
        <v>348</v>
      </c>
      <c r="C20" s="28" t="s">
        <v>342</v>
      </c>
      <c r="D20" s="28" t="s">
        <v>326</v>
      </c>
      <c r="E20" s="28" t="s">
        <v>355</v>
      </c>
      <c r="F20" s="28"/>
      <c r="G20" s="14">
        <v>15550368</v>
      </c>
      <c r="H20" s="7" t="s">
        <v>121</v>
      </c>
      <c r="I20" s="8" t="s">
        <v>102</v>
      </c>
      <c r="J20" s="9">
        <v>91020851.159999996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-4.3199999928474426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10">
        <v>91020846.840000004</v>
      </c>
      <c r="W20" s="11">
        <v>91020846.840000004</v>
      </c>
      <c r="X20" s="12">
        <v>0</v>
      </c>
    </row>
    <row r="21" spans="1:24" ht="20.399999999999999" x14ac:dyDescent="0.3">
      <c r="A21" s="28" t="str">
        <f t="shared" si="0"/>
        <v>Pasywa</v>
      </c>
      <c r="B21" s="28" t="s">
        <v>347</v>
      </c>
      <c r="C21" s="28" t="s">
        <v>345</v>
      </c>
      <c r="D21" s="28" t="s">
        <v>331</v>
      </c>
      <c r="E21" s="28" t="s">
        <v>356</v>
      </c>
      <c r="F21" s="28"/>
      <c r="G21" s="14">
        <v>15552000</v>
      </c>
      <c r="H21" s="7" t="s">
        <v>122</v>
      </c>
      <c r="I21" s="8" t="s">
        <v>102</v>
      </c>
      <c r="J21" s="9">
        <v>-96008975.519999996</v>
      </c>
      <c r="K21" s="9">
        <v>1861827</v>
      </c>
      <c r="L21" s="9">
        <v>-1795000</v>
      </c>
      <c r="M21" s="9">
        <v>-407621</v>
      </c>
      <c r="N21" s="9">
        <v>-955819</v>
      </c>
      <c r="O21" s="9">
        <v>170817</v>
      </c>
      <c r="P21" s="9">
        <v>633951.25999999046</v>
      </c>
      <c r="Q21" s="9">
        <v>88363</v>
      </c>
      <c r="R21" s="9">
        <v>70812</v>
      </c>
      <c r="S21" s="9">
        <v>129897.99000000954</v>
      </c>
      <c r="T21" s="9">
        <v>23495.09999999404</v>
      </c>
      <c r="U21" s="9">
        <v>-170886.92999999225</v>
      </c>
      <c r="V21" s="10">
        <v>-96359139.099999994</v>
      </c>
      <c r="W21" s="11">
        <v>-96359139.099999994</v>
      </c>
      <c r="X21" s="12">
        <v>0</v>
      </c>
    </row>
    <row r="22" spans="1:24" ht="20.399999999999999" x14ac:dyDescent="0.3">
      <c r="A22" s="28" t="str">
        <f t="shared" si="0"/>
        <v>Aktywa</v>
      </c>
      <c r="B22" s="28" t="s">
        <v>348</v>
      </c>
      <c r="C22" s="28" t="s">
        <v>342</v>
      </c>
      <c r="D22" s="28" t="s">
        <v>339</v>
      </c>
      <c r="E22" s="28" t="s">
        <v>357</v>
      </c>
      <c r="F22" s="28"/>
      <c r="G22" s="14">
        <v>15562000</v>
      </c>
      <c r="H22" s="7" t="s">
        <v>123</v>
      </c>
      <c r="I22" s="8" t="s">
        <v>102</v>
      </c>
      <c r="J22" s="9">
        <v>7065.52</v>
      </c>
      <c r="K22" s="9">
        <v>4799.41</v>
      </c>
      <c r="L22" s="9">
        <v>875.11999999999898</v>
      </c>
      <c r="M22" s="9">
        <v>988.93000000000029</v>
      </c>
      <c r="N22" s="9">
        <v>-324.45999999999913</v>
      </c>
      <c r="O22" s="9">
        <v>435.82999999999993</v>
      </c>
      <c r="P22" s="9">
        <v>1608.0900000000001</v>
      </c>
      <c r="Q22" s="9">
        <v>-246</v>
      </c>
      <c r="R22" s="9">
        <v>9758.4</v>
      </c>
      <c r="S22" s="9">
        <v>-19799.13</v>
      </c>
      <c r="T22" s="9">
        <v>13981.350000000002</v>
      </c>
      <c r="U22" s="9">
        <v>-12687.910000000002</v>
      </c>
      <c r="V22" s="10">
        <v>6455.15</v>
      </c>
      <c r="W22" s="11">
        <v>6455.15</v>
      </c>
      <c r="X22" s="12">
        <v>0</v>
      </c>
    </row>
    <row r="23" spans="1:24" ht="91.8" x14ac:dyDescent="0.3">
      <c r="A23" s="28" t="str">
        <f t="shared" si="0"/>
        <v>Pasywa</v>
      </c>
      <c r="B23" s="28" t="s">
        <v>347</v>
      </c>
      <c r="C23" s="28" t="s">
        <v>345</v>
      </c>
      <c r="D23" s="28" t="s">
        <v>331</v>
      </c>
      <c r="E23" s="28" t="s">
        <v>358</v>
      </c>
      <c r="F23" s="28"/>
      <c r="G23" s="14">
        <v>16004000</v>
      </c>
      <c r="H23" s="7" t="s">
        <v>124</v>
      </c>
      <c r="I23" s="8" t="s">
        <v>102</v>
      </c>
      <c r="J23" s="9">
        <v>-368039</v>
      </c>
      <c r="K23" s="9">
        <v>-35064</v>
      </c>
      <c r="L23" s="9">
        <v>-86089</v>
      </c>
      <c r="M23" s="9">
        <v>-42215</v>
      </c>
      <c r="N23" s="9">
        <v>-27515</v>
      </c>
      <c r="O23" s="9">
        <v>-34074</v>
      </c>
      <c r="P23" s="9">
        <v>-52694</v>
      </c>
      <c r="Q23" s="9">
        <v>-30222</v>
      </c>
      <c r="R23" s="9">
        <v>-29072</v>
      </c>
      <c r="S23" s="9">
        <v>-53572</v>
      </c>
      <c r="T23" s="9">
        <v>-28170</v>
      </c>
      <c r="U23" s="9">
        <v>-32801</v>
      </c>
      <c r="V23" s="10">
        <v>-819527</v>
      </c>
      <c r="W23" s="11">
        <v>-819527</v>
      </c>
      <c r="X23" s="12">
        <v>0</v>
      </c>
    </row>
    <row r="24" spans="1:24" ht="112.2" x14ac:dyDescent="0.3">
      <c r="A24" s="28" t="str">
        <f t="shared" si="0"/>
        <v>Aktywa</v>
      </c>
      <c r="B24" s="28" t="s">
        <v>348</v>
      </c>
      <c r="C24" s="28" t="s">
        <v>342</v>
      </c>
      <c r="D24" s="28" t="s">
        <v>326</v>
      </c>
      <c r="E24" s="28" t="s">
        <v>359</v>
      </c>
      <c r="F24" s="28"/>
      <c r="G24" s="14">
        <v>16004010</v>
      </c>
      <c r="H24" s="7" t="s">
        <v>125</v>
      </c>
      <c r="I24" s="8" t="s">
        <v>102</v>
      </c>
      <c r="J24" s="9">
        <v>621569.04</v>
      </c>
      <c r="K24" s="9">
        <v>25400.770000000019</v>
      </c>
      <c r="L24" s="9">
        <v>46832.219999999972</v>
      </c>
      <c r="M24" s="9">
        <v>52825.969999999972</v>
      </c>
      <c r="N24" s="9">
        <v>30515.75</v>
      </c>
      <c r="O24" s="9">
        <v>30174.689999999944</v>
      </c>
      <c r="P24" s="9">
        <v>55004.170000000042</v>
      </c>
      <c r="Q24" s="9">
        <v>26251.760000000009</v>
      </c>
      <c r="R24" s="9">
        <v>36588.369999999995</v>
      </c>
      <c r="S24" s="9">
        <v>35269.570000000065</v>
      </c>
      <c r="T24" s="9">
        <v>37089.089999999967</v>
      </c>
      <c r="U24" s="9">
        <v>36210.020000000019</v>
      </c>
      <c r="V24" s="10">
        <v>1033731.42</v>
      </c>
      <c r="W24" s="11">
        <v>1033731.42</v>
      </c>
      <c r="X24" s="12">
        <v>0</v>
      </c>
    </row>
    <row r="25" spans="1:24" ht="112.2" x14ac:dyDescent="0.3">
      <c r="A25" s="28" t="str">
        <f t="shared" si="0"/>
        <v>Aktywa</v>
      </c>
      <c r="B25" s="28" t="s">
        <v>348</v>
      </c>
      <c r="C25" s="28" t="s">
        <v>342</v>
      </c>
      <c r="D25" s="28" t="s">
        <v>326</v>
      </c>
      <c r="E25" s="28" t="s">
        <v>359</v>
      </c>
      <c r="F25" s="28"/>
      <c r="G25" s="14">
        <v>16004080</v>
      </c>
      <c r="H25" s="7" t="s">
        <v>126</v>
      </c>
      <c r="I25" s="8" t="s">
        <v>102</v>
      </c>
      <c r="J25" s="9">
        <v>2135.36</v>
      </c>
      <c r="K25" s="9">
        <v>-678.77000000000021</v>
      </c>
      <c r="L25" s="9">
        <v>0</v>
      </c>
      <c r="M25" s="9">
        <v>-703.09999999999991</v>
      </c>
      <c r="N25" s="9">
        <v>0</v>
      </c>
      <c r="O25" s="9">
        <v>-97.539999999999964</v>
      </c>
      <c r="P25" s="9">
        <v>25.8599999999999</v>
      </c>
      <c r="Q25" s="9">
        <v>0</v>
      </c>
      <c r="R25" s="9">
        <v>-56.579999999999927</v>
      </c>
      <c r="S25" s="9">
        <v>-100.61000000000001</v>
      </c>
      <c r="T25" s="9">
        <v>-66.699999999999989</v>
      </c>
      <c r="U25" s="9">
        <v>2814.63</v>
      </c>
      <c r="V25" s="10">
        <v>3272.55</v>
      </c>
      <c r="W25" s="11">
        <v>3272.55</v>
      </c>
      <c r="X25" s="12">
        <v>0</v>
      </c>
    </row>
    <row r="26" spans="1:24" x14ac:dyDescent="0.3">
      <c r="A26" s="28" t="str">
        <f t="shared" si="0"/>
        <v>Aktywa</v>
      </c>
      <c r="B26" s="28" t="s">
        <v>348</v>
      </c>
      <c r="C26" s="28" t="s">
        <v>342</v>
      </c>
      <c r="D26" s="28" t="s">
        <v>326</v>
      </c>
      <c r="E26" s="28" t="s">
        <v>355</v>
      </c>
      <c r="F26" s="28"/>
      <c r="G26" s="14">
        <v>16008000</v>
      </c>
      <c r="H26" s="7" t="s">
        <v>127</v>
      </c>
      <c r="I26" s="8" t="s">
        <v>102</v>
      </c>
      <c r="J26" s="9">
        <v>-11714.43</v>
      </c>
      <c r="K26" s="9">
        <v>15089.74</v>
      </c>
      <c r="L26" s="9">
        <v>29514.709999999995</v>
      </c>
      <c r="M26" s="9">
        <v>797.4600000000064</v>
      </c>
      <c r="N26" s="9">
        <v>634.95999999999913</v>
      </c>
      <c r="O26" s="9">
        <v>-11740.310000000001</v>
      </c>
      <c r="P26" s="9">
        <v>-4282.4000000000015</v>
      </c>
      <c r="Q26" s="9">
        <v>-1439.3299999999981</v>
      </c>
      <c r="R26" s="9">
        <v>3647.59</v>
      </c>
      <c r="S26" s="9">
        <v>-9211.8000000000011</v>
      </c>
      <c r="T26" s="9">
        <v>8169.7499999999982</v>
      </c>
      <c r="U26" s="9">
        <v>-12518.919999999998</v>
      </c>
      <c r="V26" s="10">
        <v>6947.02</v>
      </c>
      <c r="W26" s="11">
        <v>6947.02</v>
      </c>
      <c r="X26" s="12">
        <v>0</v>
      </c>
    </row>
    <row r="27" spans="1:24" x14ac:dyDescent="0.3">
      <c r="A27" s="28" t="str">
        <f t="shared" si="0"/>
        <v>Aktywa</v>
      </c>
      <c r="B27" s="28" t="s">
        <v>348</v>
      </c>
      <c r="C27" s="28" t="s">
        <v>342</v>
      </c>
      <c r="D27" s="28" t="s">
        <v>335</v>
      </c>
      <c r="E27" s="28" t="s">
        <v>355</v>
      </c>
      <c r="F27" s="28"/>
      <c r="G27" s="14">
        <v>16008030</v>
      </c>
      <c r="H27" s="7" t="s">
        <v>128</v>
      </c>
      <c r="I27" s="8" t="s">
        <v>102</v>
      </c>
      <c r="J27" s="9">
        <v>0</v>
      </c>
      <c r="K27" s="9">
        <v>10000</v>
      </c>
      <c r="L27" s="9">
        <v>0</v>
      </c>
      <c r="M27" s="9">
        <v>0</v>
      </c>
      <c r="N27" s="9">
        <v>-10000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10">
        <v>0</v>
      </c>
      <c r="W27" s="11">
        <v>0</v>
      </c>
      <c r="X27" s="12">
        <v>0</v>
      </c>
    </row>
    <row r="28" spans="1:24" ht="20.399999999999999" x14ac:dyDescent="0.3">
      <c r="A28" s="28" t="str">
        <f t="shared" si="0"/>
        <v>Aktywa</v>
      </c>
      <c r="B28" s="28" t="s">
        <v>348</v>
      </c>
      <c r="C28" s="28" t="s">
        <v>338</v>
      </c>
      <c r="D28" s="28" t="s">
        <v>101</v>
      </c>
      <c r="E28" s="28"/>
      <c r="F28" s="28"/>
      <c r="G28" s="14">
        <v>17000000</v>
      </c>
      <c r="H28" s="7" t="s">
        <v>129</v>
      </c>
      <c r="I28" s="8" t="s">
        <v>102</v>
      </c>
      <c r="J28" s="9">
        <v>62811.57</v>
      </c>
      <c r="K28" s="9">
        <v>-6281.0999999999985</v>
      </c>
      <c r="L28" s="9">
        <v>-6281.0999999999985</v>
      </c>
      <c r="M28" s="9">
        <v>-6281.1000000000058</v>
      </c>
      <c r="N28" s="9">
        <v>-6281.0999999999985</v>
      </c>
      <c r="O28" s="9">
        <v>-6281.0999999999985</v>
      </c>
      <c r="P28" s="9">
        <v>-6281.0999999999985</v>
      </c>
      <c r="Q28" s="9">
        <v>-6281.1000000000022</v>
      </c>
      <c r="R28" s="9">
        <v>-6281.0999999999985</v>
      </c>
      <c r="S28" s="9">
        <v>-6281.1</v>
      </c>
      <c r="T28" s="9">
        <v>-6281.67</v>
      </c>
      <c r="U28" s="9">
        <v>0</v>
      </c>
      <c r="V28" s="10">
        <v>0</v>
      </c>
      <c r="W28" s="11">
        <v>0</v>
      </c>
      <c r="X28" s="12">
        <v>0</v>
      </c>
    </row>
    <row r="29" spans="1:24" ht="20.399999999999999" x14ac:dyDescent="0.3">
      <c r="A29" s="28" t="str">
        <f t="shared" si="0"/>
        <v>Aktywa</v>
      </c>
      <c r="B29" s="28" t="s">
        <v>348</v>
      </c>
      <c r="C29" s="28" t="s">
        <v>338</v>
      </c>
      <c r="D29" s="28" t="s">
        <v>101</v>
      </c>
      <c r="E29" s="28"/>
      <c r="F29" s="28"/>
      <c r="G29" s="14">
        <v>17000030</v>
      </c>
      <c r="H29" s="7" t="s">
        <v>130</v>
      </c>
      <c r="I29" s="8" t="s">
        <v>102</v>
      </c>
      <c r="J29" s="9">
        <v>17661.79</v>
      </c>
      <c r="K29" s="9">
        <v>-2812.4300000000003</v>
      </c>
      <c r="L29" s="9">
        <v>1370.2899999999991</v>
      </c>
      <c r="M29" s="9">
        <v>24187.9</v>
      </c>
      <c r="N29" s="9">
        <v>-5296.1100000000006</v>
      </c>
      <c r="O29" s="9">
        <v>8255.8299999999945</v>
      </c>
      <c r="P29" s="9">
        <v>2916.4500000000044</v>
      </c>
      <c r="Q29" s="9">
        <v>-5329.6300000000047</v>
      </c>
      <c r="R29" s="9">
        <v>-3381.0899999999965</v>
      </c>
      <c r="S29" s="9">
        <v>-5329.09</v>
      </c>
      <c r="T29" s="9">
        <v>-5329.09</v>
      </c>
      <c r="U29" s="9">
        <v>-1444.2000000000007</v>
      </c>
      <c r="V29" s="10">
        <v>25470.62</v>
      </c>
      <c r="W29" s="11">
        <v>25470.62</v>
      </c>
      <c r="X29" s="12">
        <v>0</v>
      </c>
    </row>
    <row r="30" spans="1:24" x14ac:dyDescent="0.3">
      <c r="A30" s="28" t="str">
        <f t="shared" si="0"/>
        <v>Aktywa</v>
      </c>
      <c r="B30" s="28" t="s">
        <v>348</v>
      </c>
      <c r="C30" s="28" t="s">
        <v>343</v>
      </c>
      <c r="D30" s="28" t="s">
        <v>327</v>
      </c>
      <c r="E30" s="28"/>
      <c r="F30" s="28"/>
      <c r="G30" s="14">
        <v>18579900</v>
      </c>
      <c r="H30" s="7" t="s">
        <v>131</v>
      </c>
      <c r="I30" s="8" t="s">
        <v>102</v>
      </c>
      <c r="J30" s="9">
        <v>73896.98</v>
      </c>
      <c r="K30" s="9">
        <v>179485.22000000003</v>
      </c>
      <c r="L30" s="9">
        <v>116172.51000000001</v>
      </c>
      <c r="M30" s="9">
        <v>-342155.16000000003</v>
      </c>
      <c r="N30" s="9">
        <v>140378.92000000001</v>
      </c>
      <c r="O30" s="9">
        <v>589860.22</v>
      </c>
      <c r="P30" s="9">
        <v>-655795.8899999999</v>
      </c>
      <c r="Q30" s="9">
        <v>67057.490000000005</v>
      </c>
      <c r="R30" s="9">
        <v>-68231.48000000001</v>
      </c>
      <c r="S30" s="9">
        <v>15997.279999999999</v>
      </c>
      <c r="T30" s="9">
        <v>69099.47</v>
      </c>
      <c r="U30" s="9">
        <v>-91363.78</v>
      </c>
      <c r="V30" s="10">
        <v>94401.780000000028</v>
      </c>
      <c r="W30" s="11">
        <v>94401.78</v>
      </c>
      <c r="X30" s="12">
        <v>0</v>
      </c>
    </row>
    <row r="31" spans="1:24" x14ac:dyDescent="0.3">
      <c r="A31" s="28" t="str">
        <f t="shared" si="0"/>
        <v>Aktywa</v>
      </c>
      <c r="B31" s="28" t="s">
        <v>348</v>
      </c>
      <c r="C31" s="28" t="s">
        <v>343</v>
      </c>
      <c r="D31" s="28" t="s">
        <v>327</v>
      </c>
      <c r="E31" s="28"/>
      <c r="F31" s="28"/>
      <c r="G31" s="14">
        <v>18580000</v>
      </c>
      <c r="H31" s="7" t="s">
        <v>132</v>
      </c>
      <c r="I31" s="8" t="s">
        <v>102</v>
      </c>
      <c r="J31" s="9">
        <v>7177.18</v>
      </c>
      <c r="K31" s="9">
        <v>-121.44000000000051</v>
      </c>
      <c r="L31" s="9">
        <v>34678.03</v>
      </c>
      <c r="M31" s="9">
        <v>-37467.629999999997</v>
      </c>
      <c r="N31" s="9">
        <v>0</v>
      </c>
      <c r="O31" s="9">
        <v>2883.2999999999993</v>
      </c>
      <c r="P31" s="9">
        <v>265.61000000000058</v>
      </c>
      <c r="Q31" s="9">
        <v>88.960000000000036</v>
      </c>
      <c r="R31" s="9">
        <v>-972.0600000000004</v>
      </c>
      <c r="S31" s="9">
        <v>-7325.44</v>
      </c>
      <c r="T31" s="9">
        <v>-964.54</v>
      </c>
      <c r="U31" s="9">
        <v>1758.03</v>
      </c>
      <c r="V31" s="10">
        <v>0</v>
      </c>
      <c r="W31" s="11">
        <v>0</v>
      </c>
      <c r="X31" s="12">
        <v>0</v>
      </c>
    </row>
    <row r="32" spans="1:24" x14ac:dyDescent="0.3">
      <c r="A32" s="28" t="str">
        <f t="shared" si="0"/>
        <v>Aktywa</v>
      </c>
      <c r="B32" s="28" t="s">
        <v>348</v>
      </c>
      <c r="C32" s="28" t="s">
        <v>343</v>
      </c>
      <c r="D32" s="28" t="s">
        <v>327</v>
      </c>
      <c r="E32" s="28"/>
      <c r="F32" s="28"/>
      <c r="G32" s="14">
        <v>18580100</v>
      </c>
      <c r="H32" s="7" t="s">
        <v>133</v>
      </c>
      <c r="I32" s="8" t="s">
        <v>102</v>
      </c>
      <c r="J32" s="9">
        <v>20275.14</v>
      </c>
      <c r="K32" s="9">
        <v>-1344.0299999999988</v>
      </c>
      <c r="L32" s="9">
        <v>-8823.61</v>
      </c>
      <c r="M32" s="9">
        <v>0</v>
      </c>
      <c r="N32" s="9">
        <v>0</v>
      </c>
      <c r="O32" s="9">
        <v>-145.95000000000073</v>
      </c>
      <c r="P32" s="9">
        <v>3288.4500000000007</v>
      </c>
      <c r="Q32" s="9">
        <v>-0.19000000000050932</v>
      </c>
      <c r="R32" s="9">
        <v>0</v>
      </c>
      <c r="S32" s="9">
        <v>2496.6000000000004</v>
      </c>
      <c r="T32" s="9">
        <v>13199.93</v>
      </c>
      <c r="U32" s="9">
        <v>-28946.34</v>
      </c>
      <c r="V32" s="10">
        <v>0</v>
      </c>
      <c r="W32" s="11">
        <v>0</v>
      </c>
      <c r="X32" s="12">
        <v>0</v>
      </c>
    </row>
    <row r="33" spans="1:24" x14ac:dyDescent="0.3">
      <c r="A33" s="28" t="str">
        <f t="shared" si="0"/>
        <v>Aktywa</v>
      </c>
      <c r="B33" s="28" t="s">
        <v>348</v>
      </c>
      <c r="C33" s="28" t="s">
        <v>343</v>
      </c>
      <c r="D33" s="28" t="s">
        <v>327</v>
      </c>
      <c r="E33" s="28"/>
      <c r="F33" s="28"/>
      <c r="G33" s="14">
        <v>18580200</v>
      </c>
      <c r="H33" s="7" t="s">
        <v>134</v>
      </c>
      <c r="I33" s="8" t="s">
        <v>102</v>
      </c>
      <c r="J33" s="9">
        <v>1038.47</v>
      </c>
      <c r="K33" s="9">
        <v>-525</v>
      </c>
      <c r="L33" s="9">
        <v>4487</v>
      </c>
      <c r="M33" s="9">
        <v>-10</v>
      </c>
      <c r="N33" s="9">
        <v>-10</v>
      </c>
      <c r="O33" s="9">
        <v>-10</v>
      </c>
      <c r="P33" s="9">
        <v>-16</v>
      </c>
      <c r="Q33" s="9">
        <v>-10</v>
      </c>
      <c r="R33" s="9">
        <v>-1019.0000000000005</v>
      </c>
      <c r="S33" s="9">
        <v>973.36000000000013</v>
      </c>
      <c r="T33" s="9">
        <v>-10</v>
      </c>
      <c r="U33" s="9">
        <v>-10</v>
      </c>
      <c r="V33" s="10">
        <v>4878.83</v>
      </c>
      <c r="W33" s="11">
        <v>4878.83</v>
      </c>
      <c r="X33" s="12">
        <v>0</v>
      </c>
    </row>
    <row r="34" spans="1:24" x14ac:dyDescent="0.3">
      <c r="A34" s="28" t="str">
        <f t="shared" ref="A34:A64" si="1">IF(ISNUMBER(SEARCH("aktywa",B34)),"Aktywa","Pasywa")</f>
        <v>Aktywa</v>
      </c>
      <c r="B34" s="28" t="s">
        <v>348</v>
      </c>
      <c r="C34" s="28" t="s">
        <v>343</v>
      </c>
      <c r="D34" s="28" t="s">
        <v>327</v>
      </c>
      <c r="E34" s="28"/>
      <c r="F34" s="28"/>
      <c r="G34" s="14">
        <v>19000000</v>
      </c>
      <c r="H34" s="7" t="s">
        <v>135</v>
      </c>
      <c r="I34" s="8" t="s">
        <v>102</v>
      </c>
      <c r="J34" s="9">
        <v>4724.93</v>
      </c>
      <c r="K34" s="9">
        <v>-132.92000000000007</v>
      </c>
      <c r="L34" s="9">
        <v>322.96999999999935</v>
      </c>
      <c r="M34" s="9">
        <v>0</v>
      </c>
      <c r="N34" s="9">
        <v>-1133.9999999999995</v>
      </c>
      <c r="O34" s="9">
        <v>-500</v>
      </c>
      <c r="P34" s="9">
        <v>1031.9999999999995</v>
      </c>
      <c r="Q34" s="9">
        <v>0</v>
      </c>
      <c r="R34" s="9">
        <v>-1258.0599999999995</v>
      </c>
      <c r="S34" s="9">
        <v>1056.6400000000003</v>
      </c>
      <c r="T34" s="9">
        <v>-998.70000000000027</v>
      </c>
      <c r="U34" s="9">
        <v>500</v>
      </c>
      <c r="V34" s="10">
        <v>3612.86</v>
      </c>
      <c r="W34" s="11">
        <v>3612.86</v>
      </c>
      <c r="X34" s="12">
        <v>0</v>
      </c>
    </row>
    <row r="35" spans="1:24" x14ac:dyDescent="0.3">
      <c r="A35" s="28" t="str">
        <f t="shared" si="1"/>
        <v>Aktywa</v>
      </c>
      <c r="B35" s="28" t="s">
        <v>348</v>
      </c>
      <c r="C35" s="28" t="s">
        <v>343</v>
      </c>
      <c r="D35" s="28" t="s">
        <v>327</v>
      </c>
      <c r="E35" s="28"/>
      <c r="F35" s="28"/>
      <c r="G35" s="14">
        <v>19002000</v>
      </c>
      <c r="H35" s="7" t="s">
        <v>136</v>
      </c>
      <c r="I35" s="8" t="s">
        <v>102</v>
      </c>
      <c r="J35" s="9">
        <v>19532.080000000002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2000</v>
      </c>
      <c r="R35" s="9">
        <v>0</v>
      </c>
      <c r="S35" s="9">
        <v>-2000</v>
      </c>
      <c r="T35" s="9">
        <v>-20642.43</v>
      </c>
      <c r="U35" s="9">
        <v>1110.3499999999999</v>
      </c>
      <c r="V35" s="10">
        <v>0</v>
      </c>
      <c r="W35" s="11">
        <v>0</v>
      </c>
      <c r="X35" s="12">
        <v>0</v>
      </c>
    </row>
    <row r="36" spans="1:24" x14ac:dyDescent="0.3">
      <c r="A36" s="28" t="str">
        <f t="shared" si="1"/>
        <v>Pasywa</v>
      </c>
      <c r="B36" s="28" t="s">
        <v>346</v>
      </c>
      <c r="C36" s="28" t="s">
        <v>332</v>
      </c>
      <c r="D36" s="28" t="s">
        <v>101</v>
      </c>
      <c r="E36" s="28"/>
      <c r="F36" s="28"/>
      <c r="G36" s="14">
        <v>20000000</v>
      </c>
      <c r="H36" s="7" t="s">
        <v>137</v>
      </c>
      <c r="I36" s="8" t="s">
        <v>102</v>
      </c>
      <c r="J36" s="9">
        <v>-50000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10">
        <v>-50000</v>
      </c>
      <c r="W36" s="11">
        <v>-50000</v>
      </c>
      <c r="X36" s="12">
        <v>0</v>
      </c>
    </row>
    <row r="37" spans="1:24" x14ac:dyDescent="0.3">
      <c r="A37" s="28" t="str">
        <f t="shared" si="1"/>
        <v>Pasywa</v>
      </c>
      <c r="B37" s="28" t="s">
        <v>346</v>
      </c>
      <c r="C37" s="28" t="s">
        <v>333</v>
      </c>
      <c r="D37" s="28" t="s">
        <v>101</v>
      </c>
      <c r="E37" s="28"/>
      <c r="F37" s="28"/>
      <c r="G37" s="14">
        <v>21000000</v>
      </c>
      <c r="H37" s="7" t="s">
        <v>138</v>
      </c>
      <c r="I37" s="8" t="s">
        <v>102</v>
      </c>
      <c r="J37" s="9">
        <v>-1892451.04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-321922.68999999994</v>
      </c>
      <c r="S37" s="9">
        <v>0</v>
      </c>
      <c r="T37" s="9">
        <v>0</v>
      </c>
      <c r="U37" s="9">
        <v>0</v>
      </c>
      <c r="V37" s="10">
        <v>-2214373.73</v>
      </c>
      <c r="W37" s="11">
        <v>-2214373.73</v>
      </c>
      <c r="X37" s="12">
        <v>0</v>
      </c>
    </row>
    <row r="38" spans="1:24" x14ac:dyDescent="0.3">
      <c r="A38" s="28" t="str">
        <f t="shared" si="1"/>
        <v>Pasywa</v>
      </c>
      <c r="B38" s="28" t="s">
        <v>346</v>
      </c>
      <c r="C38" s="28" t="s">
        <v>333</v>
      </c>
      <c r="D38" s="28" t="s">
        <v>101</v>
      </c>
      <c r="E38" s="28"/>
      <c r="F38" s="28"/>
      <c r="G38" s="14">
        <v>21500000</v>
      </c>
      <c r="H38" s="7" t="s">
        <v>139</v>
      </c>
      <c r="I38" s="8" t="s">
        <v>102</v>
      </c>
      <c r="J38" s="9">
        <v>-337223.54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321922.69</v>
      </c>
      <c r="S38" s="9">
        <v>0</v>
      </c>
      <c r="T38" s="9">
        <v>0</v>
      </c>
      <c r="U38" s="9">
        <v>0</v>
      </c>
      <c r="V38" s="10">
        <v>-15300.849999999977</v>
      </c>
      <c r="W38" s="11">
        <v>-15300.85</v>
      </c>
      <c r="X38" s="12">
        <v>2.3646862246096134E-11</v>
      </c>
    </row>
    <row r="39" spans="1:24" ht="20.399999999999999" x14ac:dyDescent="0.3">
      <c r="A39" s="28" t="str">
        <f t="shared" si="1"/>
        <v>Pasywa</v>
      </c>
      <c r="B39" s="28" t="s">
        <v>347</v>
      </c>
      <c r="C39" s="28" t="s">
        <v>344</v>
      </c>
      <c r="D39" s="28" t="s">
        <v>329</v>
      </c>
      <c r="E39" s="28" t="s">
        <v>360</v>
      </c>
      <c r="F39" s="28"/>
      <c r="G39" s="14">
        <v>30500000</v>
      </c>
      <c r="H39" s="7" t="s">
        <v>140</v>
      </c>
      <c r="I39" s="8" t="s">
        <v>102</v>
      </c>
      <c r="J39" s="9">
        <v>-515308</v>
      </c>
      <c r="K39" s="9">
        <v>2375</v>
      </c>
      <c r="L39" s="9">
        <v>-2375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16985</v>
      </c>
      <c r="V39" s="10">
        <v>-498323</v>
      </c>
      <c r="W39" s="11">
        <v>-498323</v>
      </c>
      <c r="X39" s="12">
        <v>0</v>
      </c>
    </row>
    <row r="40" spans="1:24" ht="20.399999999999999" x14ac:dyDescent="0.3">
      <c r="A40" s="28" t="str">
        <f t="shared" si="1"/>
        <v>Pasywa</v>
      </c>
      <c r="B40" s="28" t="s">
        <v>347</v>
      </c>
      <c r="C40" s="28" t="s">
        <v>344</v>
      </c>
      <c r="D40" s="28" t="s">
        <v>330</v>
      </c>
      <c r="E40" s="28" t="s">
        <v>361</v>
      </c>
      <c r="F40" s="28"/>
      <c r="G40" s="14">
        <v>33506033</v>
      </c>
      <c r="H40" s="7" t="s">
        <v>141</v>
      </c>
      <c r="I40" s="8" t="s">
        <v>102</v>
      </c>
      <c r="J40" s="9">
        <v>-1458033</v>
      </c>
      <c r="K40" s="9">
        <v>0</v>
      </c>
      <c r="L40" s="9">
        <v>0</v>
      </c>
      <c r="M40" s="9">
        <v>1458033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-1452460.8</v>
      </c>
      <c r="V40" s="10">
        <v>-1452460.8</v>
      </c>
      <c r="W40" s="11">
        <v>-1452460.8</v>
      </c>
      <c r="X40" s="12">
        <v>0</v>
      </c>
    </row>
    <row r="41" spans="1:24" ht="20.399999999999999" x14ac:dyDescent="0.3">
      <c r="A41" s="28" t="str">
        <f t="shared" si="1"/>
        <v>Pasywa</v>
      </c>
      <c r="B41" s="28" t="s">
        <v>347</v>
      </c>
      <c r="C41" s="28" t="s">
        <v>344</v>
      </c>
      <c r="D41" s="28" t="s">
        <v>330</v>
      </c>
      <c r="E41" s="28" t="s">
        <v>360</v>
      </c>
      <c r="F41" s="28"/>
      <c r="G41" s="14">
        <v>33506050</v>
      </c>
      <c r="H41" s="7" t="s">
        <v>142</v>
      </c>
      <c r="I41" s="8" t="s">
        <v>102</v>
      </c>
      <c r="J41" s="9">
        <v>-740835.59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-262148.30000000005</v>
      </c>
      <c r="V41" s="10">
        <v>-1002983.89</v>
      </c>
      <c r="W41" s="11">
        <v>-1002983.89</v>
      </c>
      <c r="X41" s="12">
        <v>0</v>
      </c>
    </row>
    <row r="42" spans="1:24" ht="20.399999999999999" x14ac:dyDescent="0.3">
      <c r="A42" s="28" t="str">
        <f t="shared" si="1"/>
        <v>Pasywa</v>
      </c>
      <c r="B42" s="28" t="s">
        <v>347</v>
      </c>
      <c r="C42" s="28" t="s">
        <v>344</v>
      </c>
      <c r="D42" s="28" t="s">
        <v>330</v>
      </c>
      <c r="E42" s="28" t="s">
        <v>360</v>
      </c>
      <c r="F42" s="28"/>
      <c r="G42" s="14">
        <v>34014000</v>
      </c>
      <c r="H42" s="7" t="s">
        <v>143</v>
      </c>
      <c r="I42" s="8" t="s">
        <v>102</v>
      </c>
      <c r="J42" s="9">
        <v>-27350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-24800</v>
      </c>
      <c r="V42" s="10">
        <v>-52150</v>
      </c>
      <c r="W42" s="11">
        <v>-52150</v>
      </c>
      <c r="X42" s="12">
        <v>0</v>
      </c>
    </row>
    <row r="43" spans="1:24" ht="40.799999999999997" x14ac:dyDescent="0.3">
      <c r="A43" s="28" t="str">
        <f t="shared" si="1"/>
        <v>Pasywa</v>
      </c>
      <c r="B43" s="28" t="s">
        <v>347</v>
      </c>
      <c r="C43" s="28" t="s">
        <v>345</v>
      </c>
      <c r="D43" s="28" t="s">
        <v>331</v>
      </c>
      <c r="E43" s="28" t="s">
        <v>362</v>
      </c>
      <c r="F43" s="28" t="s">
        <v>364</v>
      </c>
      <c r="G43" s="14">
        <v>34500000</v>
      </c>
      <c r="H43" s="7" t="s">
        <v>144</v>
      </c>
      <c r="I43" s="8" t="s">
        <v>102</v>
      </c>
      <c r="J43" s="9">
        <v>-24764.080000000002</v>
      </c>
      <c r="K43" s="9">
        <v>11201.760000000002</v>
      </c>
      <c r="L43" s="9">
        <v>21140.87</v>
      </c>
      <c r="M43" s="9">
        <v>-59545.15</v>
      </c>
      <c r="N43" s="9">
        <v>47164.52</v>
      </c>
      <c r="O43" s="9">
        <v>-28226.39</v>
      </c>
      <c r="P43" s="9">
        <v>-85949.16</v>
      </c>
      <c r="Q43" s="9">
        <v>23709.11</v>
      </c>
      <c r="R43" s="9">
        <v>61043.140000000007</v>
      </c>
      <c r="S43" s="9">
        <v>-38598.830000000009</v>
      </c>
      <c r="T43" s="9">
        <v>8398.4500000000044</v>
      </c>
      <c r="U43" s="9">
        <v>18659.590000000004</v>
      </c>
      <c r="V43" s="10">
        <v>-45766.17</v>
      </c>
      <c r="W43" s="11">
        <v>-45766.17</v>
      </c>
      <c r="X43" s="12">
        <v>0</v>
      </c>
    </row>
    <row r="44" spans="1:24" ht="40.799999999999997" x14ac:dyDescent="0.3">
      <c r="A44" s="28" t="str">
        <f t="shared" si="1"/>
        <v>Aktywa</v>
      </c>
      <c r="B44" s="28" t="s">
        <v>348</v>
      </c>
      <c r="C44" s="28" t="s">
        <v>342</v>
      </c>
      <c r="D44" s="28" t="s">
        <v>325</v>
      </c>
      <c r="E44" s="28" t="s">
        <v>354</v>
      </c>
      <c r="F44" s="28" t="s">
        <v>364</v>
      </c>
      <c r="G44" s="14">
        <v>34550000</v>
      </c>
      <c r="H44" s="7" t="s">
        <v>145</v>
      </c>
      <c r="I44" s="8" t="s">
        <v>102</v>
      </c>
      <c r="J44" s="9">
        <v>1877205</v>
      </c>
      <c r="K44" s="9">
        <v>-1876903.45</v>
      </c>
      <c r="L44" s="9">
        <v>1765359.8599999999</v>
      </c>
      <c r="M44" s="9">
        <v>-335134.17999999993</v>
      </c>
      <c r="N44" s="9">
        <v>312205</v>
      </c>
      <c r="O44" s="9">
        <v>-56041.169999999925</v>
      </c>
      <c r="P44" s="9">
        <v>47587.169999999925</v>
      </c>
      <c r="Q44" s="9">
        <v>246</v>
      </c>
      <c r="R44" s="9">
        <v>30.270000000018626</v>
      </c>
      <c r="S44" s="9">
        <v>-23112.629999999888</v>
      </c>
      <c r="T44" s="9">
        <v>-38893.130000000121</v>
      </c>
      <c r="U44" s="9">
        <v>1433122.26</v>
      </c>
      <c r="V44" s="10">
        <v>3105671</v>
      </c>
      <c r="W44" s="11">
        <v>3105671</v>
      </c>
      <c r="X44" s="12">
        <v>0</v>
      </c>
    </row>
    <row r="45" spans="1:24" ht="40.799999999999997" x14ac:dyDescent="0.3">
      <c r="A45" s="28" t="str">
        <f t="shared" si="1"/>
        <v>Pasywa</v>
      </c>
      <c r="B45" s="28" t="s">
        <v>347</v>
      </c>
      <c r="C45" s="28" t="s">
        <v>345</v>
      </c>
      <c r="D45" s="28" t="s">
        <v>331</v>
      </c>
      <c r="E45" s="28" t="s">
        <v>362</v>
      </c>
      <c r="F45" s="28" t="s">
        <v>364</v>
      </c>
      <c r="G45" s="14">
        <v>34550999</v>
      </c>
      <c r="H45" s="7" t="s">
        <v>146</v>
      </c>
      <c r="I45" s="8" t="s">
        <v>102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10">
        <v>0</v>
      </c>
      <c r="W45" s="11">
        <v>0</v>
      </c>
      <c r="X45" s="12">
        <v>0</v>
      </c>
    </row>
    <row r="46" spans="1:24" ht="112.2" x14ac:dyDescent="0.3">
      <c r="A46" s="28" t="str">
        <f t="shared" si="1"/>
        <v>Aktywa</v>
      </c>
      <c r="B46" s="28" t="s">
        <v>348</v>
      </c>
      <c r="C46" s="28" t="s">
        <v>342</v>
      </c>
      <c r="D46" s="28" t="s">
        <v>326</v>
      </c>
      <c r="E46" s="28" t="s">
        <v>359</v>
      </c>
      <c r="F46" s="28"/>
      <c r="G46" s="14">
        <v>35002000</v>
      </c>
      <c r="H46" s="7" t="s">
        <v>147</v>
      </c>
      <c r="I46" s="8" t="s">
        <v>102</v>
      </c>
      <c r="J46" s="9">
        <v>584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10">
        <v>584</v>
      </c>
      <c r="W46" s="11">
        <v>584</v>
      </c>
      <c r="X46" s="12">
        <v>0</v>
      </c>
    </row>
    <row r="47" spans="1:24" ht="91.8" x14ac:dyDescent="0.3">
      <c r="A47" s="28" t="str">
        <f t="shared" si="1"/>
        <v>Pasywa</v>
      </c>
      <c r="B47" s="28" t="s">
        <v>347</v>
      </c>
      <c r="C47" s="28" t="s">
        <v>345</v>
      </c>
      <c r="D47" s="28" t="s">
        <v>331</v>
      </c>
      <c r="E47" s="28" t="s">
        <v>358</v>
      </c>
      <c r="F47" s="28"/>
      <c r="G47" s="14">
        <v>35002010</v>
      </c>
      <c r="H47" s="7" t="s">
        <v>148</v>
      </c>
      <c r="I47" s="8" t="s">
        <v>102</v>
      </c>
      <c r="J47" s="9">
        <v>-87869.07</v>
      </c>
      <c r="K47" s="9">
        <v>412.01000000000931</v>
      </c>
      <c r="L47" s="9">
        <v>-12757.910000000003</v>
      </c>
      <c r="M47" s="9">
        <v>570.99000000000524</v>
      </c>
      <c r="N47" s="9">
        <v>-174.91000000000349</v>
      </c>
      <c r="O47" s="9">
        <v>-84.930000000007567</v>
      </c>
      <c r="P47" s="9">
        <v>-246.73999999999069</v>
      </c>
      <c r="Q47" s="9">
        <v>-465.57000000000698</v>
      </c>
      <c r="R47" s="9">
        <v>-286.02999999999884</v>
      </c>
      <c r="S47" s="9">
        <v>-815.59999999999127</v>
      </c>
      <c r="T47" s="9">
        <v>-137.82000000000698</v>
      </c>
      <c r="U47" s="9">
        <v>-3169.6999999999971</v>
      </c>
      <c r="V47" s="10">
        <v>-105025.28</v>
      </c>
      <c r="W47" s="11">
        <v>-105025.28</v>
      </c>
      <c r="X47" s="12">
        <v>0</v>
      </c>
    </row>
    <row r="48" spans="1:24" ht="91.8" x14ac:dyDescent="0.3">
      <c r="A48" s="28" t="str">
        <f t="shared" si="1"/>
        <v>Pasywa</v>
      </c>
      <c r="B48" s="28" t="s">
        <v>347</v>
      </c>
      <c r="C48" s="28" t="s">
        <v>345</v>
      </c>
      <c r="D48" s="28" t="s">
        <v>331</v>
      </c>
      <c r="E48" s="28" t="s">
        <v>358</v>
      </c>
      <c r="F48" s="28"/>
      <c r="G48" s="14">
        <v>35002100</v>
      </c>
      <c r="H48" s="7" t="s">
        <v>149</v>
      </c>
      <c r="I48" s="8" t="s">
        <v>102</v>
      </c>
      <c r="J48" s="9">
        <v>-236.89</v>
      </c>
      <c r="K48" s="9">
        <v>0</v>
      </c>
      <c r="L48" s="9">
        <v>0</v>
      </c>
      <c r="M48" s="9">
        <v>0</v>
      </c>
      <c r="N48" s="9">
        <v>0</v>
      </c>
      <c r="O48" s="9">
        <v>-33.330000000000041</v>
      </c>
      <c r="P48" s="9">
        <v>-25.859999999999957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10">
        <v>-296.08</v>
      </c>
      <c r="W48" s="11">
        <v>-296.08</v>
      </c>
      <c r="X48" s="12">
        <v>0</v>
      </c>
    </row>
    <row r="49" spans="1:24" ht="91.8" x14ac:dyDescent="0.3">
      <c r="A49" s="28" t="str">
        <f t="shared" si="1"/>
        <v>Pasywa</v>
      </c>
      <c r="B49" s="28" t="s">
        <v>347</v>
      </c>
      <c r="C49" s="28" t="s">
        <v>345</v>
      </c>
      <c r="D49" s="28" t="s">
        <v>331</v>
      </c>
      <c r="E49" s="28" t="s">
        <v>358</v>
      </c>
      <c r="F49" s="28"/>
      <c r="G49" s="14">
        <v>35004001</v>
      </c>
      <c r="H49" s="7" t="s">
        <v>150</v>
      </c>
      <c r="I49" s="8" t="s">
        <v>102</v>
      </c>
      <c r="J49" s="9">
        <v>-87880</v>
      </c>
      <c r="K49" s="9">
        <v>1028</v>
      </c>
      <c r="L49" s="9">
        <v>-9404</v>
      </c>
      <c r="M49" s="9">
        <v>-118272</v>
      </c>
      <c r="N49" s="9">
        <v>100726</v>
      </c>
      <c r="O49" s="9">
        <v>-14087</v>
      </c>
      <c r="P49" s="9">
        <v>6210</v>
      </c>
      <c r="Q49" s="9">
        <v>-9539</v>
      </c>
      <c r="R49" s="9">
        <v>-3053</v>
      </c>
      <c r="S49" s="9">
        <v>-8988</v>
      </c>
      <c r="T49" s="9">
        <v>-13231</v>
      </c>
      <c r="U49" s="9">
        <v>-6853</v>
      </c>
      <c r="V49" s="10">
        <v>-163343</v>
      </c>
      <c r="W49" s="11">
        <v>-163343</v>
      </c>
      <c r="X49" s="12">
        <v>0</v>
      </c>
    </row>
    <row r="50" spans="1:24" ht="91.8" x14ac:dyDescent="0.3">
      <c r="A50" s="28" t="str">
        <f t="shared" si="1"/>
        <v>Pasywa</v>
      </c>
      <c r="B50" s="28" t="s">
        <v>347</v>
      </c>
      <c r="C50" s="28" t="s">
        <v>345</v>
      </c>
      <c r="D50" s="28" t="s">
        <v>331</v>
      </c>
      <c r="E50" s="28" t="s">
        <v>358</v>
      </c>
      <c r="F50" s="28"/>
      <c r="G50" s="14">
        <v>35006000</v>
      </c>
      <c r="H50" s="7" t="s">
        <v>151</v>
      </c>
      <c r="I50" s="8" t="s">
        <v>102</v>
      </c>
      <c r="J50" s="9">
        <v>-433622.1</v>
      </c>
      <c r="K50" s="9">
        <v>10204.509999999951</v>
      </c>
      <c r="L50" s="9">
        <v>1536.140000000014</v>
      </c>
      <c r="M50" s="9">
        <v>-450774.19</v>
      </c>
      <c r="N50" s="9">
        <v>492565.76000000001</v>
      </c>
      <c r="O50" s="9">
        <v>-76065.37</v>
      </c>
      <c r="P50" s="9">
        <v>90599.890000000014</v>
      </c>
      <c r="Q50" s="9">
        <v>-3886.9400000000023</v>
      </c>
      <c r="R50" s="9">
        <v>7531.3999999999651</v>
      </c>
      <c r="S50" s="9">
        <v>2597.1900000000023</v>
      </c>
      <c r="T50" s="9">
        <v>1151.179999999993</v>
      </c>
      <c r="U50" s="9">
        <v>358162.53</v>
      </c>
      <c r="V50" s="10">
        <v>0</v>
      </c>
      <c r="W50" s="11">
        <v>0</v>
      </c>
      <c r="X50" s="12">
        <v>0</v>
      </c>
    </row>
    <row r="51" spans="1:24" ht="20.399999999999999" x14ac:dyDescent="0.3">
      <c r="A51" s="28" t="str">
        <f t="shared" si="1"/>
        <v>Aktywa</v>
      </c>
      <c r="B51" s="28" t="s">
        <v>317</v>
      </c>
      <c r="C51" s="28" t="s">
        <v>341</v>
      </c>
      <c r="D51" s="28" t="s">
        <v>321</v>
      </c>
      <c r="E51" s="28"/>
      <c r="F51" s="28"/>
      <c r="G51" s="14">
        <v>36500010</v>
      </c>
      <c r="H51" s="7" t="s">
        <v>152</v>
      </c>
      <c r="I51" s="8" t="s">
        <v>102</v>
      </c>
      <c r="J51" s="9">
        <v>121.1</v>
      </c>
      <c r="K51" s="9">
        <v>3.0000000000001137E-2</v>
      </c>
      <c r="L51" s="9">
        <v>0</v>
      </c>
      <c r="M51" s="9">
        <v>-9.9999999999909051E-3</v>
      </c>
      <c r="N51" s="9">
        <v>0</v>
      </c>
      <c r="O51" s="9">
        <v>3.0000000000001137E-2</v>
      </c>
      <c r="P51" s="9">
        <v>-2.0000000000010232E-2</v>
      </c>
      <c r="Q51" s="9">
        <v>-9.9999999999909051E-3</v>
      </c>
      <c r="R51" s="9">
        <v>9.9999999999909051E-3</v>
      </c>
      <c r="S51" s="9">
        <v>0</v>
      </c>
      <c r="T51" s="9">
        <v>1</v>
      </c>
      <c r="U51" s="9">
        <v>2.3100000000000023</v>
      </c>
      <c r="V51" s="10">
        <v>124.44</v>
      </c>
      <c r="W51" s="11">
        <v>124.44</v>
      </c>
      <c r="X51" s="12">
        <v>0</v>
      </c>
    </row>
    <row r="52" spans="1:24" ht="20.399999999999999" x14ac:dyDescent="0.3">
      <c r="A52" s="28" t="str">
        <f t="shared" si="1"/>
        <v>Aktywa</v>
      </c>
      <c r="B52" s="28" t="s">
        <v>317</v>
      </c>
      <c r="C52" s="28" t="s">
        <v>341</v>
      </c>
      <c r="D52" s="28" t="s">
        <v>322</v>
      </c>
      <c r="E52" s="28"/>
      <c r="F52" s="28"/>
      <c r="G52" s="14">
        <v>14502000</v>
      </c>
      <c r="H52" s="7" t="s">
        <v>171</v>
      </c>
      <c r="I52" s="8" t="s">
        <v>102</v>
      </c>
      <c r="J52" s="9">
        <v>520903.26</v>
      </c>
      <c r="K52" s="9">
        <v>-451.25</v>
      </c>
      <c r="L52" s="9">
        <v>451.25</v>
      </c>
      <c r="M52" s="9">
        <v>-277026.27</v>
      </c>
      <c r="N52" s="9">
        <v>0</v>
      </c>
      <c r="O52" s="9">
        <v>0</v>
      </c>
      <c r="P52" s="9">
        <v>0</v>
      </c>
      <c r="Q52" s="9">
        <v>0</v>
      </c>
      <c r="R52" s="9">
        <v>-243876.99</v>
      </c>
      <c r="S52" s="9">
        <v>0</v>
      </c>
      <c r="T52" s="9">
        <v>0</v>
      </c>
      <c r="U52" s="9">
        <v>571149.07999999996</v>
      </c>
      <c r="V52" s="10">
        <v>571149.07999999996</v>
      </c>
      <c r="W52" s="11">
        <v>571149.07999999996</v>
      </c>
      <c r="X52" s="12">
        <v>0</v>
      </c>
    </row>
    <row r="53" spans="1:24" ht="112.2" x14ac:dyDescent="0.3">
      <c r="A53" s="28" t="str">
        <f t="shared" si="1"/>
        <v>Aktywa</v>
      </c>
      <c r="B53" s="28" t="s">
        <v>348</v>
      </c>
      <c r="C53" s="28" t="s">
        <v>342</v>
      </c>
      <c r="D53" s="28" t="s">
        <v>326</v>
      </c>
      <c r="E53" s="28" t="s">
        <v>359</v>
      </c>
      <c r="F53" s="28"/>
      <c r="G53" s="14">
        <v>16500000</v>
      </c>
      <c r="H53" s="7" t="s">
        <v>172</v>
      </c>
      <c r="I53" s="8" t="s">
        <v>102</v>
      </c>
      <c r="J53" s="9">
        <v>717622</v>
      </c>
      <c r="K53" s="9">
        <v>0</v>
      </c>
      <c r="L53" s="9">
        <v>0</v>
      </c>
      <c r="M53" s="9">
        <v>0</v>
      </c>
      <c r="N53" s="9">
        <v>0</v>
      </c>
      <c r="O53" s="9">
        <v>-728950</v>
      </c>
      <c r="P53" s="9">
        <v>11328</v>
      </c>
      <c r="Q53" s="9">
        <v>0</v>
      </c>
      <c r="R53" s="9">
        <v>0</v>
      </c>
      <c r="S53" s="9">
        <v>0</v>
      </c>
      <c r="T53" s="9">
        <v>0</v>
      </c>
      <c r="U53" s="9">
        <v>315026</v>
      </c>
      <c r="V53" s="10">
        <v>315026</v>
      </c>
      <c r="W53" s="11">
        <v>315026</v>
      </c>
      <c r="X53" s="12">
        <v>0</v>
      </c>
    </row>
    <row r="54" spans="1:24" ht="20.399999999999999" x14ac:dyDescent="0.3">
      <c r="A54" s="28" t="str">
        <f t="shared" si="1"/>
        <v>Pasywa</v>
      </c>
      <c r="B54" s="28" t="s">
        <v>347</v>
      </c>
      <c r="C54" s="28" t="s">
        <v>345</v>
      </c>
      <c r="D54" s="28" t="s">
        <v>337</v>
      </c>
      <c r="E54" s="28" t="s">
        <v>363</v>
      </c>
      <c r="F54" s="28"/>
      <c r="G54" s="14">
        <v>33506000</v>
      </c>
      <c r="H54" s="7" t="s">
        <v>173</v>
      </c>
      <c r="I54" s="8" t="s">
        <v>102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730.43</v>
      </c>
      <c r="Q54" s="9">
        <v>-730.43</v>
      </c>
      <c r="R54" s="9">
        <v>29.56</v>
      </c>
      <c r="S54" s="9">
        <v>-29.56</v>
      </c>
      <c r="T54" s="9">
        <v>0</v>
      </c>
      <c r="U54" s="9">
        <v>0</v>
      </c>
      <c r="V54" s="10">
        <v>0</v>
      </c>
      <c r="W54" s="11">
        <v>0</v>
      </c>
      <c r="X54" s="12">
        <v>0</v>
      </c>
    </row>
    <row r="55" spans="1:24" x14ac:dyDescent="0.3">
      <c r="A55" s="28" t="str">
        <f t="shared" si="1"/>
        <v>Aktywa</v>
      </c>
      <c r="B55" s="28" t="s">
        <v>317</v>
      </c>
      <c r="C55" s="28" t="s">
        <v>340</v>
      </c>
      <c r="D55" s="28" t="s">
        <v>334</v>
      </c>
      <c r="E55" s="28"/>
      <c r="F55" s="28"/>
      <c r="G55" s="14">
        <v>17006000</v>
      </c>
      <c r="H55" s="7" t="s">
        <v>174</v>
      </c>
      <c r="I55" s="8" t="s">
        <v>102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10">
        <v>0</v>
      </c>
      <c r="W55" s="11">
        <v>0</v>
      </c>
      <c r="X55" s="12">
        <v>0</v>
      </c>
    </row>
    <row r="56" spans="1:24" x14ac:dyDescent="0.3">
      <c r="A56" s="28" t="str">
        <f t="shared" si="1"/>
        <v>Aktywa</v>
      </c>
      <c r="B56" s="28" t="s">
        <v>348</v>
      </c>
      <c r="C56" s="28" t="s">
        <v>342</v>
      </c>
      <c r="D56" s="28" t="s">
        <v>335</v>
      </c>
      <c r="E56" s="28" t="s">
        <v>355</v>
      </c>
      <c r="F56" s="28"/>
      <c r="G56" s="14">
        <v>15560000</v>
      </c>
      <c r="H56" s="7" t="s">
        <v>175</v>
      </c>
      <c r="I56" s="8" t="s">
        <v>102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10">
        <v>0</v>
      </c>
      <c r="W56" s="11">
        <v>0</v>
      </c>
      <c r="X56" s="12">
        <v>0</v>
      </c>
    </row>
    <row r="57" spans="1:24" ht="20.399999999999999" x14ac:dyDescent="0.3">
      <c r="A57" s="28" t="str">
        <f t="shared" si="1"/>
        <v>Aktywa</v>
      </c>
      <c r="B57" s="28" t="s">
        <v>317</v>
      </c>
      <c r="C57" s="28" t="s">
        <v>341</v>
      </c>
      <c r="D57" s="28" t="s">
        <v>321</v>
      </c>
      <c r="E57" s="28"/>
      <c r="F57" s="28"/>
      <c r="G57" s="14">
        <v>15514000</v>
      </c>
      <c r="H57" s="7" t="s">
        <v>176</v>
      </c>
      <c r="I57" s="8" t="s">
        <v>102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71754</v>
      </c>
      <c r="V57" s="10">
        <v>71754</v>
      </c>
      <c r="W57" s="11">
        <v>71754</v>
      </c>
      <c r="X57" s="12">
        <v>0</v>
      </c>
    </row>
    <row r="58" spans="1:24" ht="40.799999999999997" x14ac:dyDescent="0.3">
      <c r="A58" s="28" t="str">
        <f t="shared" si="1"/>
        <v>Pasywa</v>
      </c>
      <c r="B58" s="28" t="s">
        <v>347</v>
      </c>
      <c r="C58" s="28" t="s">
        <v>345</v>
      </c>
      <c r="D58" s="28" t="s">
        <v>331</v>
      </c>
      <c r="E58" s="28" t="s">
        <v>362</v>
      </c>
      <c r="F58" s="28" t="s">
        <v>364</v>
      </c>
      <c r="G58" s="14">
        <v>34504000</v>
      </c>
      <c r="H58" s="7" t="s">
        <v>177</v>
      </c>
      <c r="I58" s="8" t="s">
        <v>102</v>
      </c>
      <c r="J58" s="9">
        <v>-35.57</v>
      </c>
      <c r="K58" s="9">
        <v>35.57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-60834.03</v>
      </c>
      <c r="V58" s="10">
        <v>-60834.03</v>
      </c>
      <c r="W58" s="11">
        <v>-60834.03</v>
      </c>
      <c r="X58" s="12">
        <v>0</v>
      </c>
    </row>
    <row r="59" spans="1:24" x14ac:dyDescent="0.3">
      <c r="A59" s="28" t="str">
        <f t="shared" si="1"/>
        <v>Aktywa</v>
      </c>
      <c r="B59" s="28" t="s">
        <v>348</v>
      </c>
      <c r="C59" s="28" t="s">
        <v>342</v>
      </c>
      <c r="D59" s="28" t="s">
        <v>335</v>
      </c>
      <c r="E59" s="28" t="s">
        <v>355</v>
      </c>
      <c r="F59" s="28"/>
      <c r="G59" s="14">
        <v>34515000</v>
      </c>
      <c r="H59" s="7" t="s">
        <v>178</v>
      </c>
      <c r="I59" s="8" t="s">
        <v>102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10">
        <v>0</v>
      </c>
      <c r="W59" s="11">
        <v>0</v>
      </c>
      <c r="X59" s="12">
        <v>0</v>
      </c>
    </row>
    <row r="60" spans="1:24" x14ac:dyDescent="0.3">
      <c r="A60" s="28" t="str">
        <f t="shared" si="1"/>
        <v>Aktywa</v>
      </c>
      <c r="B60" s="28" t="s">
        <v>348</v>
      </c>
      <c r="C60" s="28" t="s">
        <v>343</v>
      </c>
      <c r="D60" s="28" t="s">
        <v>336</v>
      </c>
      <c r="E60" s="28"/>
      <c r="F60" s="28"/>
      <c r="G60" s="13">
        <v>65526100</v>
      </c>
      <c r="H60" s="7" t="s">
        <v>179</v>
      </c>
      <c r="I60" s="8" t="s">
        <v>102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27079.759999999998</v>
      </c>
      <c r="U60" s="9">
        <v>-27079.759999999998</v>
      </c>
      <c r="V60" s="10">
        <v>0</v>
      </c>
      <c r="W60" s="11">
        <v>0</v>
      </c>
      <c r="X60" s="12">
        <v>0</v>
      </c>
    </row>
    <row r="61" spans="1:24" ht="20.399999999999999" x14ac:dyDescent="0.3">
      <c r="A61" s="28" t="str">
        <f t="shared" si="1"/>
        <v>Pasywa</v>
      </c>
      <c r="B61" s="28" t="s">
        <v>347</v>
      </c>
      <c r="C61" s="28" t="s">
        <v>345</v>
      </c>
      <c r="D61" s="28" t="s">
        <v>335</v>
      </c>
      <c r="E61" s="28"/>
      <c r="F61" s="28"/>
      <c r="G61" s="13">
        <v>16000000</v>
      </c>
      <c r="H61" s="7" t="s">
        <v>180</v>
      </c>
      <c r="I61" s="8" t="s">
        <v>102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10">
        <v>0</v>
      </c>
      <c r="W61" s="11">
        <v>0</v>
      </c>
      <c r="X61" s="12">
        <v>0</v>
      </c>
    </row>
    <row r="62" spans="1:24" ht="20.399999999999999" x14ac:dyDescent="0.3">
      <c r="A62" s="28" t="str">
        <f t="shared" si="1"/>
        <v>Pasywa</v>
      </c>
      <c r="B62" s="28" t="s">
        <v>347</v>
      </c>
      <c r="C62" s="28" t="s">
        <v>344</v>
      </c>
      <c r="D62" s="28" t="s">
        <v>328</v>
      </c>
      <c r="E62" s="28" t="s">
        <v>361</v>
      </c>
      <c r="F62" s="28"/>
      <c r="G62" s="13">
        <v>31500000</v>
      </c>
      <c r="H62" s="7" t="s">
        <v>181</v>
      </c>
      <c r="I62" s="8" t="s">
        <v>102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-79.17</v>
      </c>
      <c r="V62" s="10">
        <v>-79.17</v>
      </c>
      <c r="W62" s="11">
        <v>-79.17</v>
      </c>
      <c r="X62" s="12">
        <v>0</v>
      </c>
    </row>
    <row r="63" spans="1:24" ht="91.8" x14ac:dyDescent="0.3">
      <c r="A63" s="28" t="str">
        <f t="shared" si="1"/>
        <v>Pasywa</v>
      </c>
      <c r="B63" s="28" t="s">
        <v>347</v>
      </c>
      <c r="C63" s="28" t="s">
        <v>345</v>
      </c>
      <c r="D63" s="28" t="s">
        <v>331</v>
      </c>
      <c r="E63" s="28" t="s">
        <v>358</v>
      </c>
      <c r="F63" s="28"/>
      <c r="G63" s="13">
        <v>36000000</v>
      </c>
      <c r="H63" s="7" t="s">
        <v>182</v>
      </c>
      <c r="I63" s="8" t="s">
        <v>102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-43662</v>
      </c>
      <c r="V63" s="10">
        <v>-43662</v>
      </c>
      <c r="W63" s="11">
        <v>-43662</v>
      </c>
      <c r="X63" s="12">
        <v>0</v>
      </c>
    </row>
    <row r="64" spans="1:24" x14ac:dyDescent="0.3">
      <c r="A64" s="28" t="str">
        <f t="shared" si="1"/>
        <v>Pasywa</v>
      </c>
      <c r="B64" s="28" t="s">
        <v>346</v>
      </c>
      <c r="C64" s="37" t="s">
        <v>366</v>
      </c>
      <c r="D64" s="28"/>
      <c r="E64" s="43"/>
      <c r="F64" s="43"/>
      <c r="G64" s="44"/>
      <c r="H64" s="45" t="s">
        <v>365</v>
      </c>
      <c r="I64" s="46"/>
      <c r="J64">
        <v>-181516.08000000054</v>
      </c>
      <c r="K64">
        <v>-161780.99</v>
      </c>
      <c r="L64">
        <v>-54304.5699999996</v>
      </c>
      <c r="M64">
        <v>575793.26000000047</v>
      </c>
      <c r="N64">
        <v>-80904.459999999963</v>
      </c>
      <c r="O64">
        <v>183603.59999999963</v>
      </c>
      <c r="P64">
        <v>-21642.130000000587</v>
      </c>
      <c r="Q64">
        <v>-123113.26999999909</v>
      </c>
      <c r="R64">
        <v>193925.26999999932</v>
      </c>
      <c r="S64">
        <v>-8818.260000000475</v>
      </c>
      <c r="T64">
        <v>-47007.4300000004</v>
      </c>
      <c r="U64">
        <v>-598871.2799999998</v>
      </c>
      <c r="V64">
        <f>(SUM('25 Mapowanie Bilans'!$J64:$U64))</f>
        <v>-324636.34000000102</v>
      </c>
      <c r="W64" s="47">
        <v>324636.34000000102</v>
      </c>
      <c r="X64" s="12">
        <v>0</v>
      </c>
    </row>
    <row r="65" spans="10:22" x14ac:dyDescent="0.3">
      <c r="J65" s="15">
        <f>SUM(J2:J64)</f>
        <v>-1.3387762010097504E-9</v>
      </c>
      <c r="K65" s="15">
        <f t="shared" ref="K65:V65" si="2">SUM(K2:K64)</f>
        <v>0</v>
      </c>
      <c r="L65" s="15">
        <f t="shared" si="2"/>
        <v>4.9476511776447296E-10</v>
      </c>
      <c r="M65" s="15">
        <f t="shared" si="2"/>
        <v>0</v>
      </c>
      <c r="N65" s="15">
        <f t="shared" si="2"/>
        <v>1.1641532182693481E-10</v>
      </c>
      <c r="O65" s="15">
        <f t="shared" si="2"/>
        <v>0</v>
      </c>
      <c r="P65" s="15">
        <f t="shared" si="2"/>
        <v>-3.1031959224492311E-9</v>
      </c>
      <c r="Q65" s="15">
        <f t="shared" si="2"/>
        <v>9.4587448984384537E-10</v>
      </c>
      <c r="R65" s="15">
        <f t="shared" si="2"/>
        <v>-7.5669959187507629E-10</v>
      </c>
      <c r="S65" s="15">
        <f t="shared" si="2"/>
        <v>9.1440597316250205E-9</v>
      </c>
      <c r="T65" s="15">
        <f t="shared" si="2"/>
        <v>-6.1263563111424446E-9</v>
      </c>
      <c r="U65" s="15">
        <f t="shared" si="2"/>
        <v>7.3341652750968933E-9</v>
      </c>
      <c r="V65" s="15">
        <f t="shared" si="2"/>
        <v>2.3865140974521637E-9</v>
      </c>
    </row>
    <row r="66" spans="10:22" x14ac:dyDescent="0.3">
      <c r="J66">
        <v>-1</v>
      </c>
    </row>
  </sheetData>
  <phoneticPr fontId="12" type="noConversion"/>
  <conditionalFormatting sqref="G2:G64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A912-97E5-4A6E-8CB7-EC7B2C978E6D}">
  <sheetPr>
    <tabColor rgb="FF00B050"/>
  </sheetPr>
  <dimension ref="A3:F67"/>
  <sheetViews>
    <sheetView workbookViewId="0">
      <selection activeCell="B29" sqref="B29"/>
    </sheetView>
  </sheetViews>
  <sheetFormatPr defaultRowHeight="14.4" x14ac:dyDescent="0.3"/>
  <cols>
    <col min="1" max="1" width="48.21875" bestFit="1" customWidth="1"/>
    <col min="2" max="2" width="13.21875" bestFit="1" customWidth="1"/>
    <col min="5" max="5" width="48.21875" bestFit="1" customWidth="1"/>
    <col min="6" max="6" width="13.5546875" style="15" bestFit="1" customWidth="1"/>
  </cols>
  <sheetData>
    <row r="3" spans="1:6" x14ac:dyDescent="0.3">
      <c r="A3" s="26" t="s">
        <v>229</v>
      </c>
      <c r="B3" s="15" t="s">
        <v>349</v>
      </c>
      <c r="E3" s="26" t="s">
        <v>229</v>
      </c>
      <c r="F3" s="15" t="s">
        <v>349</v>
      </c>
    </row>
    <row r="4" spans="1:6" x14ac:dyDescent="0.3">
      <c r="A4" s="27" t="s">
        <v>317</v>
      </c>
      <c r="B4" s="15">
        <v>-9534734.0599999987</v>
      </c>
      <c r="E4" s="27" t="s">
        <v>317</v>
      </c>
      <c r="F4" s="15">
        <v>9534734.0599999987</v>
      </c>
    </row>
    <row r="5" spans="1:6" x14ac:dyDescent="0.3">
      <c r="A5" s="42" t="s">
        <v>316</v>
      </c>
      <c r="B5" s="15">
        <v>-18529.999999999993</v>
      </c>
      <c r="E5" s="42" t="s">
        <v>316</v>
      </c>
      <c r="F5" s="15">
        <v>18529.999999999993</v>
      </c>
    </row>
    <row r="6" spans="1:6" x14ac:dyDescent="0.3">
      <c r="A6" s="42" t="s">
        <v>340</v>
      </c>
      <c r="B6" s="15">
        <v>-7106096.5899999999</v>
      </c>
      <c r="E6" s="42" t="s">
        <v>340</v>
      </c>
      <c r="F6" s="15">
        <v>7106096.5899999999</v>
      </c>
    </row>
    <row r="7" spans="1:6" x14ac:dyDescent="0.3">
      <c r="A7" s="42" t="s">
        <v>341</v>
      </c>
      <c r="B7" s="15">
        <v>-2410107.4699999997</v>
      </c>
      <c r="E7" s="42" t="s">
        <v>341</v>
      </c>
      <c r="F7" s="15">
        <v>2410107.4699999997</v>
      </c>
    </row>
    <row r="8" spans="1:6" x14ac:dyDescent="0.3">
      <c r="A8" s="27" t="s">
        <v>348</v>
      </c>
      <c r="B8" s="15">
        <v>-92539868.149999991</v>
      </c>
      <c r="E8" s="27" t="s">
        <v>348</v>
      </c>
      <c r="F8" s="15">
        <v>92539868.149999991</v>
      </c>
    </row>
    <row r="9" spans="1:6" x14ac:dyDescent="0.3">
      <c r="A9" s="42" t="s">
        <v>342</v>
      </c>
      <c r="B9" s="15">
        <v>-92323881.859999985</v>
      </c>
      <c r="E9" s="42" t="s">
        <v>342</v>
      </c>
      <c r="F9" s="15">
        <v>92323881.859999985</v>
      </c>
    </row>
    <row r="10" spans="1:6" x14ac:dyDescent="0.3">
      <c r="A10" s="42" t="s">
        <v>343</v>
      </c>
      <c r="B10" s="15">
        <v>-125098.23000000737</v>
      </c>
      <c r="E10" s="42" t="s">
        <v>343</v>
      </c>
      <c r="F10" s="15">
        <v>125098.23000000737</v>
      </c>
    </row>
    <row r="11" spans="1:6" x14ac:dyDescent="0.3">
      <c r="A11" s="42" t="s">
        <v>338</v>
      </c>
      <c r="B11" s="15">
        <v>-90888.059999999983</v>
      </c>
      <c r="E11" s="42" t="s">
        <v>338</v>
      </c>
      <c r="F11" s="15">
        <v>90888.059999999983</v>
      </c>
    </row>
    <row r="12" spans="1:6" x14ac:dyDescent="0.3">
      <c r="A12" s="27" t="s">
        <v>346</v>
      </c>
      <c r="B12" s="15">
        <v>2300040.8300000005</v>
      </c>
      <c r="E12" s="27" t="s">
        <v>346</v>
      </c>
      <c r="F12" s="15">
        <v>2300040.8300000005</v>
      </c>
    </row>
    <row r="13" spans="1:6" x14ac:dyDescent="0.3">
      <c r="A13" s="42" t="s">
        <v>332</v>
      </c>
      <c r="B13" s="15">
        <v>50000</v>
      </c>
      <c r="E13" s="42" t="s">
        <v>332</v>
      </c>
      <c r="F13" s="15">
        <v>50000</v>
      </c>
    </row>
    <row r="14" spans="1:6" x14ac:dyDescent="0.3">
      <c r="A14" s="42" t="s">
        <v>333</v>
      </c>
      <c r="B14" s="15">
        <v>1907751.8900000001</v>
      </c>
      <c r="E14" s="42" t="s">
        <v>333</v>
      </c>
      <c r="F14" s="15">
        <v>1907751.8900000001</v>
      </c>
    </row>
    <row r="15" spans="1:6" x14ac:dyDescent="0.3">
      <c r="A15" s="42" t="s">
        <v>366</v>
      </c>
      <c r="B15" s="15">
        <v>342288.94000000041</v>
      </c>
      <c r="E15" s="42" t="s">
        <v>366</v>
      </c>
      <c r="F15" s="15">
        <v>342288.94000000041</v>
      </c>
    </row>
    <row r="16" spans="1:6" x14ac:dyDescent="0.3">
      <c r="A16" s="27" t="s">
        <v>347</v>
      </c>
      <c r="B16" s="15">
        <v>99774561.38000001</v>
      </c>
      <c r="E16" s="27" t="s">
        <v>347</v>
      </c>
      <c r="F16" s="15">
        <v>99774561.38000001</v>
      </c>
    </row>
    <row r="17" spans="1:6" x14ac:dyDescent="0.3">
      <c r="A17" s="42" t="s">
        <v>344</v>
      </c>
      <c r="B17" s="15">
        <v>2741526.59</v>
      </c>
      <c r="E17" s="42" t="s">
        <v>344</v>
      </c>
      <c r="F17" s="15">
        <v>2741526.59</v>
      </c>
    </row>
    <row r="18" spans="1:6" x14ac:dyDescent="0.3">
      <c r="A18" s="42" t="s">
        <v>345</v>
      </c>
      <c r="B18" s="15">
        <v>97033034.790000007</v>
      </c>
      <c r="E18" s="42" t="s">
        <v>345</v>
      </c>
      <c r="F18" s="15">
        <v>97033034.790000007</v>
      </c>
    </row>
    <row r="19" spans="1:6" x14ac:dyDescent="0.3">
      <c r="A19" s="27" t="s">
        <v>230</v>
      </c>
      <c r="B19" s="15">
        <v>0</v>
      </c>
      <c r="E19" s="27" t="s">
        <v>230</v>
      </c>
      <c r="F19" s="15">
        <v>204149204.42000002</v>
      </c>
    </row>
    <row r="20" spans="1:6" x14ac:dyDescent="0.3">
      <c r="F20"/>
    </row>
    <row r="21" spans="1:6" x14ac:dyDescent="0.3">
      <c r="F21" s="15">
        <f>F8+F4</f>
        <v>102074602.20999999</v>
      </c>
    </row>
    <row r="22" spans="1:6" x14ac:dyDescent="0.3">
      <c r="F22" s="15">
        <f>F16+F12</f>
        <v>102074602.21000001</v>
      </c>
    </row>
    <row r="23" spans="1:6" x14ac:dyDescent="0.3">
      <c r="F23" s="15">
        <f>F21-F22</f>
        <v>0</v>
      </c>
    </row>
    <row r="24" spans="1:6" x14ac:dyDescent="0.3">
      <c r="F24"/>
    </row>
    <row r="25" spans="1:6" x14ac:dyDescent="0.3">
      <c r="F25"/>
    </row>
    <row r="26" spans="1:6" x14ac:dyDescent="0.3">
      <c r="F26"/>
    </row>
    <row r="27" spans="1:6" x14ac:dyDescent="0.3">
      <c r="F27"/>
    </row>
    <row r="28" spans="1:6" x14ac:dyDescent="0.3">
      <c r="F28"/>
    </row>
    <row r="29" spans="1:6" x14ac:dyDescent="0.3">
      <c r="F29"/>
    </row>
    <row r="30" spans="1:6" x14ac:dyDescent="0.3">
      <c r="F30"/>
    </row>
    <row r="31" spans="1:6" x14ac:dyDescent="0.3">
      <c r="F31"/>
    </row>
    <row r="32" spans="1:6" x14ac:dyDescent="0.3">
      <c r="F32"/>
    </row>
    <row r="33" spans="6:6" x14ac:dyDescent="0.3">
      <c r="F33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  <row r="44" spans="6:6" x14ac:dyDescent="0.3">
      <c r="F44"/>
    </row>
    <row r="45" spans="6:6" x14ac:dyDescent="0.3">
      <c r="F45"/>
    </row>
    <row r="46" spans="6:6" x14ac:dyDescent="0.3">
      <c r="F46"/>
    </row>
    <row r="47" spans="6:6" x14ac:dyDescent="0.3">
      <c r="F47"/>
    </row>
    <row r="48" spans="6:6" x14ac:dyDescent="0.3">
      <c r="F48"/>
    </row>
    <row r="49" spans="6:6" x14ac:dyDescent="0.3">
      <c r="F49"/>
    </row>
    <row r="50" spans="6:6" x14ac:dyDescent="0.3">
      <c r="F50"/>
    </row>
    <row r="51" spans="6:6" x14ac:dyDescent="0.3">
      <c r="F51"/>
    </row>
    <row r="52" spans="6:6" x14ac:dyDescent="0.3">
      <c r="F52"/>
    </row>
    <row r="53" spans="6:6" x14ac:dyDescent="0.3">
      <c r="F53"/>
    </row>
    <row r="54" spans="6:6" x14ac:dyDescent="0.3">
      <c r="F54"/>
    </row>
    <row r="55" spans="6:6" x14ac:dyDescent="0.3">
      <c r="F55"/>
    </row>
    <row r="56" spans="6:6" x14ac:dyDescent="0.3">
      <c r="F56"/>
    </row>
    <row r="57" spans="6:6" x14ac:dyDescent="0.3">
      <c r="F57"/>
    </row>
    <row r="58" spans="6:6" x14ac:dyDescent="0.3">
      <c r="F58"/>
    </row>
    <row r="59" spans="6:6" x14ac:dyDescent="0.3">
      <c r="F59"/>
    </row>
    <row r="60" spans="6:6" x14ac:dyDescent="0.3">
      <c r="F60"/>
    </row>
    <row r="61" spans="6:6" x14ac:dyDescent="0.3">
      <c r="F61"/>
    </row>
    <row r="62" spans="6:6" x14ac:dyDescent="0.3">
      <c r="F62"/>
    </row>
    <row r="63" spans="6:6" x14ac:dyDescent="0.3">
      <c r="F63"/>
    </row>
    <row r="64" spans="6:6" x14ac:dyDescent="0.3">
      <c r="F64"/>
    </row>
    <row r="65" spans="6:6" x14ac:dyDescent="0.3">
      <c r="F65"/>
    </row>
    <row r="66" spans="6:6" x14ac:dyDescent="0.3">
      <c r="F66"/>
    </row>
    <row r="67" spans="6:6" x14ac:dyDescent="0.3">
      <c r="F6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5E08-DE52-473D-A9AA-8CA2C004407E}">
  <sheetPr>
    <tabColor rgb="FF92D050"/>
  </sheetPr>
  <dimension ref="A1:X65"/>
  <sheetViews>
    <sheetView topLeftCell="G1" workbookViewId="0">
      <selection activeCell="H7" sqref="H7"/>
    </sheetView>
  </sheetViews>
  <sheetFormatPr defaultRowHeight="14.4" x14ac:dyDescent="0.3"/>
  <cols>
    <col min="7" max="7" width="11.88671875" customWidth="1"/>
    <col min="8" max="8" width="43.77734375" bestFit="1" customWidth="1"/>
    <col min="10" max="10" width="9" customWidth="1"/>
    <col min="11" max="12" width="9.109375" customWidth="1"/>
    <col min="14" max="14" width="9.33203125" customWidth="1"/>
    <col min="15" max="15" width="9" customWidth="1"/>
    <col min="17" max="18" width="9.21875" customWidth="1"/>
    <col min="20" max="21" width="9.109375" customWidth="1"/>
  </cols>
  <sheetData>
    <row r="1" spans="1:24" ht="41.4" thickBot="1" x14ac:dyDescent="0.35">
      <c r="A1" s="38" t="s">
        <v>226</v>
      </c>
      <c r="B1" s="38" t="s">
        <v>227</v>
      </c>
      <c r="C1" s="38" t="s">
        <v>241</v>
      </c>
      <c r="D1" s="38" t="s">
        <v>313</v>
      </c>
      <c r="E1" s="38" t="s">
        <v>323</v>
      </c>
      <c r="F1" s="38" t="s">
        <v>324</v>
      </c>
      <c r="G1" s="38" t="s">
        <v>1</v>
      </c>
      <c r="H1" s="38" t="s">
        <v>2</v>
      </c>
      <c r="I1" s="38" t="s">
        <v>3</v>
      </c>
      <c r="J1" s="38" t="s">
        <v>283</v>
      </c>
      <c r="K1" s="38" t="s">
        <v>284</v>
      </c>
      <c r="L1" s="38" t="s">
        <v>285</v>
      </c>
      <c r="M1" s="38" t="s">
        <v>286</v>
      </c>
      <c r="N1" s="38" t="s">
        <v>287</v>
      </c>
      <c r="O1" s="38" t="s">
        <v>288</v>
      </c>
      <c r="P1" s="38" t="s">
        <v>289</v>
      </c>
      <c r="Q1" s="38" t="s">
        <v>290</v>
      </c>
      <c r="R1" s="38" t="s">
        <v>291</v>
      </c>
      <c r="S1" s="38" t="s">
        <v>292</v>
      </c>
      <c r="T1" s="38" t="s">
        <v>293</v>
      </c>
      <c r="U1" s="38" t="s">
        <v>294</v>
      </c>
      <c r="V1" s="38" t="s">
        <v>4</v>
      </c>
      <c r="W1" s="38" t="s">
        <v>221</v>
      </c>
      <c r="X1" s="38" t="s">
        <v>5</v>
      </c>
    </row>
    <row r="2" spans="1:24" x14ac:dyDescent="0.3">
      <c r="A2" s="7" t="s">
        <v>314</v>
      </c>
      <c r="B2" s="7" t="s">
        <v>317</v>
      </c>
      <c r="C2" s="7" t="s">
        <v>316</v>
      </c>
      <c r="D2" s="7" t="s">
        <v>318</v>
      </c>
      <c r="E2" s="7"/>
      <c r="F2" s="7"/>
      <c r="G2" s="6">
        <v>11000100</v>
      </c>
      <c r="H2" s="7" t="s">
        <v>103</v>
      </c>
      <c r="I2" s="7" t="s">
        <v>102</v>
      </c>
      <c r="J2" s="17">
        <v>49668.01</v>
      </c>
      <c r="K2" s="17">
        <v>0</v>
      </c>
      <c r="L2" s="17">
        <v>27794.999999999993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77463.009999999995</v>
      </c>
      <c r="W2" s="17">
        <v>77463.009999999995</v>
      </c>
      <c r="X2" s="17">
        <v>0</v>
      </c>
    </row>
    <row r="3" spans="1:24" x14ac:dyDescent="0.3">
      <c r="A3" s="7" t="s">
        <v>314</v>
      </c>
      <c r="B3" s="7" t="s">
        <v>317</v>
      </c>
      <c r="C3" s="7" t="s">
        <v>316</v>
      </c>
      <c r="D3" s="7" t="s">
        <v>318</v>
      </c>
      <c r="E3" s="7"/>
      <c r="F3" s="7"/>
      <c r="G3" s="6">
        <v>11000400</v>
      </c>
      <c r="H3" s="7" t="s">
        <v>104</v>
      </c>
      <c r="I3" s="7" t="s">
        <v>102</v>
      </c>
      <c r="J3" s="17">
        <v>-49668.01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-8338.5</v>
      </c>
      <c r="U3" s="17">
        <v>-926.5</v>
      </c>
      <c r="V3" s="17">
        <v>-58933.01</v>
      </c>
      <c r="W3" s="17">
        <v>-58933.01</v>
      </c>
      <c r="X3" s="17">
        <v>0</v>
      </c>
    </row>
    <row r="4" spans="1:24" x14ac:dyDescent="0.3">
      <c r="A4" s="7" t="s">
        <v>314</v>
      </c>
      <c r="B4" s="7" t="s">
        <v>317</v>
      </c>
      <c r="C4" s="7" t="s">
        <v>340</v>
      </c>
      <c r="D4" s="7" t="s">
        <v>319</v>
      </c>
      <c r="E4" s="7" t="s">
        <v>350</v>
      </c>
      <c r="F4" s="7"/>
      <c r="G4" s="6">
        <v>11502100</v>
      </c>
      <c r="H4" s="7" t="s">
        <v>105</v>
      </c>
      <c r="I4" s="7" t="s">
        <v>102</v>
      </c>
      <c r="J4" s="17">
        <v>8316576.9500000002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8316576.9500000002</v>
      </c>
      <c r="W4" s="17">
        <v>8316576.9500000002</v>
      </c>
      <c r="X4" s="17">
        <v>0</v>
      </c>
    </row>
    <row r="5" spans="1:24" x14ac:dyDescent="0.3">
      <c r="A5" s="7" t="s">
        <v>314</v>
      </c>
      <c r="B5" s="7" t="s">
        <v>317</v>
      </c>
      <c r="C5" s="7" t="s">
        <v>340</v>
      </c>
      <c r="D5" s="7" t="s">
        <v>319</v>
      </c>
      <c r="E5" s="7" t="s">
        <v>350</v>
      </c>
      <c r="F5" s="7"/>
      <c r="G5" s="6">
        <v>11502400</v>
      </c>
      <c r="H5" s="7" t="s">
        <v>106</v>
      </c>
      <c r="I5" s="7" t="s">
        <v>102</v>
      </c>
      <c r="J5" s="17">
        <v>-1472042.17</v>
      </c>
      <c r="K5" s="17">
        <v>0</v>
      </c>
      <c r="L5" s="17">
        <v>-34652.410000000149</v>
      </c>
      <c r="M5" s="17">
        <v>-17326.199999999953</v>
      </c>
      <c r="N5" s="17">
        <v>-17326.199999999953</v>
      </c>
      <c r="O5" s="17">
        <v>-17326.209999999963</v>
      </c>
      <c r="P5" s="17">
        <v>0</v>
      </c>
      <c r="Q5" s="17">
        <v>-34652.410000000149</v>
      </c>
      <c r="R5" s="17">
        <v>0</v>
      </c>
      <c r="S5" s="17">
        <v>-34652.419999999925</v>
      </c>
      <c r="T5" s="17">
        <v>-17326.2</v>
      </c>
      <c r="U5" s="17">
        <v>-17326.2</v>
      </c>
      <c r="V5" s="17">
        <v>-1662630.42</v>
      </c>
      <c r="W5" s="17">
        <v>-1662630.42</v>
      </c>
      <c r="X5" s="17">
        <v>0</v>
      </c>
    </row>
    <row r="6" spans="1:24" x14ac:dyDescent="0.3">
      <c r="A6" s="7" t="s">
        <v>314</v>
      </c>
      <c r="B6" s="7" t="s">
        <v>317</v>
      </c>
      <c r="C6" s="7" t="s">
        <v>340</v>
      </c>
      <c r="D6" s="7" t="s">
        <v>320</v>
      </c>
      <c r="E6" s="7"/>
      <c r="F6" s="7"/>
      <c r="G6" s="6">
        <v>11504100</v>
      </c>
      <c r="H6" s="7" t="s">
        <v>107</v>
      </c>
      <c r="I6" s="7" t="s">
        <v>102</v>
      </c>
      <c r="J6" s="17">
        <v>45961.56</v>
      </c>
      <c r="K6" s="17">
        <v>0</v>
      </c>
      <c r="L6" s="17">
        <v>0</v>
      </c>
      <c r="M6" s="17">
        <v>0</v>
      </c>
      <c r="N6" s="17">
        <v>154941.42000000001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200902.98</v>
      </c>
      <c r="W6" s="17">
        <v>200902.98</v>
      </c>
      <c r="X6" s="17">
        <v>0</v>
      </c>
    </row>
    <row r="7" spans="1:24" x14ac:dyDescent="0.3">
      <c r="A7" s="7" t="s">
        <v>314</v>
      </c>
      <c r="B7" s="7" t="s">
        <v>317</v>
      </c>
      <c r="C7" s="7" t="s">
        <v>340</v>
      </c>
      <c r="D7" s="7" t="s">
        <v>320</v>
      </c>
      <c r="E7" s="7"/>
      <c r="F7" s="7"/>
      <c r="G7" s="6">
        <v>11504400</v>
      </c>
      <c r="H7" s="7" t="s">
        <v>108</v>
      </c>
      <c r="I7" s="7" t="s">
        <v>102</v>
      </c>
      <c r="J7" s="17">
        <v>-30527.62</v>
      </c>
      <c r="K7" s="17">
        <v>0</v>
      </c>
      <c r="L7" s="17">
        <v>-626.90999999999985</v>
      </c>
      <c r="M7" s="17">
        <v>-313.46000000000276</v>
      </c>
      <c r="N7" s="17">
        <v>-313.44999999999709</v>
      </c>
      <c r="O7" s="17">
        <v>-313.45000000000073</v>
      </c>
      <c r="P7" s="17">
        <v>0</v>
      </c>
      <c r="Q7" s="17">
        <v>-626.92000000000189</v>
      </c>
      <c r="R7" s="17">
        <v>0</v>
      </c>
      <c r="S7" s="17">
        <v>-626.92000000000189</v>
      </c>
      <c r="T7" s="17">
        <v>-313.45</v>
      </c>
      <c r="U7" s="17">
        <v>-313.45999999999998</v>
      </c>
      <c r="V7" s="17">
        <v>-33975.64</v>
      </c>
      <c r="W7" s="17">
        <v>-33975.64</v>
      </c>
      <c r="X7" s="17">
        <v>0</v>
      </c>
    </row>
    <row r="8" spans="1:24" x14ac:dyDescent="0.3">
      <c r="A8" s="7" t="s">
        <v>314</v>
      </c>
      <c r="B8" s="7" t="s">
        <v>317</v>
      </c>
      <c r="C8" s="7" t="s">
        <v>340</v>
      </c>
      <c r="D8" s="7" t="s">
        <v>319</v>
      </c>
      <c r="E8" s="7" t="s">
        <v>351</v>
      </c>
      <c r="F8" s="7"/>
      <c r="G8" s="6">
        <v>11508100</v>
      </c>
      <c r="H8" s="7" t="s">
        <v>109</v>
      </c>
      <c r="I8" s="7" t="s">
        <v>102</v>
      </c>
      <c r="J8" s="17">
        <v>861732.19</v>
      </c>
      <c r="K8" s="17">
        <v>17038.540000000037</v>
      </c>
      <c r="L8" s="17">
        <v>16111.25</v>
      </c>
      <c r="M8" s="17">
        <v>2357.7199999999721</v>
      </c>
      <c r="N8" s="17">
        <v>90426.230000000098</v>
      </c>
      <c r="O8" s="17">
        <v>33306.219999999972</v>
      </c>
      <c r="P8" s="17">
        <v>30969.95000000007</v>
      </c>
      <c r="Q8" s="17">
        <v>11382.719999999972</v>
      </c>
      <c r="R8" s="17">
        <v>5967.1699999999255</v>
      </c>
      <c r="S8" s="17">
        <v>43619.199999999953</v>
      </c>
      <c r="T8" s="17">
        <v>3289</v>
      </c>
      <c r="U8" s="17">
        <v>54044.920000000006</v>
      </c>
      <c r="V8" s="17">
        <v>1170245.1099999999</v>
      </c>
      <c r="W8" s="17">
        <v>1170245.1099999999</v>
      </c>
      <c r="X8" s="17">
        <v>0</v>
      </c>
    </row>
    <row r="9" spans="1:24" x14ac:dyDescent="0.3">
      <c r="A9" s="7" t="s">
        <v>314</v>
      </c>
      <c r="B9" s="7" t="s">
        <v>317</v>
      </c>
      <c r="C9" s="7" t="s">
        <v>340</v>
      </c>
      <c r="D9" s="7" t="s">
        <v>319</v>
      </c>
      <c r="E9" s="7" t="s">
        <v>351</v>
      </c>
      <c r="F9" s="7"/>
      <c r="G9" s="6">
        <v>11508400</v>
      </c>
      <c r="H9" s="7" t="s">
        <v>110</v>
      </c>
      <c r="I9" s="7" t="s">
        <v>102</v>
      </c>
      <c r="J9" s="17">
        <v>-839627.19</v>
      </c>
      <c r="K9" s="17">
        <v>0</v>
      </c>
      <c r="L9" s="17">
        <v>-38074.310000000056</v>
      </c>
      <c r="M9" s="17">
        <v>-47300.479999999981</v>
      </c>
      <c r="N9" s="17">
        <v>-50435.969999999972</v>
      </c>
      <c r="O9" s="17">
        <v>-36086.980000000098</v>
      </c>
      <c r="P9" s="17">
        <v>0</v>
      </c>
      <c r="Q9" s="17">
        <v>-44473.069999999949</v>
      </c>
      <c r="R9" s="17">
        <v>0</v>
      </c>
      <c r="S9" s="17">
        <v>-52577.820000000065</v>
      </c>
      <c r="T9" s="17">
        <v>-4082.85</v>
      </c>
      <c r="U9" s="17">
        <v>-36848.6</v>
      </c>
      <c r="V9" s="17">
        <v>-1149507.2700000003</v>
      </c>
      <c r="W9" s="17">
        <v>-1149507.2700000003</v>
      </c>
      <c r="X9" s="17">
        <v>0</v>
      </c>
    </row>
    <row r="10" spans="1:24" x14ac:dyDescent="0.3">
      <c r="A10" s="7" t="s">
        <v>314</v>
      </c>
      <c r="B10" s="7" t="s">
        <v>317</v>
      </c>
      <c r="C10" s="7" t="s">
        <v>340</v>
      </c>
      <c r="D10" s="7" t="s">
        <v>319</v>
      </c>
      <c r="E10" s="7" t="s">
        <v>352</v>
      </c>
      <c r="F10" s="7"/>
      <c r="G10" s="6">
        <v>11514100</v>
      </c>
      <c r="H10" s="7" t="s">
        <v>111</v>
      </c>
      <c r="I10" s="7" t="s">
        <v>102</v>
      </c>
      <c r="J10" s="17">
        <v>1024800.78</v>
      </c>
      <c r="K10" s="17">
        <v>598</v>
      </c>
      <c r="L10" s="17">
        <v>26000</v>
      </c>
      <c r="M10" s="17">
        <v>0</v>
      </c>
      <c r="N10" s="17">
        <v>67007.260000000009</v>
      </c>
      <c r="O10" s="17">
        <v>8354</v>
      </c>
      <c r="P10" s="17">
        <v>553.65999999991618</v>
      </c>
      <c r="Q10" s="17">
        <v>0</v>
      </c>
      <c r="R10" s="17">
        <v>0</v>
      </c>
      <c r="S10" s="17">
        <v>1137.4000000001397</v>
      </c>
      <c r="T10" s="17">
        <v>0</v>
      </c>
      <c r="U10" s="17">
        <v>0</v>
      </c>
      <c r="V10" s="17">
        <v>1128451.1000000001</v>
      </c>
      <c r="W10" s="17">
        <v>1128451.1000000001</v>
      </c>
      <c r="X10" s="17">
        <v>0</v>
      </c>
    </row>
    <row r="11" spans="1:24" x14ac:dyDescent="0.3">
      <c r="A11" s="7" t="s">
        <v>314</v>
      </c>
      <c r="B11" s="7" t="s">
        <v>317</v>
      </c>
      <c r="C11" s="7" t="s">
        <v>340</v>
      </c>
      <c r="D11" s="7" t="s">
        <v>319</v>
      </c>
      <c r="E11" s="7" t="s">
        <v>352</v>
      </c>
      <c r="F11" s="7"/>
      <c r="G11" s="6">
        <v>11514400</v>
      </c>
      <c r="H11" s="7" t="s">
        <v>112</v>
      </c>
      <c r="I11" s="7" t="s">
        <v>102</v>
      </c>
      <c r="J11" s="17">
        <v>-1014993.86</v>
      </c>
      <c r="K11" s="17">
        <v>0</v>
      </c>
      <c r="L11" s="17">
        <v>-1663.7800000000279</v>
      </c>
      <c r="M11" s="17">
        <v>-966.20999999996275</v>
      </c>
      <c r="N11" s="17">
        <v>-704.71000000007916</v>
      </c>
      <c r="O11" s="17">
        <v>-10375.179999999935</v>
      </c>
      <c r="P11" s="17">
        <v>0</v>
      </c>
      <c r="Q11" s="17">
        <v>-4595.9699999999721</v>
      </c>
      <c r="R11" s="17">
        <v>0</v>
      </c>
      <c r="S11" s="17">
        <v>-4042.3200000000652</v>
      </c>
      <c r="T11" s="17">
        <v>-2021.17</v>
      </c>
      <c r="U11" s="17">
        <v>-2021.14</v>
      </c>
      <c r="V11" s="17">
        <v>-1041384.3400000001</v>
      </c>
      <c r="W11" s="17">
        <v>-1041384.3400000001</v>
      </c>
      <c r="X11" s="17">
        <v>0</v>
      </c>
    </row>
    <row r="12" spans="1:24" x14ac:dyDescent="0.3">
      <c r="A12" s="7" t="s">
        <v>314</v>
      </c>
      <c r="B12" s="7" t="s">
        <v>317</v>
      </c>
      <c r="C12" s="7" t="s">
        <v>340</v>
      </c>
      <c r="D12" s="7" t="s">
        <v>319</v>
      </c>
      <c r="E12" s="7" t="s">
        <v>353</v>
      </c>
      <c r="F12" s="7"/>
      <c r="G12" s="6">
        <v>11518100</v>
      </c>
      <c r="H12" s="7" t="s">
        <v>113</v>
      </c>
      <c r="I12" s="7" t="s">
        <v>102</v>
      </c>
      <c r="J12" s="17">
        <v>1391454.59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-328972.15000000002</v>
      </c>
      <c r="V12" s="17">
        <v>1062482.44</v>
      </c>
      <c r="W12" s="17">
        <v>1062482.44</v>
      </c>
      <c r="X12" s="17">
        <v>0</v>
      </c>
    </row>
    <row r="13" spans="1:24" x14ac:dyDescent="0.3">
      <c r="A13" s="7" t="s">
        <v>314</v>
      </c>
      <c r="B13" s="7" t="s">
        <v>317</v>
      </c>
      <c r="C13" s="7" t="s">
        <v>340</v>
      </c>
      <c r="D13" s="7" t="s">
        <v>319</v>
      </c>
      <c r="E13" s="7" t="s">
        <v>353</v>
      </c>
      <c r="F13" s="7"/>
      <c r="G13" s="6">
        <v>11518400</v>
      </c>
      <c r="H13" s="7" t="s">
        <v>114</v>
      </c>
      <c r="I13" s="7" t="s">
        <v>102</v>
      </c>
      <c r="J13" s="17">
        <v>-990571.85</v>
      </c>
      <c r="K13" s="17">
        <v>0</v>
      </c>
      <c r="L13" s="17">
        <v>-45714.599999999977</v>
      </c>
      <c r="M13" s="17">
        <v>-22857.260000000009</v>
      </c>
      <c r="N13" s="17">
        <v>-19036.949999999953</v>
      </c>
      <c r="O13" s="17">
        <v>-19036.950000000186</v>
      </c>
      <c r="P13" s="17">
        <v>0</v>
      </c>
      <c r="Q13" s="17">
        <v>-38073.85999999987</v>
      </c>
      <c r="R13" s="17">
        <v>0</v>
      </c>
      <c r="S13" s="17">
        <v>-36769.310000000056</v>
      </c>
      <c r="T13" s="17">
        <v>-16100.979999999998</v>
      </c>
      <c r="U13" s="17">
        <v>303097.44</v>
      </c>
      <c r="V13" s="17">
        <v>-885064.32000000007</v>
      </c>
      <c r="W13" s="17">
        <v>-885064.32000000007</v>
      </c>
      <c r="X13" s="17">
        <v>0</v>
      </c>
    </row>
    <row r="14" spans="1:24" x14ac:dyDescent="0.3">
      <c r="A14" s="7" t="s">
        <v>314</v>
      </c>
      <c r="B14" s="7" t="s">
        <v>317</v>
      </c>
      <c r="C14" s="7" t="s">
        <v>341</v>
      </c>
      <c r="D14" s="7" t="s">
        <v>321</v>
      </c>
      <c r="E14" s="7"/>
      <c r="F14" s="7"/>
      <c r="G14" s="6">
        <v>13500000</v>
      </c>
      <c r="H14" s="7" t="s">
        <v>115</v>
      </c>
      <c r="I14" s="7" t="s">
        <v>102</v>
      </c>
      <c r="J14" s="17">
        <v>82626</v>
      </c>
      <c r="K14" s="17">
        <v>76602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159228</v>
      </c>
      <c r="W14" s="17">
        <v>159228</v>
      </c>
      <c r="X14" s="17">
        <v>0</v>
      </c>
    </row>
    <row r="15" spans="1:24" x14ac:dyDescent="0.3">
      <c r="A15" s="7" t="s">
        <v>314</v>
      </c>
      <c r="B15" s="7" t="s">
        <v>317</v>
      </c>
      <c r="C15" s="7" t="s">
        <v>341</v>
      </c>
      <c r="D15" s="7" t="s">
        <v>322</v>
      </c>
      <c r="E15" s="7"/>
      <c r="F15" s="7"/>
      <c r="G15" s="6">
        <v>14502000</v>
      </c>
      <c r="H15" s="7" t="s">
        <v>171</v>
      </c>
      <c r="I15" s="7" t="s">
        <v>102</v>
      </c>
      <c r="J15" s="17">
        <v>619205.87</v>
      </c>
      <c r="K15" s="17">
        <v>0</v>
      </c>
      <c r="L15" s="17">
        <v>0</v>
      </c>
      <c r="M15" s="17">
        <v>0</v>
      </c>
      <c r="N15" s="17">
        <v>-329020.75</v>
      </c>
      <c r="O15" s="17">
        <v>0</v>
      </c>
      <c r="P15" s="17">
        <v>0</v>
      </c>
      <c r="Q15" s="17">
        <v>0</v>
      </c>
      <c r="R15" s="17">
        <v>0</v>
      </c>
      <c r="S15" s="17">
        <v>-290185.12</v>
      </c>
      <c r="T15" s="17">
        <v>0</v>
      </c>
      <c r="U15" s="17">
        <v>520903.26000000007</v>
      </c>
      <c r="V15" s="17">
        <v>520903.26000000007</v>
      </c>
      <c r="W15" s="17">
        <v>520903.26000000007</v>
      </c>
      <c r="X15" s="17">
        <v>0</v>
      </c>
    </row>
    <row r="16" spans="1:24" x14ac:dyDescent="0.3">
      <c r="A16" s="7" t="s">
        <v>314</v>
      </c>
      <c r="B16" s="7" t="s">
        <v>348</v>
      </c>
      <c r="C16" s="7" t="s">
        <v>342</v>
      </c>
      <c r="D16" s="7" t="s">
        <v>326</v>
      </c>
      <c r="E16" s="7" t="s">
        <v>354</v>
      </c>
      <c r="F16" s="7" t="s">
        <v>364</v>
      </c>
      <c r="G16" s="6">
        <v>15500000</v>
      </c>
      <c r="H16" s="7" t="s">
        <v>116</v>
      </c>
      <c r="I16" s="7" t="s">
        <v>102</v>
      </c>
      <c r="J16" s="17">
        <v>134792.95999999999</v>
      </c>
      <c r="K16" s="17">
        <v>-5493.8799999999901</v>
      </c>
      <c r="L16" s="17">
        <v>31565.17</v>
      </c>
      <c r="M16" s="17">
        <v>13038.959999999992</v>
      </c>
      <c r="N16" s="17">
        <v>-44630.12999999999</v>
      </c>
      <c r="O16" s="17">
        <v>252417.22999999998</v>
      </c>
      <c r="P16" s="17">
        <v>-252461.22999999998</v>
      </c>
      <c r="Q16" s="17">
        <v>-17131.869999999995</v>
      </c>
      <c r="R16" s="17">
        <v>0</v>
      </c>
      <c r="S16" s="17">
        <v>-66732.63</v>
      </c>
      <c r="T16" s="17">
        <v>-27018.580000000005</v>
      </c>
      <c r="U16" s="17">
        <v>-3246</v>
      </c>
      <c r="V16" s="17">
        <v>15100.000000000011</v>
      </c>
      <c r="W16" s="17">
        <v>15100.000000000011</v>
      </c>
      <c r="X16" s="17">
        <v>0</v>
      </c>
    </row>
    <row r="17" spans="1:24" x14ac:dyDescent="0.3">
      <c r="A17" s="7" t="s">
        <v>314</v>
      </c>
      <c r="B17" s="7" t="s">
        <v>348</v>
      </c>
      <c r="C17" s="7" t="s">
        <v>342</v>
      </c>
      <c r="D17" s="7" t="s">
        <v>335</v>
      </c>
      <c r="E17" s="7" t="s">
        <v>355</v>
      </c>
      <c r="F17" s="7"/>
      <c r="G17" s="6">
        <v>15500800</v>
      </c>
      <c r="H17" s="7" t="s">
        <v>117</v>
      </c>
      <c r="I17" s="7" t="s">
        <v>102</v>
      </c>
      <c r="J17" s="17">
        <v>-228599.86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204362.27999999997</v>
      </c>
      <c r="T17" s="17">
        <v>0</v>
      </c>
      <c r="U17" s="17">
        <v>24237.58</v>
      </c>
      <c r="V17" s="17">
        <v>0</v>
      </c>
      <c r="W17" s="17">
        <v>0</v>
      </c>
      <c r="X17" s="17">
        <v>0</v>
      </c>
    </row>
    <row r="18" spans="1:24" x14ac:dyDescent="0.3">
      <c r="A18" s="7" t="s">
        <v>314</v>
      </c>
      <c r="B18" s="7" t="s">
        <v>348</v>
      </c>
      <c r="C18" s="7" t="s">
        <v>342</v>
      </c>
      <c r="D18" s="7" t="s">
        <v>326</v>
      </c>
      <c r="E18" s="7" t="s">
        <v>354</v>
      </c>
      <c r="F18" s="7" t="s">
        <v>364</v>
      </c>
      <c r="G18" s="6">
        <v>15500999</v>
      </c>
      <c r="H18" s="7" t="s">
        <v>118</v>
      </c>
      <c r="I18" s="7" t="s">
        <v>102</v>
      </c>
      <c r="J18" s="17">
        <v>-4003.23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3933.7200000000003</v>
      </c>
      <c r="V18" s="17">
        <v>-69.509999999999764</v>
      </c>
      <c r="W18" s="17">
        <v>-69.509999999999764</v>
      </c>
      <c r="X18" s="17">
        <v>0</v>
      </c>
    </row>
    <row r="19" spans="1:24" x14ac:dyDescent="0.3">
      <c r="A19" s="7" t="s">
        <v>314</v>
      </c>
      <c r="B19" s="7" t="s">
        <v>348</v>
      </c>
      <c r="C19" s="7" t="s">
        <v>342</v>
      </c>
      <c r="D19" s="7" t="s">
        <v>335</v>
      </c>
      <c r="E19" s="7" t="s">
        <v>355</v>
      </c>
      <c r="F19" s="7"/>
      <c r="G19" s="6">
        <v>15560000</v>
      </c>
      <c r="H19" s="7" t="s">
        <v>175</v>
      </c>
      <c r="I19" s="7" t="s">
        <v>102</v>
      </c>
      <c r="J19" s="17">
        <v>0</v>
      </c>
      <c r="K19" s="17">
        <v>0</v>
      </c>
      <c r="L19" s="17">
        <v>0</v>
      </c>
      <c r="M19" s="17">
        <v>0</v>
      </c>
      <c r="N19" s="17">
        <v>4.32</v>
      </c>
      <c r="O19" s="17">
        <v>-4.32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spans="1:24" x14ac:dyDescent="0.3">
      <c r="A20" s="7" t="s">
        <v>314</v>
      </c>
      <c r="B20" s="7" t="s">
        <v>317</v>
      </c>
      <c r="C20" s="7" t="s">
        <v>341</v>
      </c>
      <c r="D20" s="7" t="s">
        <v>321</v>
      </c>
      <c r="E20" s="7"/>
      <c r="F20" s="7"/>
      <c r="G20" s="6">
        <v>15514000</v>
      </c>
      <c r="H20" s="7" t="s">
        <v>176</v>
      </c>
      <c r="I20" s="7" t="s">
        <v>102</v>
      </c>
      <c r="J20" s="17">
        <v>1850899</v>
      </c>
      <c r="K20" s="17">
        <v>-1850899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1729855</v>
      </c>
      <c r="V20" s="17">
        <v>1729855</v>
      </c>
      <c r="W20" s="17">
        <v>1729855</v>
      </c>
      <c r="X20" s="17">
        <v>0</v>
      </c>
    </row>
    <row r="21" spans="1:24" x14ac:dyDescent="0.3">
      <c r="A21" s="7" t="s">
        <v>314</v>
      </c>
      <c r="B21" s="7" t="s">
        <v>348</v>
      </c>
      <c r="C21" s="7" t="s">
        <v>342</v>
      </c>
      <c r="D21" s="7" t="s">
        <v>325</v>
      </c>
      <c r="E21" s="7" t="s">
        <v>354</v>
      </c>
      <c r="F21" s="7" t="s">
        <v>364</v>
      </c>
      <c r="G21" s="6">
        <v>15540000</v>
      </c>
      <c r="H21" s="7" t="s">
        <v>119</v>
      </c>
      <c r="I21" s="7" t="s">
        <v>102</v>
      </c>
      <c r="J21" s="17">
        <v>929.04</v>
      </c>
      <c r="K21" s="17">
        <v>0</v>
      </c>
      <c r="L21" s="17">
        <v>0</v>
      </c>
      <c r="M21" s="17">
        <v>0</v>
      </c>
      <c r="N21" s="17">
        <v>191641.94</v>
      </c>
      <c r="O21" s="17">
        <v>-35780.23000000001</v>
      </c>
      <c r="P21" s="17">
        <v>-137525.04</v>
      </c>
      <c r="Q21" s="17">
        <v>-18336.669999999998</v>
      </c>
      <c r="R21" s="17">
        <v>0</v>
      </c>
      <c r="S21" s="17">
        <v>0</v>
      </c>
      <c r="T21" s="17">
        <v>0</v>
      </c>
      <c r="U21" s="17">
        <v>0</v>
      </c>
      <c r="V21" s="17">
        <v>929.0399999999936</v>
      </c>
      <c r="W21" s="17">
        <v>929.0399999999936</v>
      </c>
      <c r="X21" s="17">
        <v>0</v>
      </c>
    </row>
    <row r="22" spans="1:24" x14ac:dyDescent="0.3">
      <c r="A22" s="7" t="s">
        <v>314</v>
      </c>
      <c r="B22" s="7" t="s">
        <v>348</v>
      </c>
      <c r="C22" s="7" t="s">
        <v>342</v>
      </c>
      <c r="D22" s="7" t="s">
        <v>325</v>
      </c>
      <c r="E22" s="7" t="s">
        <v>354</v>
      </c>
      <c r="F22" s="7" t="s">
        <v>364</v>
      </c>
      <c r="G22" s="6">
        <v>15540999</v>
      </c>
      <c r="H22" s="7" t="s">
        <v>120</v>
      </c>
      <c r="I22" s="7" t="s">
        <v>102</v>
      </c>
      <c r="J22" s="17">
        <v>-26.04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26.04</v>
      </c>
      <c r="V22" s="17">
        <v>0</v>
      </c>
      <c r="W22" s="17">
        <v>0</v>
      </c>
      <c r="X22" s="17">
        <v>0</v>
      </c>
    </row>
    <row r="23" spans="1:24" x14ac:dyDescent="0.3">
      <c r="A23" s="7" t="s">
        <v>314</v>
      </c>
      <c r="B23" s="7" t="s">
        <v>348</v>
      </c>
      <c r="C23" s="7" t="s">
        <v>342</v>
      </c>
      <c r="D23" s="7" t="s">
        <v>326</v>
      </c>
      <c r="E23" s="7" t="s">
        <v>355</v>
      </c>
      <c r="F23" s="7"/>
      <c r="G23" s="6">
        <v>15550368</v>
      </c>
      <c r="H23" s="7" t="s">
        <v>121</v>
      </c>
      <c r="I23" s="7" t="s">
        <v>102</v>
      </c>
      <c r="J23" s="17">
        <v>90991394.290000007</v>
      </c>
      <c r="K23" s="17">
        <v>25146.979999989271</v>
      </c>
      <c r="L23" s="17">
        <v>1131.3200000077486</v>
      </c>
      <c r="M23" s="17">
        <v>0</v>
      </c>
      <c r="N23" s="17">
        <v>-1131.3200000077486</v>
      </c>
      <c r="O23" s="17">
        <v>4.3200000077486038</v>
      </c>
      <c r="P23" s="17">
        <v>0</v>
      </c>
      <c r="Q23" s="17">
        <v>0</v>
      </c>
      <c r="R23" s="17">
        <v>0</v>
      </c>
      <c r="S23" s="17">
        <v>0</v>
      </c>
      <c r="T23" s="17">
        <v>4305.5700000000006</v>
      </c>
      <c r="U23" s="17">
        <v>0</v>
      </c>
      <c r="V23" s="17">
        <v>91020851.159999996</v>
      </c>
      <c r="W23" s="17">
        <v>91020851.159999996</v>
      </c>
      <c r="X23" s="17">
        <v>0</v>
      </c>
    </row>
    <row r="24" spans="1:24" x14ac:dyDescent="0.3">
      <c r="A24" s="7" t="s">
        <v>315</v>
      </c>
      <c r="B24" s="7" t="s">
        <v>347</v>
      </c>
      <c r="C24" s="7" t="s">
        <v>345</v>
      </c>
      <c r="D24" s="7" t="s">
        <v>331</v>
      </c>
      <c r="E24" s="7" t="s">
        <v>356</v>
      </c>
      <c r="F24" s="7"/>
      <c r="G24" s="6">
        <v>15552000</v>
      </c>
      <c r="H24" s="7" t="s">
        <v>122</v>
      </c>
      <c r="I24" s="7" t="s">
        <v>102</v>
      </c>
      <c r="J24" s="17">
        <v>96164743.209999993</v>
      </c>
      <c r="K24" s="17">
        <v>-2200425</v>
      </c>
      <c r="L24" s="17">
        <v>-353554</v>
      </c>
      <c r="M24" s="17">
        <v>954250</v>
      </c>
      <c r="N24" s="17">
        <v>1621954.9200000018</v>
      </c>
      <c r="O24" s="17">
        <v>1344860</v>
      </c>
      <c r="P24" s="17">
        <v>-1138638.6099999994</v>
      </c>
      <c r="Q24" s="17">
        <v>-11000</v>
      </c>
      <c r="R24" s="17">
        <v>15000</v>
      </c>
      <c r="S24" s="17">
        <v>59640</v>
      </c>
      <c r="T24" s="17">
        <v>-57000</v>
      </c>
      <c r="U24" s="17">
        <v>29000</v>
      </c>
      <c r="V24" s="17">
        <v>96428830.519999996</v>
      </c>
      <c r="W24" s="17">
        <v>96428830.519999996</v>
      </c>
      <c r="X24" s="17">
        <v>0</v>
      </c>
    </row>
    <row r="25" spans="1:24" x14ac:dyDescent="0.3">
      <c r="A25" s="7" t="s">
        <v>314</v>
      </c>
      <c r="B25" s="7" t="s">
        <v>348</v>
      </c>
      <c r="C25" s="7" t="s">
        <v>342</v>
      </c>
      <c r="D25" s="7" t="s">
        <v>339</v>
      </c>
      <c r="E25" s="7" t="s">
        <v>357</v>
      </c>
      <c r="F25" s="7"/>
      <c r="G25" s="6">
        <v>15562000</v>
      </c>
      <c r="H25" s="7" t="s">
        <v>123</v>
      </c>
      <c r="I25" s="7" t="s">
        <v>102</v>
      </c>
      <c r="J25" s="17">
        <v>40034.51</v>
      </c>
      <c r="K25" s="17">
        <v>12603.71</v>
      </c>
      <c r="L25" s="17">
        <v>-21394.880000000001</v>
      </c>
      <c r="M25" s="17">
        <v>-18430.370000000003</v>
      </c>
      <c r="N25" s="17">
        <v>-21966.66</v>
      </c>
      <c r="O25" s="17">
        <v>35763.97</v>
      </c>
      <c r="P25" s="17">
        <v>-152.18000000000029</v>
      </c>
      <c r="Q25" s="17">
        <v>-118.93999999999869</v>
      </c>
      <c r="R25" s="17">
        <v>-35000</v>
      </c>
      <c r="S25" s="17">
        <v>-12415.61</v>
      </c>
      <c r="T25" s="17">
        <v>7200</v>
      </c>
      <c r="U25" s="17">
        <v>0</v>
      </c>
      <c r="V25" s="17">
        <v>-13876.45</v>
      </c>
      <c r="W25" s="17">
        <v>-13876.45</v>
      </c>
      <c r="X25" s="17">
        <v>0</v>
      </c>
    </row>
    <row r="26" spans="1:24" x14ac:dyDescent="0.3">
      <c r="A26" s="7" t="s">
        <v>315</v>
      </c>
      <c r="B26" s="7" t="s">
        <v>347</v>
      </c>
      <c r="C26" s="7" t="s">
        <v>345</v>
      </c>
      <c r="D26" s="7" t="s">
        <v>331</v>
      </c>
      <c r="E26" s="7" t="s">
        <v>358</v>
      </c>
      <c r="F26" s="7"/>
      <c r="G26" s="6">
        <v>16004000</v>
      </c>
      <c r="H26" s="7" t="s">
        <v>124</v>
      </c>
      <c r="I26" s="7" t="s">
        <v>102</v>
      </c>
      <c r="J26" s="17">
        <v>-76353</v>
      </c>
      <c r="K26" s="17">
        <v>36368</v>
      </c>
      <c r="L26" s="17">
        <v>76547</v>
      </c>
      <c r="M26" s="17">
        <v>66663</v>
      </c>
      <c r="N26" s="17">
        <v>28240</v>
      </c>
      <c r="O26" s="17">
        <v>33646</v>
      </c>
      <c r="P26" s="17">
        <v>33173</v>
      </c>
      <c r="Q26" s="17">
        <v>54185</v>
      </c>
      <c r="R26" s="17">
        <v>0</v>
      </c>
      <c r="S26" s="17">
        <v>27847</v>
      </c>
      <c r="T26" s="17">
        <v>31079</v>
      </c>
      <c r="U26" s="17">
        <v>56644</v>
      </c>
      <c r="V26" s="17">
        <v>368039</v>
      </c>
      <c r="W26" s="17">
        <v>368039</v>
      </c>
      <c r="X26" s="17">
        <v>0</v>
      </c>
    </row>
    <row r="27" spans="1:24" x14ac:dyDescent="0.3">
      <c r="A27" s="7" t="s">
        <v>314</v>
      </c>
      <c r="B27" s="7" t="s">
        <v>348</v>
      </c>
      <c r="C27" s="7" t="s">
        <v>342</v>
      </c>
      <c r="D27" s="7" t="s">
        <v>326</v>
      </c>
      <c r="E27" s="7" t="s">
        <v>359</v>
      </c>
      <c r="F27" s="7"/>
      <c r="G27" s="6">
        <v>16004010</v>
      </c>
      <c r="H27" s="7" t="s">
        <v>125</v>
      </c>
      <c r="I27" s="7" t="s">
        <v>102</v>
      </c>
      <c r="J27" s="17">
        <v>106017.54</v>
      </c>
      <c r="K27" s="17">
        <v>28754.150000000009</v>
      </c>
      <c r="L27" s="17">
        <v>40045.56</v>
      </c>
      <c r="M27" s="17">
        <v>33012.760000000009</v>
      </c>
      <c r="N27" s="17">
        <v>101028.85999999999</v>
      </c>
      <c r="O27" s="17">
        <v>32405.710000000021</v>
      </c>
      <c r="P27" s="17">
        <v>40330.159999999974</v>
      </c>
      <c r="Q27" s="17">
        <v>25834.450000000012</v>
      </c>
      <c r="R27" s="17">
        <v>46879.289999999979</v>
      </c>
      <c r="S27" s="17">
        <v>49477.239999999991</v>
      </c>
      <c r="T27" s="17">
        <v>31843.95</v>
      </c>
      <c r="U27" s="17">
        <v>43551.129999999976</v>
      </c>
      <c r="V27" s="17">
        <v>579180.79999999993</v>
      </c>
      <c r="W27" s="17">
        <v>579180.79999999993</v>
      </c>
      <c r="X27" s="17">
        <v>0</v>
      </c>
    </row>
    <row r="28" spans="1:24" x14ac:dyDescent="0.3">
      <c r="A28" s="7" t="s">
        <v>314</v>
      </c>
      <c r="B28" s="7" t="s">
        <v>348</v>
      </c>
      <c r="C28" s="7" t="s">
        <v>342</v>
      </c>
      <c r="D28" s="7" t="s">
        <v>326</v>
      </c>
      <c r="E28" s="7" t="s">
        <v>359</v>
      </c>
      <c r="F28" s="7"/>
      <c r="G28" s="6">
        <v>16004080</v>
      </c>
      <c r="H28" s="7" t="s">
        <v>126</v>
      </c>
      <c r="I28" s="7" t="s">
        <v>102</v>
      </c>
      <c r="J28" s="17">
        <v>325.05</v>
      </c>
      <c r="K28" s="17">
        <v>0</v>
      </c>
      <c r="L28" s="17">
        <v>0</v>
      </c>
      <c r="M28" s="17">
        <v>0</v>
      </c>
      <c r="N28" s="17">
        <v>-95.81</v>
      </c>
      <c r="O28" s="17">
        <v>0</v>
      </c>
      <c r="P28" s="17">
        <v>1673.61</v>
      </c>
      <c r="Q28" s="17">
        <v>0</v>
      </c>
      <c r="R28" s="17">
        <v>-4.3799999999998818</v>
      </c>
      <c r="S28" s="17">
        <v>65.200000000000045</v>
      </c>
      <c r="T28" s="17">
        <v>103.69</v>
      </c>
      <c r="U28" s="17">
        <v>68</v>
      </c>
      <c r="V28" s="17">
        <v>2135.36</v>
      </c>
      <c r="W28" s="17">
        <v>2135.36</v>
      </c>
      <c r="X28" s="17">
        <v>0</v>
      </c>
    </row>
    <row r="29" spans="1:24" x14ac:dyDescent="0.3">
      <c r="A29" s="7" t="s">
        <v>314</v>
      </c>
      <c r="B29" s="7" t="s">
        <v>348</v>
      </c>
      <c r="C29" s="7" t="s">
        <v>342</v>
      </c>
      <c r="D29" s="7" t="s">
        <v>326</v>
      </c>
      <c r="E29" s="7" t="s">
        <v>355</v>
      </c>
      <c r="F29" s="7"/>
      <c r="G29" s="6">
        <v>16008000</v>
      </c>
      <c r="H29" s="7" t="s">
        <v>127</v>
      </c>
      <c r="I29" s="7" t="s">
        <v>102</v>
      </c>
      <c r="J29" s="17">
        <v>-17309.580000000002</v>
      </c>
      <c r="K29" s="17">
        <v>12901.170000000002</v>
      </c>
      <c r="L29" s="17">
        <v>-13104.29</v>
      </c>
      <c r="M29" s="17">
        <v>8588.4000000000015</v>
      </c>
      <c r="N29" s="17">
        <v>-727.52000000000044</v>
      </c>
      <c r="O29" s="17">
        <v>16950.95</v>
      </c>
      <c r="P29" s="17">
        <v>-6415.3</v>
      </c>
      <c r="Q29" s="17">
        <v>-9894.4599999999991</v>
      </c>
      <c r="R29" s="17">
        <v>-2480.8500000000004</v>
      </c>
      <c r="S29" s="17">
        <v>9920.74</v>
      </c>
      <c r="T29" s="17">
        <v>-1472.9299999999998</v>
      </c>
      <c r="U29" s="17">
        <v>-6858.870000000009</v>
      </c>
      <c r="V29" s="17">
        <v>-9902.5400000000063</v>
      </c>
      <c r="W29" s="17">
        <v>-9902.5400000000063</v>
      </c>
      <c r="X29" s="17">
        <v>0</v>
      </c>
    </row>
    <row r="30" spans="1:24" x14ac:dyDescent="0.3">
      <c r="A30" s="7" t="s">
        <v>314</v>
      </c>
      <c r="B30" s="7" t="s">
        <v>348</v>
      </c>
      <c r="C30" s="7" t="s">
        <v>342</v>
      </c>
      <c r="D30" s="7" t="s">
        <v>335</v>
      </c>
      <c r="E30" s="7" t="s">
        <v>355</v>
      </c>
      <c r="F30" s="7"/>
      <c r="G30" s="6">
        <v>16008030</v>
      </c>
      <c r="H30" s="7" t="s">
        <v>128</v>
      </c>
      <c r="I30" s="7" t="s">
        <v>102</v>
      </c>
      <c r="J30" s="17">
        <v>33680</v>
      </c>
      <c r="K30" s="17">
        <v>-8370</v>
      </c>
      <c r="L30" s="17">
        <v>-6470</v>
      </c>
      <c r="M30" s="17">
        <v>19100</v>
      </c>
      <c r="N30" s="17">
        <v>-22940</v>
      </c>
      <c r="O30" s="17">
        <v>20500</v>
      </c>
      <c r="P30" s="17">
        <v>-12331.09</v>
      </c>
      <c r="Q30" s="17">
        <v>5100</v>
      </c>
      <c r="R30" s="17">
        <v>2131.09</v>
      </c>
      <c r="S30" s="17">
        <v>-26400</v>
      </c>
      <c r="T30" s="17">
        <v>-2000</v>
      </c>
      <c r="U30" s="17">
        <v>-2000</v>
      </c>
      <c r="V30" s="17">
        <v>0</v>
      </c>
      <c r="W30" s="17">
        <v>0</v>
      </c>
      <c r="X30" s="17">
        <v>0</v>
      </c>
    </row>
    <row r="31" spans="1:24" x14ac:dyDescent="0.3">
      <c r="A31" s="7" t="s">
        <v>314</v>
      </c>
      <c r="B31" s="7" t="s">
        <v>348</v>
      </c>
      <c r="C31" s="7" t="s">
        <v>342</v>
      </c>
      <c r="D31" s="7" t="s">
        <v>326</v>
      </c>
      <c r="E31" s="7" t="s">
        <v>359</v>
      </c>
      <c r="F31" s="7"/>
      <c r="G31" s="6">
        <v>16500000</v>
      </c>
      <c r="H31" s="7" t="s">
        <v>172</v>
      </c>
      <c r="I31" s="7" t="s">
        <v>102</v>
      </c>
      <c r="J31" s="17">
        <v>557949</v>
      </c>
      <c r="K31" s="17">
        <v>0</v>
      </c>
      <c r="L31" s="17">
        <v>0</v>
      </c>
      <c r="M31" s="17">
        <v>0</v>
      </c>
      <c r="N31" s="17">
        <v>0</v>
      </c>
      <c r="O31" s="17">
        <v>-557948</v>
      </c>
      <c r="P31" s="17">
        <v>0</v>
      </c>
      <c r="Q31" s="17">
        <v>0</v>
      </c>
      <c r="R31" s="17">
        <v>0</v>
      </c>
      <c r="S31" s="17">
        <v>-1</v>
      </c>
      <c r="T31" s="17">
        <v>0</v>
      </c>
      <c r="U31" s="17">
        <v>728950</v>
      </c>
      <c r="V31" s="17">
        <v>728950</v>
      </c>
      <c r="W31" s="17">
        <v>728950</v>
      </c>
      <c r="X31" s="17">
        <v>0</v>
      </c>
    </row>
    <row r="32" spans="1:24" x14ac:dyDescent="0.3">
      <c r="A32" s="7" t="s">
        <v>314</v>
      </c>
      <c r="B32" s="7" t="s">
        <v>348</v>
      </c>
      <c r="C32" s="7" t="s">
        <v>338</v>
      </c>
      <c r="D32" s="7" t="s">
        <v>101</v>
      </c>
      <c r="E32" s="7"/>
      <c r="F32" s="7"/>
      <c r="G32" s="6">
        <v>17000000</v>
      </c>
      <c r="H32" s="7" t="s">
        <v>129</v>
      </c>
      <c r="I32" s="7" t="s">
        <v>102</v>
      </c>
      <c r="J32" s="17">
        <v>159844.67000000001</v>
      </c>
      <c r="K32" s="17">
        <v>-27941.100000000006</v>
      </c>
      <c r="L32" s="17">
        <v>17248.899999999994</v>
      </c>
      <c r="M32" s="17">
        <v>-6281.1000000000058</v>
      </c>
      <c r="N32" s="17">
        <v>-29811.099999999991</v>
      </c>
      <c r="O32" s="17">
        <v>-6281</v>
      </c>
      <c r="P32" s="17">
        <v>-26991.100000000006</v>
      </c>
      <c r="Q32" s="17">
        <v>-6281.0999999999913</v>
      </c>
      <c r="R32" s="17">
        <v>-49601.100000000006</v>
      </c>
      <c r="S32" s="17">
        <v>57748.899999999994</v>
      </c>
      <c r="T32" s="17">
        <v>-6281.0999999999985</v>
      </c>
      <c r="U32" s="17">
        <v>-6281.1</v>
      </c>
      <c r="V32" s="17">
        <v>69092.669999999984</v>
      </c>
      <c r="W32" s="17">
        <v>69092.669999999984</v>
      </c>
      <c r="X32" s="17">
        <v>0</v>
      </c>
    </row>
    <row r="33" spans="1:24" x14ac:dyDescent="0.3">
      <c r="A33" s="7" t="s">
        <v>314</v>
      </c>
      <c r="B33" s="7" t="s">
        <v>348</v>
      </c>
      <c r="C33" s="7" t="s">
        <v>338</v>
      </c>
      <c r="D33" s="7" t="s">
        <v>101</v>
      </c>
      <c r="E33" s="7"/>
      <c r="F33" s="7"/>
      <c r="G33" s="6">
        <v>17000030</v>
      </c>
      <c r="H33" s="7" t="s">
        <v>130</v>
      </c>
      <c r="I33" s="7" t="s">
        <v>102</v>
      </c>
      <c r="J33" s="17">
        <v>23080.09</v>
      </c>
      <c r="K33" s="17">
        <v>3252.34</v>
      </c>
      <c r="L33" s="17">
        <v>-6768.4000000000015</v>
      </c>
      <c r="M33" s="17">
        <v>-127.93999999999869</v>
      </c>
      <c r="N33" s="17">
        <v>28478.579999999998</v>
      </c>
      <c r="O33" s="17">
        <v>9115.7900000000009</v>
      </c>
      <c r="P33" s="17">
        <v>-612.68000000000029</v>
      </c>
      <c r="Q33" s="17">
        <v>-4514.43</v>
      </c>
      <c r="R33" s="17">
        <v>-6659.68</v>
      </c>
      <c r="S33" s="17">
        <v>-12008.919999999998</v>
      </c>
      <c r="T33" s="17">
        <v>-5719.68</v>
      </c>
      <c r="U33" s="17">
        <v>-5719.68</v>
      </c>
      <c r="V33" s="17">
        <v>21795.39</v>
      </c>
      <c r="W33" s="17">
        <v>21795.39</v>
      </c>
      <c r="X33" s="17">
        <v>0</v>
      </c>
    </row>
    <row r="34" spans="1:24" x14ac:dyDescent="0.3">
      <c r="A34" s="7" t="s">
        <v>314</v>
      </c>
      <c r="B34" s="7" t="s">
        <v>317</v>
      </c>
      <c r="C34" s="7" t="s">
        <v>340</v>
      </c>
      <c r="D34" s="7" t="s">
        <v>334</v>
      </c>
      <c r="E34" s="7"/>
      <c r="F34" s="7"/>
      <c r="G34" s="6">
        <v>17006000</v>
      </c>
      <c r="H34" s="7" t="s">
        <v>174</v>
      </c>
      <c r="I34" s="7" t="s">
        <v>102</v>
      </c>
      <c r="J34" s="17">
        <v>0</v>
      </c>
      <c r="K34" s="17">
        <v>0</v>
      </c>
      <c r="L34" s="17">
        <v>0</v>
      </c>
      <c r="M34" s="17">
        <v>10000</v>
      </c>
      <c r="N34" s="17">
        <v>0</v>
      </c>
      <c r="O34" s="17">
        <v>0</v>
      </c>
      <c r="P34" s="17">
        <v>0</v>
      </c>
      <c r="Q34" s="17">
        <v>-10000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spans="1:24" x14ac:dyDescent="0.3">
      <c r="A35" s="7" t="s">
        <v>314</v>
      </c>
      <c r="B35" s="7" t="s">
        <v>348</v>
      </c>
      <c r="C35" s="7" t="s">
        <v>343</v>
      </c>
      <c r="D35" s="7" t="s">
        <v>327</v>
      </c>
      <c r="E35" s="7" t="s">
        <v>368</v>
      </c>
      <c r="F35" s="7" t="s">
        <v>367</v>
      </c>
      <c r="G35" s="6">
        <v>18579900</v>
      </c>
      <c r="H35" s="7" t="s">
        <v>131</v>
      </c>
      <c r="I35" s="7" t="s">
        <v>102</v>
      </c>
      <c r="J35" s="17">
        <v>118969.27</v>
      </c>
      <c r="K35" s="17">
        <v>-22664.33</v>
      </c>
      <c r="L35" s="17">
        <v>-8491.6199999999953</v>
      </c>
      <c r="M35" s="17">
        <v>1200077.02</v>
      </c>
      <c r="N35" s="17">
        <v>-1187917.9200000002</v>
      </c>
      <c r="O35" s="17">
        <v>574892.53999999992</v>
      </c>
      <c r="P35" s="17">
        <v>-420467.33999999997</v>
      </c>
      <c r="Q35" s="17">
        <v>74535.700000000012</v>
      </c>
      <c r="R35" s="17">
        <v>84251.599999999977</v>
      </c>
      <c r="S35" s="17">
        <v>33433.010000000009</v>
      </c>
      <c r="T35" s="17">
        <v>-109214.94000000069</v>
      </c>
      <c r="U35" s="17">
        <v>-219483.51000000135</v>
      </c>
      <c r="V35" s="17">
        <v>117919.47999999783</v>
      </c>
      <c r="W35" s="17">
        <v>117919.47999999783</v>
      </c>
      <c r="X35" s="17">
        <v>0</v>
      </c>
    </row>
    <row r="36" spans="1:24" x14ac:dyDescent="0.3">
      <c r="A36" s="7" t="s">
        <v>314</v>
      </c>
      <c r="B36" s="7" t="s">
        <v>348</v>
      </c>
      <c r="C36" s="7" t="s">
        <v>343</v>
      </c>
      <c r="D36" s="7" t="s">
        <v>327</v>
      </c>
      <c r="E36" s="7" t="s">
        <v>368</v>
      </c>
      <c r="F36" s="7" t="s">
        <v>367</v>
      </c>
      <c r="G36" s="6">
        <v>18580000</v>
      </c>
      <c r="H36" s="7" t="s">
        <v>132</v>
      </c>
      <c r="I36" s="7" t="s">
        <v>102</v>
      </c>
      <c r="J36" s="17">
        <v>0</v>
      </c>
      <c r="K36" s="17">
        <v>0</v>
      </c>
      <c r="L36" s="17">
        <v>0</v>
      </c>
      <c r="M36" s="17">
        <v>415.7</v>
      </c>
      <c r="N36" s="17">
        <v>4620.34</v>
      </c>
      <c r="O36" s="17">
        <v>0</v>
      </c>
      <c r="P36" s="17">
        <v>15074.919999999998</v>
      </c>
      <c r="Q36" s="17">
        <v>-4171.4199999999983</v>
      </c>
      <c r="R36" s="17">
        <v>-1225.4500000000007</v>
      </c>
      <c r="S36" s="17">
        <v>-580.75</v>
      </c>
      <c r="T36" s="17">
        <v>-106.19000000000005</v>
      </c>
      <c r="U36" s="17">
        <v>-14027.149999999996</v>
      </c>
      <c r="V36" s="17">
        <v>0</v>
      </c>
      <c r="W36" s="17">
        <v>0</v>
      </c>
      <c r="X36" s="17">
        <v>0</v>
      </c>
    </row>
    <row r="37" spans="1:24" x14ac:dyDescent="0.3">
      <c r="A37" s="7" t="s">
        <v>314</v>
      </c>
      <c r="B37" s="7" t="s">
        <v>348</v>
      </c>
      <c r="C37" s="7" t="s">
        <v>343</v>
      </c>
      <c r="D37" s="7" t="s">
        <v>327</v>
      </c>
      <c r="E37" s="7" t="s">
        <v>368</v>
      </c>
      <c r="F37" s="7" t="s">
        <v>367</v>
      </c>
      <c r="G37" s="6">
        <v>18580100</v>
      </c>
      <c r="H37" s="7" t="s">
        <v>133</v>
      </c>
      <c r="I37" s="7" t="s">
        <v>102</v>
      </c>
      <c r="J37" s="17">
        <v>38867.72</v>
      </c>
      <c r="K37" s="17">
        <v>-19608.050000000003</v>
      </c>
      <c r="L37" s="17">
        <v>102444.52</v>
      </c>
      <c r="M37" s="17">
        <v>-94122.38</v>
      </c>
      <c r="N37" s="17">
        <v>19672.2</v>
      </c>
      <c r="O37" s="17">
        <v>-26029.72</v>
      </c>
      <c r="P37" s="17">
        <v>238837.21</v>
      </c>
      <c r="Q37" s="17">
        <v>17259.719999999972</v>
      </c>
      <c r="R37" s="17">
        <v>-5321.4599999999627</v>
      </c>
      <c r="S37" s="17">
        <v>-16924.710000000021</v>
      </c>
      <c r="T37" s="17">
        <v>2774.9100000000039</v>
      </c>
      <c r="U37" s="17">
        <v>-257849.96</v>
      </c>
      <c r="V37" s="17">
        <v>0</v>
      </c>
      <c r="W37" s="17">
        <v>0</v>
      </c>
      <c r="X37" s="17">
        <v>0</v>
      </c>
    </row>
    <row r="38" spans="1:24" x14ac:dyDescent="0.3">
      <c r="A38" s="7" t="s">
        <v>314</v>
      </c>
      <c r="B38" s="7" t="s">
        <v>348</v>
      </c>
      <c r="C38" s="7" t="s">
        <v>343</v>
      </c>
      <c r="D38" s="7" t="s">
        <v>327</v>
      </c>
      <c r="E38" s="7" t="s">
        <v>368</v>
      </c>
      <c r="F38" s="7" t="s">
        <v>367</v>
      </c>
      <c r="G38" s="6">
        <v>18580200</v>
      </c>
      <c r="H38" s="7" t="s">
        <v>134</v>
      </c>
      <c r="I38" s="7" t="s">
        <v>102</v>
      </c>
      <c r="J38" s="17">
        <v>10393.469999999999</v>
      </c>
      <c r="K38" s="17">
        <v>-3015.9999999999991</v>
      </c>
      <c r="L38" s="17">
        <v>4980.9999999999991</v>
      </c>
      <c r="M38" s="17">
        <v>-6021.9999999999991</v>
      </c>
      <c r="N38" s="17">
        <v>-10</v>
      </c>
      <c r="O38" s="17">
        <v>-3019.0000000000005</v>
      </c>
      <c r="P38" s="17">
        <v>4960</v>
      </c>
      <c r="Q38" s="17">
        <v>-2015.9999999999991</v>
      </c>
      <c r="R38" s="17">
        <v>-3019.0000000000005</v>
      </c>
      <c r="S38" s="17">
        <v>-110</v>
      </c>
      <c r="T38" s="17">
        <v>469</v>
      </c>
      <c r="U38" s="17">
        <v>-537</v>
      </c>
      <c r="V38" s="17">
        <v>3054.47</v>
      </c>
      <c r="W38" s="17">
        <v>3054.47</v>
      </c>
      <c r="X38" s="17">
        <v>0</v>
      </c>
    </row>
    <row r="39" spans="1:24" x14ac:dyDescent="0.3">
      <c r="A39" s="7" t="s">
        <v>314</v>
      </c>
      <c r="B39" s="7" t="s">
        <v>348</v>
      </c>
      <c r="C39" s="7" t="s">
        <v>343</v>
      </c>
      <c r="D39" s="7" t="s">
        <v>327</v>
      </c>
      <c r="E39" s="7" t="s">
        <v>368</v>
      </c>
      <c r="F39" s="7" t="s">
        <v>367</v>
      </c>
      <c r="G39" s="6">
        <v>19000000</v>
      </c>
      <c r="H39" s="7" t="s">
        <v>135</v>
      </c>
      <c r="I39" s="7" t="s">
        <v>102</v>
      </c>
      <c r="J39" s="17">
        <v>5799.08</v>
      </c>
      <c r="K39" s="17">
        <v>-2574.92</v>
      </c>
      <c r="L39" s="17">
        <v>916.40999999999985</v>
      </c>
      <c r="M39" s="17">
        <v>2583</v>
      </c>
      <c r="N39" s="17">
        <v>-2932.7999999999997</v>
      </c>
      <c r="O39" s="17">
        <v>-3000</v>
      </c>
      <c r="P39" s="17">
        <v>3834.6699999999996</v>
      </c>
      <c r="Q39" s="17">
        <v>-815.11999999999944</v>
      </c>
      <c r="R39" s="17">
        <v>3112.4500000000003</v>
      </c>
      <c r="S39" s="17">
        <v>-6665.71</v>
      </c>
      <c r="T39" s="17">
        <v>389.7800000000002</v>
      </c>
      <c r="U39" s="17">
        <v>3477.44</v>
      </c>
      <c r="V39" s="17">
        <v>4124.2800000000007</v>
      </c>
      <c r="W39" s="17">
        <v>4124.2800000000007</v>
      </c>
      <c r="X39" s="17">
        <v>0</v>
      </c>
    </row>
    <row r="40" spans="1:24" x14ac:dyDescent="0.3">
      <c r="A40" s="7" t="s">
        <v>314</v>
      </c>
      <c r="B40" s="7" t="s">
        <v>348</v>
      </c>
      <c r="C40" s="7" t="s">
        <v>343</v>
      </c>
      <c r="D40" s="7" t="s">
        <v>327</v>
      </c>
      <c r="E40" s="7" t="s">
        <v>368</v>
      </c>
      <c r="F40" s="7" t="s">
        <v>367</v>
      </c>
      <c r="G40" s="6">
        <v>19002000</v>
      </c>
      <c r="H40" s="7" t="s">
        <v>136</v>
      </c>
      <c r="I40" s="7" t="s">
        <v>102</v>
      </c>
      <c r="J40" s="17">
        <v>5000</v>
      </c>
      <c r="K40" s="17">
        <v>21476</v>
      </c>
      <c r="L40" s="17">
        <v>-9187.68</v>
      </c>
      <c r="M40" s="17">
        <v>6165.2200000000012</v>
      </c>
      <c r="N40" s="17">
        <v>21527.5</v>
      </c>
      <c r="O40" s="17">
        <v>532.72999999999593</v>
      </c>
      <c r="P40" s="17">
        <v>-6828.2799999999988</v>
      </c>
      <c r="Q40" s="17">
        <v>0</v>
      </c>
      <c r="R40" s="17">
        <v>2261.4700000000012</v>
      </c>
      <c r="S40" s="17">
        <v>-26046.239999999998</v>
      </c>
      <c r="T40" s="17">
        <v>-6917.82</v>
      </c>
      <c r="U40" s="17">
        <v>-7982.8999999904627</v>
      </c>
      <c r="V40" s="17">
        <v>9.5387804321944714E-9</v>
      </c>
      <c r="W40" s="17">
        <v>9.5387804321944714E-9</v>
      </c>
      <c r="X40" s="17">
        <v>0</v>
      </c>
    </row>
    <row r="41" spans="1:24" x14ac:dyDescent="0.3">
      <c r="A41" s="7" t="s">
        <v>315</v>
      </c>
      <c r="B41" s="7" t="s">
        <v>346</v>
      </c>
      <c r="C41" s="7" t="s">
        <v>332</v>
      </c>
      <c r="D41" s="7" t="s">
        <v>101</v>
      </c>
      <c r="E41" s="7"/>
      <c r="F41" s="7"/>
      <c r="G41" s="6">
        <v>20000000</v>
      </c>
      <c r="H41" s="7" t="s">
        <v>137</v>
      </c>
      <c r="I41" s="7" t="s">
        <v>102</v>
      </c>
      <c r="J41" s="17">
        <v>50000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50000</v>
      </c>
      <c r="W41" s="17">
        <v>50000</v>
      </c>
      <c r="X41" s="17">
        <v>0</v>
      </c>
    </row>
    <row r="42" spans="1:24" x14ac:dyDescent="0.3">
      <c r="A42" s="7" t="s">
        <v>315</v>
      </c>
      <c r="B42" s="7" t="s">
        <v>346</v>
      </c>
      <c r="C42" s="7" t="s">
        <v>333</v>
      </c>
      <c r="D42" s="7" t="s">
        <v>101</v>
      </c>
      <c r="E42" s="7"/>
      <c r="F42" s="7"/>
      <c r="G42" s="6">
        <v>21000000</v>
      </c>
      <c r="H42" s="7" t="s">
        <v>138</v>
      </c>
      <c r="I42" s="7" t="s">
        <v>102</v>
      </c>
      <c r="J42" s="17">
        <v>1256953.78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635497.26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1892451.04</v>
      </c>
      <c r="W42" s="17">
        <v>1892451.04</v>
      </c>
      <c r="X42" s="17">
        <v>0</v>
      </c>
    </row>
    <row r="43" spans="1:24" x14ac:dyDescent="0.3">
      <c r="A43" s="7" t="s">
        <v>315</v>
      </c>
      <c r="B43" s="7" t="s">
        <v>346</v>
      </c>
      <c r="C43" s="7" t="s">
        <v>333</v>
      </c>
      <c r="D43" s="7" t="s">
        <v>101</v>
      </c>
      <c r="E43" s="7"/>
      <c r="F43" s="7"/>
      <c r="G43" s="6">
        <v>21500000</v>
      </c>
      <c r="H43" s="7" t="s">
        <v>139</v>
      </c>
      <c r="I43" s="7" t="s">
        <v>102</v>
      </c>
      <c r="J43" s="17">
        <v>650798.11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-635497.26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15300.849999999977</v>
      </c>
      <c r="W43" s="17">
        <v>15300.849999999977</v>
      </c>
      <c r="X43" s="17">
        <v>0</v>
      </c>
    </row>
    <row r="44" spans="1:24" x14ac:dyDescent="0.3">
      <c r="A44" s="7" t="s">
        <v>315</v>
      </c>
      <c r="B44" s="7" t="s">
        <v>347</v>
      </c>
      <c r="C44" s="7" t="s">
        <v>344</v>
      </c>
      <c r="D44" s="7" t="s">
        <v>329</v>
      </c>
      <c r="E44" s="7" t="s">
        <v>360</v>
      </c>
      <c r="F44" s="7"/>
      <c r="G44" s="6">
        <v>30500000</v>
      </c>
      <c r="H44" s="7" t="s">
        <v>140</v>
      </c>
      <c r="I44" s="7" t="s">
        <v>102</v>
      </c>
      <c r="J44" s="17">
        <v>431910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83398</v>
      </c>
      <c r="V44" s="17">
        <v>515308</v>
      </c>
      <c r="W44" s="17">
        <v>515308</v>
      </c>
      <c r="X44" s="17">
        <v>0</v>
      </c>
    </row>
    <row r="45" spans="1:24" x14ac:dyDescent="0.3">
      <c r="A45" s="7" t="s">
        <v>315</v>
      </c>
      <c r="B45" s="7" t="s">
        <v>347</v>
      </c>
      <c r="C45" s="7" t="s">
        <v>344</v>
      </c>
      <c r="D45" s="7" t="s">
        <v>330</v>
      </c>
      <c r="E45" s="7" t="s">
        <v>361</v>
      </c>
      <c r="F45" s="7"/>
      <c r="G45" s="6">
        <v>33506033</v>
      </c>
      <c r="H45" s="7" t="s">
        <v>141</v>
      </c>
      <c r="I45" s="7" t="s">
        <v>102</v>
      </c>
      <c r="J45" s="17">
        <v>1731688</v>
      </c>
      <c r="K45" s="17">
        <v>0</v>
      </c>
      <c r="L45" s="17">
        <v>0</v>
      </c>
      <c r="M45" s="17">
        <v>0</v>
      </c>
      <c r="N45" s="17">
        <v>-1693374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1419719</v>
      </c>
      <c r="V45" s="17">
        <v>1458033</v>
      </c>
      <c r="W45" s="17">
        <v>1458033</v>
      </c>
      <c r="X45" s="17">
        <v>0</v>
      </c>
    </row>
    <row r="46" spans="1:24" x14ac:dyDescent="0.3">
      <c r="A46" s="7" t="s">
        <v>315</v>
      </c>
      <c r="B46" s="7" t="s">
        <v>347</v>
      </c>
      <c r="C46" s="7" t="s">
        <v>344</v>
      </c>
      <c r="D46" s="7" t="s">
        <v>330</v>
      </c>
      <c r="E46" s="7" t="s">
        <v>360</v>
      </c>
      <c r="F46" s="7"/>
      <c r="G46" s="6">
        <v>33506050</v>
      </c>
      <c r="H46" s="7" t="s">
        <v>142</v>
      </c>
      <c r="I46" s="7" t="s">
        <v>102</v>
      </c>
      <c r="J46" s="17">
        <v>767709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-26873.41</v>
      </c>
      <c r="V46" s="17">
        <v>740835.59</v>
      </c>
      <c r="W46" s="17">
        <v>740835.59</v>
      </c>
      <c r="X46" s="17">
        <v>0</v>
      </c>
    </row>
    <row r="47" spans="1:24" x14ac:dyDescent="0.3">
      <c r="A47" s="7" t="s">
        <v>315</v>
      </c>
      <c r="B47" s="7" t="s">
        <v>347</v>
      </c>
      <c r="C47" s="7" t="s">
        <v>345</v>
      </c>
      <c r="D47" s="7" t="s">
        <v>337</v>
      </c>
      <c r="E47" s="7" t="s">
        <v>363</v>
      </c>
      <c r="F47" s="7"/>
      <c r="G47" s="6">
        <v>33506000</v>
      </c>
      <c r="H47" s="7" t="s">
        <v>173</v>
      </c>
      <c r="I47" s="7" t="s">
        <v>102</v>
      </c>
      <c r="J47" s="17">
        <v>53</v>
      </c>
      <c r="K47" s="17">
        <v>3382.66</v>
      </c>
      <c r="L47" s="17">
        <v>106</v>
      </c>
      <c r="M47" s="17">
        <v>-682197.48</v>
      </c>
      <c r="N47" s="17">
        <v>682234.17999999993</v>
      </c>
      <c r="O47" s="17">
        <v>123.42000000000007</v>
      </c>
      <c r="P47" s="17">
        <v>-2706.67</v>
      </c>
      <c r="Q47" s="17">
        <v>-754052.84</v>
      </c>
      <c r="R47" s="17">
        <v>748405.94</v>
      </c>
      <c r="S47" s="17">
        <v>4651.79</v>
      </c>
      <c r="T47" s="17">
        <v>-12.410000000183913</v>
      </c>
      <c r="U47" s="17">
        <v>12.409999999887077</v>
      </c>
      <c r="V47" s="17">
        <v>-3.3412561606382951E-10</v>
      </c>
      <c r="W47" s="17">
        <v>-3.3412561606382951E-10</v>
      </c>
      <c r="X47" s="17">
        <v>0</v>
      </c>
    </row>
    <row r="48" spans="1:24" x14ac:dyDescent="0.3">
      <c r="A48" s="7" t="s">
        <v>315</v>
      </c>
      <c r="B48" s="7" t="s">
        <v>347</v>
      </c>
      <c r="C48" s="7" t="s">
        <v>344</v>
      </c>
      <c r="D48" s="7" t="s">
        <v>330</v>
      </c>
      <c r="E48" s="7" t="s">
        <v>360</v>
      </c>
      <c r="F48" s="7"/>
      <c r="G48" s="6">
        <v>34014000</v>
      </c>
      <c r="H48" s="7" t="s">
        <v>143</v>
      </c>
      <c r="I48" s="7" t="s">
        <v>102</v>
      </c>
      <c r="J48" s="17">
        <v>17750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9600</v>
      </c>
      <c r="V48" s="17">
        <v>27350</v>
      </c>
      <c r="W48" s="17">
        <v>27350</v>
      </c>
      <c r="X48" s="17">
        <v>0</v>
      </c>
    </row>
    <row r="49" spans="1:24" x14ac:dyDescent="0.3">
      <c r="A49" s="7" t="s">
        <v>315</v>
      </c>
      <c r="B49" s="7" t="s">
        <v>347</v>
      </c>
      <c r="C49" s="7" t="s">
        <v>345</v>
      </c>
      <c r="D49" s="7" t="s">
        <v>331</v>
      </c>
      <c r="E49" s="7" t="s">
        <v>362</v>
      </c>
      <c r="F49" s="7" t="s">
        <v>364</v>
      </c>
      <c r="G49" s="6">
        <v>34500000</v>
      </c>
      <c r="H49" s="7" t="s">
        <v>144</v>
      </c>
      <c r="I49" s="7" t="s">
        <v>102</v>
      </c>
      <c r="J49" s="17">
        <v>58587.33</v>
      </c>
      <c r="K49" s="17">
        <v>-75500.95</v>
      </c>
      <c r="L49" s="17">
        <v>27423.46</v>
      </c>
      <c r="M49" s="17">
        <v>-47190.7</v>
      </c>
      <c r="N49" s="17">
        <v>276719.25</v>
      </c>
      <c r="O49" s="17">
        <v>-158920.88</v>
      </c>
      <c r="P49" s="17">
        <v>-60292.429999999993</v>
      </c>
      <c r="Q49" s="17">
        <v>-33969.5</v>
      </c>
      <c r="R49" s="17">
        <v>29761.68</v>
      </c>
      <c r="S49" s="17">
        <v>-12177.21</v>
      </c>
      <c r="T49" s="17">
        <v>-24530.399999999958</v>
      </c>
      <c r="U49" s="17">
        <v>107090.49000000002</v>
      </c>
      <c r="V49" s="17">
        <v>87000.140000000072</v>
      </c>
      <c r="W49" s="17">
        <v>87000.140000000072</v>
      </c>
      <c r="X49" s="17">
        <v>0</v>
      </c>
    </row>
    <row r="50" spans="1:24" x14ac:dyDescent="0.3">
      <c r="A50" s="7" t="s">
        <v>315</v>
      </c>
      <c r="B50" s="7" t="s">
        <v>347</v>
      </c>
      <c r="C50" s="7" t="s">
        <v>345</v>
      </c>
      <c r="D50" s="7" t="s">
        <v>331</v>
      </c>
      <c r="E50" s="7" t="s">
        <v>362</v>
      </c>
      <c r="F50" s="7" t="s">
        <v>364</v>
      </c>
      <c r="G50" s="6">
        <v>34504000</v>
      </c>
      <c r="H50" s="7" t="s">
        <v>177</v>
      </c>
      <c r="I50" s="7" t="s">
        <v>102</v>
      </c>
      <c r="J50" s="17">
        <v>38051.43</v>
      </c>
      <c r="K50" s="17">
        <v>-38051.43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56387.399999999994</v>
      </c>
      <c r="V50" s="17">
        <v>56387.399999999994</v>
      </c>
      <c r="W50" s="17">
        <v>56387.399999999994</v>
      </c>
      <c r="X50" s="17">
        <v>0</v>
      </c>
    </row>
    <row r="51" spans="1:24" x14ac:dyDescent="0.3">
      <c r="A51" s="7" t="s">
        <v>314</v>
      </c>
      <c r="B51" s="7" t="s">
        <v>348</v>
      </c>
      <c r="C51" s="7" t="s">
        <v>342</v>
      </c>
      <c r="D51" s="7" t="s">
        <v>335</v>
      </c>
      <c r="E51" s="7" t="s">
        <v>355</v>
      </c>
      <c r="F51" s="7"/>
      <c r="G51" s="6">
        <v>34515000</v>
      </c>
      <c r="H51" s="7" t="s">
        <v>178</v>
      </c>
      <c r="I51" s="7" t="s">
        <v>102</v>
      </c>
      <c r="J51" s="17">
        <v>93807.9</v>
      </c>
      <c r="K51" s="17">
        <v>-93807.9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</row>
    <row r="52" spans="1:24" x14ac:dyDescent="0.3">
      <c r="A52" s="7" t="s">
        <v>314</v>
      </c>
      <c r="B52" s="7" t="s">
        <v>348</v>
      </c>
      <c r="C52" s="7" t="s">
        <v>342</v>
      </c>
      <c r="D52" s="7" t="s">
        <v>325</v>
      </c>
      <c r="E52" s="7" t="s">
        <v>354</v>
      </c>
      <c r="F52" s="7" t="s">
        <v>364</v>
      </c>
      <c r="G52" s="6">
        <v>34550000</v>
      </c>
      <c r="H52" s="7" t="s">
        <v>145</v>
      </c>
      <c r="I52" s="7" t="s">
        <v>102</v>
      </c>
      <c r="J52" s="17">
        <v>0</v>
      </c>
      <c r="K52" s="17">
        <v>0</v>
      </c>
      <c r="L52" s="17">
        <v>-107503.79</v>
      </c>
      <c r="M52" s="17">
        <v>-1231452.96</v>
      </c>
      <c r="N52" s="17">
        <v>1338956.75</v>
      </c>
      <c r="O52" s="17">
        <v>0</v>
      </c>
      <c r="P52" s="17">
        <v>-23375.94</v>
      </c>
      <c r="Q52" s="17">
        <v>13421.14</v>
      </c>
      <c r="R52" s="17">
        <v>9954.7999999999993</v>
      </c>
      <c r="S52" s="17">
        <v>-66921.679999999993</v>
      </c>
      <c r="T52" s="17">
        <v>64469.849999999933</v>
      </c>
      <c r="U52" s="17">
        <v>2451.8299999999908</v>
      </c>
      <c r="V52" s="17">
        <v>-6.9121597334742546E-11</v>
      </c>
      <c r="W52" s="17">
        <v>-6.9121597334742546E-11</v>
      </c>
      <c r="X52" s="17">
        <v>0</v>
      </c>
    </row>
    <row r="53" spans="1:24" x14ac:dyDescent="0.3">
      <c r="A53" s="7" t="s">
        <v>315</v>
      </c>
      <c r="B53" s="7" t="s">
        <v>347</v>
      </c>
      <c r="C53" s="7" t="s">
        <v>345</v>
      </c>
      <c r="D53" s="7" t="s">
        <v>331</v>
      </c>
      <c r="E53" s="7" t="s">
        <v>362</v>
      </c>
      <c r="F53" s="7" t="s">
        <v>364</v>
      </c>
      <c r="G53" s="6">
        <v>34550999</v>
      </c>
      <c r="H53" s="7" t="s">
        <v>146</v>
      </c>
      <c r="I53" s="7" t="s">
        <v>102</v>
      </c>
      <c r="J53" s="17">
        <v>29.08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-29.08</v>
      </c>
      <c r="V53" s="17">
        <v>0</v>
      </c>
      <c r="W53" s="17">
        <v>0</v>
      </c>
      <c r="X53" s="17">
        <v>0</v>
      </c>
    </row>
    <row r="54" spans="1:24" x14ac:dyDescent="0.3">
      <c r="A54" s="7" t="s">
        <v>315</v>
      </c>
      <c r="B54" s="7" t="s">
        <v>347</v>
      </c>
      <c r="C54" s="7" t="s">
        <v>345</v>
      </c>
      <c r="D54" s="7" t="s">
        <v>331</v>
      </c>
      <c r="E54" s="7" t="s">
        <v>358</v>
      </c>
      <c r="F54" s="7"/>
      <c r="G54" s="6">
        <v>35002010</v>
      </c>
      <c r="H54" s="7" t="s">
        <v>148</v>
      </c>
      <c r="I54" s="7" t="s">
        <v>102</v>
      </c>
      <c r="J54" s="17">
        <v>1102.78</v>
      </c>
      <c r="K54" s="17">
        <v>256.48</v>
      </c>
      <c r="L54" s="17">
        <v>325.18000000000006</v>
      </c>
      <c r="M54" s="17">
        <v>512.96</v>
      </c>
      <c r="N54" s="17">
        <v>-93.180000000000291</v>
      </c>
      <c r="O54" s="17">
        <v>47461.02</v>
      </c>
      <c r="P54" s="17">
        <v>13678.480000000003</v>
      </c>
      <c r="Q54" s="17">
        <v>822.97000000000116</v>
      </c>
      <c r="R54" s="17">
        <v>22266.729999999996</v>
      </c>
      <c r="S54" s="17">
        <v>258.27999999999884</v>
      </c>
      <c r="T54" s="17">
        <v>258.12</v>
      </c>
      <c r="U54" s="17">
        <v>272.02</v>
      </c>
      <c r="V54" s="17">
        <v>87121.84</v>
      </c>
      <c r="W54" s="17">
        <v>87121.84</v>
      </c>
      <c r="X54" s="17">
        <v>0</v>
      </c>
    </row>
    <row r="55" spans="1:24" x14ac:dyDescent="0.3">
      <c r="A55" s="7" t="s">
        <v>315</v>
      </c>
      <c r="B55" s="7" t="s">
        <v>347</v>
      </c>
      <c r="C55" s="7" t="s">
        <v>345</v>
      </c>
      <c r="D55" s="7" t="s">
        <v>331</v>
      </c>
      <c r="E55" s="7" t="s">
        <v>358</v>
      </c>
      <c r="F55" s="7"/>
      <c r="G55" s="6">
        <v>35002100</v>
      </c>
      <c r="H55" s="7" t="s">
        <v>149</v>
      </c>
      <c r="I55" s="7" t="s">
        <v>102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65.2</v>
      </c>
      <c r="T55" s="17">
        <v>103.69</v>
      </c>
      <c r="U55" s="17">
        <v>68</v>
      </c>
      <c r="V55" s="17">
        <v>236.89</v>
      </c>
      <c r="W55" s="17">
        <v>236.89</v>
      </c>
      <c r="X55" s="17">
        <v>0</v>
      </c>
    </row>
    <row r="56" spans="1:24" x14ac:dyDescent="0.3">
      <c r="A56" s="7" t="s">
        <v>315</v>
      </c>
      <c r="B56" s="7" t="s">
        <v>347</v>
      </c>
      <c r="C56" s="7" t="s">
        <v>345</v>
      </c>
      <c r="D56" s="7" t="s">
        <v>331</v>
      </c>
      <c r="E56" s="7" t="s">
        <v>358</v>
      </c>
      <c r="F56" s="7"/>
      <c r="G56" s="6">
        <v>35004001</v>
      </c>
      <c r="H56" s="7" t="s">
        <v>150</v>
      </c>
      <c r="I56" s="7" t="s">
        <v>102</v>
      </c>
      <c r="J56" s="17">
        <v>90737</v>
      </c>
      <c r="K56" s="17">
        <v>-1448</v>
      </c>
      <c r="L56" s="17">
        <v>1816</v>
      </c>
      <c r="M56" s="17">
        <v>-91105</v>
      </c>
      <c r="N56" s="17">
        <v>267860</v>
      </c>
      <c r="O56" s="17">
        <v>-131887</v>
      </c>
      <c r="P56" s="17">
        <v>-15065</v>
      </c>
      <c r="Q56" s="17">
        <v>-120908</v>
      </c>
      <c r="R56" s="17">
        <v>115651</v>
      </c>
      <c r="S56" s="17">
        <v>-159</v>
      </c>
      <c r="T56" s="17">
        <v>13827</v>
      </c>
      <c r="U56" s="17">
        <v>-129319</v>
      </c>
      <c r="V56" s="17">
        <v>0</v>
      </c>
      <c r="W56" s="17">
        <v>0</v>
      </c>
      <c r="X56" s="17">
        <v>0</v>
      </c>
    </row>
    <row r="57" spans="1:24" x14ac:dyDescent="0.3">
      <c r="A57" s="7" t="s">
        <v>315</v>
      </c>
      <c r="B57" s="7" t="s">
        <v>347</v>
      </c>
      <c r="C57" s="7" t="s">
        <v>345</v>
      </c>
      <c r="D57" s="7" t="s">
        <v>331</v>
      </c>
      <c r="E57" s="7" t="s">
        <v>358</v>
      </c>
      <c r="F57" s="7"/>
      <c r="G57" s="6">
        <v>35006000</v>
      </c>
      <c r="H57" s="7" t="s">
        <v>151</v>
      </c>
      <c r="I57" s="7" t="s">
        <v>102</v>
      </c>
      <c r="J57" s="17">
        <v>352824.99</v>
      </c>
      <c r="K57" s="17">
        <v>-1026.289999999979</v>
      </c>
      <c r="L57" s="17">
        <v>-7579.2000000000116</v>
      </c>
      <c r="M57" s="17">
        <v>-344219.5</v>
      </c>
      <c r="N57" s="17">
        <v>892880.01</v>
      </c>
      <c r="O57" s="17">
        <v>-491438.28</v>
      </c>
      <c r="P57" s="17">
        <v>-81610.909999999974</v>
      </c>
      <c r="Q57" s="17">
        <v>-319830.82</v>
      </c>
      <c r="R57" s="17">
        <v>331739.46000000002</v>
      </c>
      <c r="S57" s="17">
        <v>-33984.48000000004</v>
      </c>
      <c r="T57" s="17">
        <v>-3757.6800000001376</v>
      </c>
      <c r="U57" s="17">
        <v>-293997.30000000045</v>
      </c>
      <c r="V57" s="17">
        <v>-5.8207660913467407E-10</v>
      </c>
      <c r="W57" s="17">
        <v>-5.8207660913467407E-10</v>
      </c>
      <c r="X57" s="17">
        <v>0</v>
      </c>
    </row>
    <row r="58" spans="1:24" x14ac:dyDescent="0.3">
      <c r="A58" s="7" t="s">
        <v>314</v>
      </c>
      <c r="B58" s="7" t="s">
        <v>317</v>
      </c>
      <c r="C58" s="7" t="s">
        <v>341</v>
      </c>
      <c r="D58" s="7" t="s">
        <v>321</v>
      </c>
      <c r="E58" s="7"/>
      <c r="F58" s="7"/>
      <c r="G58" s="6">
        <v>36500010</v>
      </c>
      <c r="H58" s="7" t="s">
        <v>152</v>
      </c>
      <c r="I58" s="7" t="s">
        <v>102</v>
      </c>
      <c r="J58" s="17">
        <v>122.99</v>
      </c>
      <c r="K58" s="17">
        <v>0</v>
      </c>
      <c r="L58" s="17">
        <v>2.0000000000010232E-2</v>
      </c>
      <c r="M58" s="17">
        <v>-0.15000000000000568</v>
      </c>
      <c r="N58" s="17">
        <v>0</v>
      </c>
      <c r="O58" s="17">
        <v>7.9999999999998295E-2</v>
      </c>
      <c r="P58" s="17">
        <v>-0.50999999999999091</v>
      </c>
      <c r="Q58" s="17">
        <v>1.9999999999996021E-2</v>
      </c>
      <c r="R58" s="17">
        <v>0</v>
      </c>
      <c r="S58" s="17">
        <v>-1.230000000000004</v>
      </c>
      <c r="T58" s="17">
        <v>2.9999999999998438E-2</v>
      </c>
      <c r="U58" s="17">
        <v>-0.04</v>
      </c>
      <c r="V58" s="17">
        <v>121.21</v>
      </c>
      <c r="W58" s="17">
        <v>121.21</v>
      </c>
      <c r="X58" s="17">
        <v>0</v>
      </c>
    </row>
    <row r="59" spans="1:24" x14ac:dyDescent="0.3">
      <c r="A59" s="7" t="s">
        <v>315</v>
      </c>
      <c r="B59" s="7" t="s">
        <v>347</v>
      </c>
      <c r="C59" s="7" t="s">
        <v>345</v>
      </c>
      <c r="D59" s="7" t="s">
        <v>335</v>
      </c>
      <c r="E59" s="7"/>
      <c r="F59" s="7"/>
      <c r="G59" s="6">
        <v>16000000</v>
      </c>
      <c r="H59" s="7" t="s">
        <v>180</v>
      </c>
      <c r="I59" s="7" t="s">
        <v>102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>
        <v>0</v>
      </c>
      <c r="U59" s="17">
        <v>5419</v>
      </c>
      <c r="V59" s="17">
        <v>5419</v>
      </c>
      <c r="W59" s="17">
        <v>5419</v>
      </c>
      <c r="X59" s="17">
        <v>0</v>
      </c>
    </row>
    <row r="60" spans="1:24" x14ac:dyDescent="0.3">
      <c r="A60" s="7" t="s">
        <v>314</v>
      </c>
      <c r="B60" s="7" t="s">
        <v>348</v>
      </c>
      <c r="C60" s="7" t="s">
        <v>342</v>
      </c>
      <c r="D60" s="7" t="s">
        <v>326</v>
      </c>
      <c r="E60" s="7" t="s">
        <v>359</v>
      </c>
      <c r="F60" s="7"/>
      <c r="G60" s="6">
        <v>35002000</v>
      </c>
      <c r="H60" s="7" t="s">
        <v>147</v>
      </c>
      <c r="I60" s="7" t="s">
        <v>102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584</v>
      </c>
      <c r="U60" s="17">
        <v>0</v>
      </c>
      <c r="V60" s="17">
        <v>584</v>
      </c>
      <c r="W60" s="17">
        <v>584</v>
      </c>
      <c r="X60" s="17">
        <v>0</v>
      </c>
    </row>
    <row r="61" spans="1:24" x14ac:dyDescent="0.3">
      <c r="A61" s="7" t="str">
        <f>IF(ISNUMBER(SEARCH("aktywa",B61)),"Aktywa","Pasywa")</f>
        <v>Pasywa</v>
      </c>
      <c r="B61" s="7" t="s">
        <v>346</v>
      </c>
      <c r="C61" s="7" t="s">
        <v>366</v>
      </c>
      <c r="D61" s="7"/>
      <c r="E61" s="7"/>
      <c r="F61" s="7"/>
      <c r="G61" s="6"/>
      <c r="H61" s="7" t="s">
        <v>365</v>
      </c>
      <c r="I61" s="7"/>
      <c r="J61" s="17">
        <v>379978.41000000015</v>
      </c>
      <c r="K61" s="17">
        <v>440442.24000000022</v>
      </c>
      <c r="L61" s="17">
        <v>229502.0399999998</v>
      </c>
      <c r="M61" s="17">
        <v>-6575.0100000000093</v>
      </c>
      <c r="N61" s="17">
        <v>-1787117.0700000005</v>
      </c>
      <c r="O61" s="17">
        <v>-374801.78000000026</v>
      </c>
      <c r="P61" s="17">
        <v>700535.62999999989</v>
      </c>
      <c r="Q61" s="17">
        <v>1136584.7000000002</v>
      </c>
      <c r="R61" s="17">
        <v>-1211578.8599999999</v>
      </c>
      <c r="S61" s="17">
        <v>-300040.00000000047</v>
      </c>
      <c r="T61" s="17">
        <v>-51451.929999999935</v>
      </c>
      <c r="U61" s="17">
        <v>1186810.5700000012</v>
      </c>
      <c r="V61" s="17">
        <v>342288.94000000041</v>
      </c>
      <c r="W61" s="17">
        <v>342288.94000000041</v>
      </c>
      <c r="X61" s="17">
        <v>0</v>
      </c>
    </row>
    <row r="63" spans="1:24" x14ac:dyDescent="0.3">
      <c r="J63">
        <v>-1</v>
      </c>
    </row>
    <row r="65" spans="4:6" x14ac:dyDescent="0.3">
      <c r="D65" s="7"/>
      <c r="E65" s="7"/>
      <c r="F65" s="7"/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C879-5F1B-472E-93E4-5D97776FEE84}">
  <sheetPr>
    <tabColor rgb="FFFFC000"/>
  </sheetPr>
  <dimension ref="A1:Y65"/>
  <sheetViews>
    <sheetView topLeftCell="F33" workbookViewId="0">
      <selection activeCell="P60" sqref="P60"/>
    </sheetView>
  </sheetViews>
  <sheetFormatPr defaultRowHeight="14.4" x14ac:dyDescent="0.3"/>
  <cols>
    <col min="8" max="8" width="43.77734375" bestFit="1" customWidth="1"/>
    <col min="10" max="10" width="11.33203125" bestFit="1" customWidth="1"/>
  </cols>
  <sheetData>
    <row r="1" spans="1:25" ht="41.4" thickBot="1" x14ac:dyDescent="0.35">
      <c r="A1" s="1" t="s">
        <v>226</v>
      </c>
      <c r="B1" s="1" t="s">
        <v>227</v>
      </c>
      <c r="C1" s="1" t="s">
        <v>241</v>
      </c>
      <c r="D1" s="1" t="s">
        <v>313</v>
      </c>
      <c r="E1" s="1" t="s">
        <v>323</v>
      </c>
      <c r="F1" s="1" t="s">
        <v>324</v>
      </c>
      <c r="G1" s="1" t="s">
        <v>1</v>
      </c>
      <c r="H1" s="1" t="s">
        <v>2</v>
      </c>
      <c r="I1" s="1" t="s">
        <v>3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4</v>
      </c>
      <c r="W1" s="3" t="s">
        <v>221</v>
      </c>
      <c r="X1" s="4" t="s">
        <v>5</v>
      </c>
    </row>
    <row r="2" spans="1:25" x14ac:dyDescent="0.3">
      <c r="A2" s="7" t="s">
        <v>314</v>
      </c>
      <c r="B2" s="7" t="s">
        <v>317</v>
      </c>
      <c r="C2" s="7" t="s">
        <v>316</v>
      </c>
      <c r="D2" s="7" t="s">
        <v>318</v>
      </c>
      <c r="E2" s="7"/>
      <c r="F2" s="7"/>
      <c r="G2" s="6">
        <v>11000100</v>
      </c>
      <c r="H2" s="7" t="s">
        <v>103</v>
      </c>
      <c r="I2" s="7" t="s">
        <v>102</v>
      </c>
      <c r="J2" s="17">
        <v>-49668.01</v>
      </c>
      <c r="K2" s="17">
        <v>0</v>
      </c>
      <c r="L2" s="17">
        <v>-27794.999999999993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-77463.009999999995</v>
      </c>
      <c r="W2" s="11">
        <v>-77463.009999999995</v>
      </c>
      <c r="X2" s="12">
        <v>0</v>
      </c>
      <c r="Y2">
        <f>COUNTIF(_25B[Nazwa konta],'24 Bilans Mapowanie'!H2)</f>
        <v>1</v>
      </c>
    </row>
    <row r="3" spans="1:25" x14ac:dyDescent="0.3">
      <c r="A3" s="7" t="s">
        <v>314</v>
      </c>
      <c r="B3" s="7" t="s">
        <v>317</v>
      </c>
      <c r="C3" s="7" t="s">
        <v>316</v>
      </c>
      <c r="D3" s="7" t="s">
        <v>318</v>
      </c>
      <c r="E3" s="7"/>
      <c r="F3" s="7"/>
      <c r="G3" s="6">
        <v>11000400</v>
      </c>
      <c r="H3" s="7" t="s">
        <v>104</v>
      </c>
      <c r="I3" s="7" t="s">
        <v>102</v>
      </c>
      <c r="J3" s="17">
        <v>49668.01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8338.5</v>
      </c>
      <c r="U3" s="17">
        <v>926.5</v>
      </c>
      <c r="V3" s="17">
        <v>58933.01</v>
      </c>
      <c r="W3" s="11">
        <v>58933.01</v>
      </c>
      <c r="X3" s="12">
        <v>0</v>
      </c>
      <c r="Y3">
        <f>COUNTIF(_25B[Nazwa konta],'24 Bilans Mapowanie'!H3)</f>
        <v>1</v>
      </c>
    </row>
    <row r="4" spans="1:25" x14ac:dyDescent="0.3">
      <c r="A4" s="7" t="s">
        <v>314</v>
      </c>
      <c r="B4" s="7" t="s">
        <v>317</v>
      </c>
      <c r="C4" s="7" t="s">
        <v>340</v>
      </c>
      <c r="D4" s="7" t="s">
        <v>319</v>
      </c>
      <c r="E4" s="7" t="s">
        <v>350</v>
      </c>
      <c r="F4" s="7"/>
      <c r="G4" s="6">
        <v>11502100</v>
      </c>
      <c r="H4" s="7" t="s">
        <v>105</v>
      </c>
      <c r="I4" s="7" t="s">
        <v>102</v>
      </c>
      <c r="J4" s="17">
        <v>-8316576.9500000002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-8316576.9500000002</v>
      </c>
      <c r="W4" s="11">
        <v>-8316576.9500000002</v>
      </c>
      <c r="X4" s="12">
        <v>0</v>
      </c>
      <c r="Y4">
        <f>COUNTIF(_25B[Nazwa konta],'24 Bilans Mapowanie'!H4)</f>
        <v>1</v>
      </c>
    </row>
    <row r="5" spans="1:25" x14ac:dyDescent="0.3">
      <c r="A5" s="7" t="s">
        <v>314</v>
      </c>
      <c r="B5" s="7" t="s">
        <v>317</v>
      </c>
      <c r="C5" s="7" t="s">
        <v>340</v>
      </c>
      <c r="D5" s="7" t="s">
        <v>319</v>
      </c>
      <c r="E5" s="7" t="s">
        <v>350</v>
      </c>
      <c r="F5" s="7"/>
      <c r="G5" s="6">
        <v>11502400</v>
      </c>
      <c r="H5" s="7" t="s">
        <v>106</v>
      </c>
      <c r="I5" s="7" t="s">
        <v>102</v>
      </c>
      <c r="J5" s="17">
        <v>1472042.17</v>
      </c>
      <c r="K5" s="17">
        <v>0</v>
      </c>
      <c r="L5" s="17">
        <v>34652.410000000149</v>
      </c>
      <c r="M5" s="17">
        <v>17326.199999999953</v>
      </c>
      <c r="N5" s="17">
        <v>17326.199999999953</v>
      </c>
      <c r="O5" s="17">
        <v>17326.209999999963</v>
      </c>
      <c r="P5" s="17">
        <v>0</v>
      </c>
      <c r="Q5" s="17">
        <v>34652.410000000149</v>
      </c>
      <c r="R5" s="17">
        <v>0</v>
      </c>
      <c r="S5" s="17">
        <v>34652.419999999925</v>
      </c>
      <c r="T5" s="17">
        <v>17326.2</v>
      </c>
      <c r="U5" s="17">
        <v>17326.2</v>
      </c>
      <c r="V5" s="17">
        <v>1662630.42</v>
      </c>
      <c r="W5" s="11">
        <v>1662630.42</v>
      </c>
      <c r="X5" s="12">
        <v>0</v>
      </c>
      <c r="Y5">
        <f>COUNTIF(_25B[Nazwa konta],'24 Bilans Mapowanie'!H5)</f>
        <v>1</v>
      </c>
    </row>
    <row r="6" spans="1:25" x14ac:dyDescent="0.3">
      <c r="A6" s="7" t="s">
        <v>314</v>
      </c>
      <c r="B6" s="7" t="s">
        <v>317</v>
      </c>
      <c r="C6" s="7" t="s">
        <v>340</v>
      </c>
      <c r="D6" s="7" t="s">
        <v>320</v>
      </c>
      <c r="E6" s="7"/>
      <c r="F6" s="7"/>
      <c r="G6" s="6">
        <v>11504100</v>
      </c>
      <c r="H6" s="7" t="s">
        <v>107</v>
      </c>
      <c r="I6" s="7" t="s">
        <v>102</v>
      </c>
      <c r="J6" s="17">
        <v>-45961.56</v>
      </c>
      <c r="K6" s="17">
        <v>0</v>
      </c>
      <c r="L6" s="17">
        <v>0</v>
      </c>
      <c r="M6" s="17">
        <v>0</v>
      </c>
      <c r="N6" s="17">
        <v>-154941.42000000001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-200902.98</v>
      </c>
      <c r="W6" s="11">
        <v>-200902.98</v>
      </c>
      <c r="X6" s="12">
        <v>0</v>
      </c>
      <c r="Y6">
        <f>COUNTIF(_25B[Nazwa konta],'24 Bilans Mapowanie'!H6)</f>
        <v>1</v>
      </c>
    </row>
    <row r="7" spans="1:25" x14ac:dyDescent="0.3">
      <c r="A7" s="7" t="s">
        <v>314</v>
      </c>
      <c r="B7" s="7" t="s">
        <v>317</v>
      </c>
      <c r="C7" s="7" t="s">
        <v>340</v>
      </c>
      <c r="D7" s="7" t="s">
        <v>320</v>
      </c>
      <c r="E7" s="7"/>
      <c r="F7" s="7"/>
      <c r="G7" s="6">
        <v>11504400</v>
      </c>
      <c r="H7" s="7" t="s">
        <v>108</v>
      </c>
      <c r="I7" s="7" t="s">
        <v>102</v>
      </c>
      <c r="J7" s="17">
        <v>30527.62</v>
      </c>
      <c r="K7" s="17">
        <v>0</v>
      </c>
      <c r="L7" s="17">
        <v>626.90999999999985</v>
      </c>
      <c r="M7" s="17">
        <v>313.46000000000276</v>
      </c>
      <c r="N7" s="17">
        <v>313.44999999999709</v>
      </c>
      <c r="O7" s="17">
        <v>313.45000000000073</v>
      </c>
      <c r="P7" s="17">
        <v>0</v>
      </c>
      <c r="Q7" s="17">
        <v>626.92000000000189</v>
      </c>
      <c r="R7" s="17">
        <v>0</v>
      </c>
      <c r="S7" s="17">
        <v>626.92000000000189</v>
      </c>
      <c r="T7" s="17">
        <v>313.45</v>
      </c>
      <c r="U7" s="17">
        <v>313.45999999999998</v>
      </c>
      <c r="V7" s="17">
        <v>33975.64</v>
      </c>
      <c r="W7" s="11">
        <v>33975.64</v>
      </c>
      <c r="X7" s="12">
        <v>0</v>
      </c>
      <c r="Y7">
        <f>COUNTIF(_25B[Nazwa konta],'24 Bilans Mapowanie'!H7)</f>
        <v>1</v>
      </c>
    </row>
    <row r="8" spans="1:25" x14ac:dyDescent="0.3">
      <c r="A8" s="7" t="s">
        <v>314</v>
      </c>
      <c r="B8" s="7" t="s">
        <v>317</v>
      </c>
      <c r="C8" s="7" t="s">
        <v>340</v>
      </c>
      <c r="D8" s="7" t="s">
        <v>319</v>
      </c>
      <c r="E8" s="7" t="s">
        <v>351</v>
      </c>
      <c r="F8" s="7"/>
      <c r="G8" s="6">
        <v>11508100</v>
      </c>
      <c r="H8" s="7" t="s">
        <v>109</v>
      </c>
      <c r="I8" s="7" t="s">
        <v>102</v>
      </c>
      <c r="J8" s="17">
        <v>-861732.19</v>
      </c>
      <c r="K8" s="17">
        <v>-17038.540000000037</v>
      </c>
      <c r="L8" s="17">
        <v>-16111.25</v>
      </c>
      <c r="M8" s="17">
        <v>-2357.7199999999721</v>
      </c>
      <c r="N8" s="17">
        <v>-90426.230000000098</v>
      </c>
      <c r="O8" s="17">
        <v>-33306.219999999972</v>
      </c>
      <c r="P8" s="17">
        <v>-30969.95000000007</v>
      </c>
      <c r="Q8" s="17">
        <v>-11382.719999999972</v>
      </c>
      <c r="R8" s="17">
        <v>-5967.1699999999255</v>
      </c>
      <c r="S8" s="17">
        <v>-43619.199999999953</v>
      </c>
      <c r="T8" s="17">
        <v>-3289</v>
      </c>
      <c r="U8" s="17">
        <v>-54044.920000000006</v>
      </c>
      <c r="V8" s="17">
        <v>-1170245.1099999999</v>
      </c>
      <c r="W8" s="11">
        <v>-1170245.1099999999</v>
      </c>
      <c r="X8" s="12">
        <v>0</v>
      </c>
      <c r="Y8">
        <f>COUNTIF(_25B[Nazwa konta],'24 Bilans Mapowanie'!H8)</f>
        <v>1</v>
      </c>
    </row>
    <row r="9" spans="1:25" x14ac:dyDescent="0.3">
      <c r="A9" s="7" t="s">
        <v>314</v>
      </c>
      <c r="B9" s="7" t="s">
        <v>317</v>
      </c>
      <c r="C9" s="7" t="s">
        <v>340</v>
      </c>
      <c r="D9" s="7" t="s">
        <v>319</v>
      </c>
      <c r="E9" s="7" t="s">
        <v>351</v>
      </c>
      <c r="F9" s="7"/>
      <c r="G9" s="6">
        <v>11508400</v>
      </c>
      <c r="H9" s="7" t="s">
        <v>110</v>
      </c>
      <c r="I9" s="7" t="s">
        <v>102</v>
      </c>
      <c r="J9" s="17">
        <v>839627.19</v>
      </c>
      <c r="K9" s="17">
        <v>0</v>
      </c>
      <c r="L9" s="17">
        <v>38074.310000000056</v>
      </c>
      <c r="M9" s="17">
        <v>47300.479999999981</v>
      </c>
      <c r="N9" s="17">
        <v>50435.969999999972</v>
      </c>
      <c r="O9" s="17">
        <v>36086.980000000098</v>
      </c>
      <c r="P9" s="17">
        <v>0</v>
      </c>
      <c r="Q9" s="17">
        <v>44473.069999999949</v>
      </c>
      <c r="R9" s="17">
        <v>0</v>
      </c>
      <c r="S9" s="17">
        <v>52577.820000000065</v>
      </c>
      <c r="T9" s="17">
        <v>4082.85</v>
      </c>
      <c r="U9" s="17">
        <v>36848.6</v>
      </c>
      <c r="V9" s="17">
        <v>1149507.2700000003</v>
      </c>
      <c r="W9" s="11">
        <v>1149507.2700000003</v>
      </c>
      <c r="X9" s="12">
        <v>0</v>
      </c>
      <c r="Y9">
        <f>COUNTIF(_25B[Nazwa konta],'24 Bilans Mapowanie'!H9)</f>
        <v>1</v>
      </c>
    </row>
    <row r="10" spans="1:25" x14ac:dyDescent="0.3">
      <c r="A10" s="7" t="s">
        <v>314</v>
      </c>
      <c r="B10" s="7" t="s">
        <v>317</v>
      </c>
      <c r="C10" s="7" t="s">
        <v>340</v>
      </c>
      <c r="D10" s="7" t="s">
        <v>319</v>
      </c>
      <c r="E10" s="7" t="s">
        <v>352</v>
      </c>
      <c r="F10" s="7"/>
      <c r="G10" s="6">
        <v>11514100</v>
      </c>
      <c r="H10" s="7" t="s">
        <v>111</v>
      </c>
      <c r="I10" s="7" t="s">
        <v>102</v>
      </c>
      <c r="J10" s="17">
        <v>-1024800.78</v>
      </c>
      <c r="K10" s="17">
        <v>-598</v>
      </c>
      <c r="L10" s="17">
        <v>-26000</v>
      </c>
      <c r="M10" s="17">
        <v>0</v>
      </c>
      <c r="N10" s="17">
        <v>-67007.260000000009</v>
      </c>
      <c r="O10" s="17">
        <v>-8354</v>
      </c>
      <c r="P10" s="17">
        <v>-553.65999999991618</v>
      </c>
      <c r="Q10" s="17">
        <v>0</v>
      </c>
      <c r="R10" s="17">
        <v>0</v>
      </c>
      <c r="S10" s="17">
        <v>-1137.4000000001397</v>
      </c>
      <c r="T10" s="17">
        <v>0</v>
      </c>
      <c r="U10" s="17">
        <v>0</v>
      </c>
      <c r="V10" s="17">
        <v>-1128451.1000000001</v>
      </c>
      <c r="W10" s="11">
        <v>-1128451.1000000001</v>
      </c>
      <c r="X10" s="12">
        <v>0</v>
      </c>
      <c r="Y10">
        <f>COUNTIF(_25B[Nazwa konta],'24 Bilans Mapowanie'!H10)</f>
        <v>1</v>
      </c>
    </row>
    <row r="11" spans="1:25" x14ac:dyDescent="0.3">
      <c r="A11" s="7" t="s">
        <v>314</v>
      </c>
      <c r="B11" s="7" t="s">
        <v>317</v>
      </c>
      <c r="C11" s="7" t="s">
        <v>340</v>
      </c>
      <c r="D11" s="7" t="s">
        <v>319</v>
      </c>
      <c r="E11" s="7" t="s">
        <v>352</v>
      </c>
      <c r="F11" s="7"/>
      <c r="G11" s="6">
        <v>11514400</v>
      </c>
      <c r="H11" s="7" t="s">
        <v>112</v>
      </c>
      <c r="I11" s="7" t="s">
        <v>102</v>
      </c>
      <c r="J11" s="17">
        <v>1014993.86</v>
      </c>
      <c r="K11" s="17">
        <v>0</v>
      </c>
      <c r="L11" s="17">
        <v>1663.7800000000279</v>
      </c>
      <c r="M11" s="17">
        <v>966.20999999996275</v>
      </c>
      <c r="N11" s="17">
        <v>704.71000000007916</v>
      </c>
      <c r="O11" s="17">
        <v>10375.179999999935</v>
      </c>
      <c r="P11" s="17">
        <v>0</v>
      </c>
      <c r="Q11" s="17">
        <v>4595.9699999999721</v>
      </c>
      <c r="R11" s="17">
        <v>0</v>
      </c>
      <c r="S11" s="17">
        <v>4042.3200000000652</v>
      </c>
      <c r="T11" s="17">
        <v>2021.17</v>
      </c>
      <c r="U11" s="17">
        <v>2021.14</v>
      </c>
      <c r="V11" s="17">
        <v>1041384.3400000001</v>
      </c>
      <c r="W11" s="11">
        <v>1041384.3400000001</v>
      </c>
      <c r="X11" s="12">
        <v>0</v>
      </c>
      <c r="Y11">
        <f>COUNTIF(_25B[Nazwa konta],'24 Bilans Mapowanie'!H11)</f>
        <v>1</v>
      </c>
    </row>
    <row r="12" spans="1:25" x14ac:dyDescent="0.3">
      <c r="A12" s="7" t="s">
        <v>314</v>
      </c>
      <c r="B12" s="7" t="s">
        <v>317</v>
      </c>
      <c r="C12" s="7" t="s">
        <v>340</v>
      </c>
      <c r="D12" s="7" t="s">
        <v>319</v>
      </c>
      <c r="E12" s="7" t="s">
        <v>353</v>
      </c>
      <c r="F12" s="7"/>
      <c r="G12" s="6">
        <v>11518100</v>
      </c>
      <c r="H12" s="7" t="s">
        <v>113</v>
      </c>
      <c r="I12" s="7" t="s">
        <v>102</v>
      </c>
      <c r="J12" s="17">
        <v>-1391454.59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328972.15000000002</v>
      </c>
      <c r="V12" s="17">
        <v>-1062482.44</v>
      </c>
      <c r="W12" s="11">
        <v>-1062482.44</v>
      </c>
      <c r="X12" s="12">
        <v>0</v>
      </c>
      <c r="Y12">
        <f>COUNTIF(_25B[Nazwa konta],'24 Bilans Mapowanie'!H12)</f>
        <v>1</v>
      </c>
    </row>
    <row r="13" spans="1:25" x14ac:dyDescent="0.3">
      <c r="A13" s="7" t="s">
        <v>314</v>
      </c>
      <c r="B13" s="7" t="s">
        <v>317</v>
      </c>
      <c r="C13" s="7" t="s">
        <v>340</v>
      </c>
      <c r="D13" s="7" t="s">
        <v>319</v>
      </c>
      <c r="E13" s="7" t="s">
        <v>353</v>
      </c>
      <c r="F13" s="7"/>
      <c r="G13" s="6">
        <v>11518400</v>
      </c>
      <c r="H13" s="7" t="s">
        <v>114</v>
      </c>
      <c r="I13" s="7" t="s">
        <v>102</v>
      </c>
      <c r="J13" s="17">
        <v>990571.85</v>
      </c>
      <c r="K13" s="17">
        <v>0</v>
      </c>
      <c r="L13" s="17">
        <v>45714.599999999977</v>
      </c>
      <c r="M13" s="17">
        <v>22857.260000000009</v>
      </c>
      <c r="N13" s="17">
        <v>19036.949999999953</v>
      </c>
      <c r="O13" s="17">
        <v>19036.950000000186</v>
      </c>
      <c r="P13" s="17">
        <v>0</v>
      </c>
      <c r="Q13" s="17">
        <v>38073.85999999987</v>
      </c>
      <c r="R13" s="17">
        <v>0</v>
      </c>
      <c r="S13" s="17">
        <v>36769.310000000056</v>
      </c>
      <c r="T13" s="17">
        <v>16100.979999999998</v>
      </c>
      <c r="U13" s="17">
        <v>-303097.44</v>
      </c>
      <c r="V13" s="17">
        <v>885064.32000000007</v>
      </c>
      <c r="W13" s="11">
        <v>885064.32000000007</v>
      </c>
      <c r="X13" s="12">
        <v>0</v>
      </c>
      <c r="Y13">
        <f>COUNTIF(_25B[Nazwa konta],'24 Bilans Mapowanie'!H13)</f>
        <v>1</v>
      </c>
    </row>
    <row r="14" spans="1:25" x14ac:dyDescent="0.3">
      <c r="A14" s="7" t="s">
        <v>314</v>
      </c>
      <c r="B14" s="7" t="s">
        <v>317</v>
      </c>
      <c r="C14" s="7" t="s">
        <v>341</v>
      </c>
      <c r="D14" s="7" t="s">
        <v>321</v>
      </c>
      <c r="E14" s="7"/>
      <c r="F14" s="7"/>
      <c r="G14" s="6">
        <v>13500000</v>
      </c>
      <c r="H14" s="7" t="s">
        <v>115</v>
      </c>
      <c r="I14" s="7" t="s">
        <v>102</v>
      </c>
      <c r="J14" s="17">
        <v>-82626</v>
      </c>
      <c r="K14" s="17">
        <v>-76602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-159228</v>
      </c>
      <c r="W14" s="11">
        <v>-159228</v>
      </c>
      <c r="X14" s="12">
        <v>0</v>
      </c>
      <c r="Y14">
        <f>COUNTIF(_25B[Nazwa konta],'24 Bilans Mapowanie'!H14)</f>
        <v>1</v>
      </c>
    </row>
    <row r="15" spans="1:25" x14ac:dyDescent="0.3">
      <c r="A15" s="7" t="s">
        <v>314</v>
      </c>
      <c r="B15" s="7" t="s">
        <v>317</v>
      </c>
      <c r="C15" s="7" t="s">
        <v>341</v>
      </c>
      <c r="D15" s="7" t="s">
        <v>322</v>
      </c>
      <c r="E15" s="7"/>
      <c r="F15" s="7"/>
      <c r="G15" s="6">
        <v>14502000</v>
      </c>
      <c r="H15" s="7" t="s">
        <v>171</v>
      </c>
      <c r="I15" s="7" t="s">
        <v>102</v>
      </c>
      <c r="J15" s="17">
        <v>-619205.87</v>
      </c>
      <c r="K15" s="17">
        <v>0</v>
      </c>
      <c r="L15" s="17">
        <v>0</v>
      </c>
      <c r="M15" s="17">
        <v>0</v>
      </c>
      <c r="N15" s="17">
        <v>329020.75</v>
      </c>
      <c r="O15" s="17">
        <v>0</v>
      </c>
      <c r="P15" s="17">
        <v>0</v>
      </c>
      <c r="Q15" s="17">
        <v>0</v>
      </c>
      <c r="R15" s="17">
        <v>0</v>
      </c>
      <c r="S15" s="17">
        <v>290185.12</v>
      </c>
      <c r="T15" s="17">
        <v>0</v>
      </c>
      <c r="U15" s="17">
        <v>-520903.26000000007</v>
      </c>
      <c r="V15" s="17">
        <v>-520903.26000000007</v>
      </c>
      <c r="W15" s="11">
        <v>-520903.26000000007</v>
      </c>
      <c r="X15" s="12">
        <v>0</v>
      </c>
      <c r="Y15">
        <f>COUNTIF(_25B[Nazwa konta],'24 Bilans Mapowanie'!H15)</f>
        <v>1</v>
      </c>
    </row>
    <row r="16" spans="1:25" x14ac:dyDescent="0.3">
      <c r="A16" s="7" t="s">
        <v>314</v>
      </c>
      <c r="B16" s="7" t="s">
        <v>348</v>
      </c>
      <c r="C16" s="7" t="s">
        <v>342</v>
      </c>
      <c r="D16" s="7" t="s">
        <v>326</v>
      </c>
      <c r="E16" s="7" t="s">
        <v>354</v>
      </c>
      <c r="F16" s="7" t="s">
        <v>364</v>
      </c>
      <c r="G16" s="6">
        <v>15500000</v>
      </c>
      <c r="H16" s="7" t="s">
        <v>116</v>
      </c>
      <c r="I16" s="7" t="s">
        <v>102</v>
      </c>
      <c r="J16" s="17">
        <v>-134792.95999999999</v>
      </c>
      <c r="K16" s="17">
        <v>5493.8799999999901</v>
      </c>
      <c r="L16" s="17">
        <v>-31565.17</v>
      </c>
      <c r="M16" s="17">
        <v>-13038.959999999992</v>
      </c>
      <c r="N16" s="17">
        <v>44630.12999999999</v>
      </c>
      <c r="O16" s="17">
        <v>-252417.22999999998</v>
      </c>
      <c r="P16" s="17">
        <v>252461.22999999998</v>
      </c>
      <c r="Q16" s="17">
        <v>17131.869999999995</v>
      </c>
      <c r="R16" s="17">
        <v>0</v>
      </c>
      <c r="S16" s="17">
        <v>66732.63</v>
      </c>
      <c r="T16" s="17">
        <v>27018.580000000005</v>
      </c>
      <c r="U16" s="17">
        <v>3246</v>
      </c>
      <c r="V16" s="17">
        <v>-15100.000000000011</v>
      </c>
      <c r="W16" s="11">
        <v>-15100.000000000011</v>
      </c>
      <c r="X16" s="12">
        <v>0</v>
      </c>
      <c r="Y16">
        <f>COUNTIF(_25B[Nazwa konta],'24 Bilans Mapowanie'!H16)</f>
        <v>1</v>
      </c>
    </row>
    <row r="17" spans="1:25" x14ac:dyDescent="0.3">
      <c r="A17" s="7" t="s">
        <v>314</v>
      </c>
      <c r="B17" s="7" t="s">
        <v>348</v>
      </c>
      <c r="C17" s="7" t="s">
        <v>342</v>
      </c>
      <c r="D17" s="7" t="s">
        <v>335</v>
      </c>
      <c r="E17" s="7" t="s">
        <v>355</v>
      </c>
      <c r="F17" s="7"/>
      <c r="G17" s="6">
        <v>15500800</v>
      </c>
      <c r="H17" s="7" t="s">
        <v>117</v>
      </c>
      <c r="I17" s="7" t="s">
        <v>102</v>
      </c>
      <c r="J17" s="17">
        <v>228599.86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-204362.27999999997</v>
      </c>
      <c r="T17" s="17">
        <v>0</v>
      </c>
      <c r="U17" s="17">
        <v>-24237.58</v>
      </c>
      <c r="V17" s="17">
        <v>0</v>
      </c>
      <c r="W17" s="11">
        <v>0</v>
      </c>
      <c r="X17" s="12">
        <v>0</v>
      </c>
      <c r="Y17">
        <f>COUNTIF(_25B[Nazwa konta],'24 Bilans Mapowanie'!H17)</f>
        <v>1</v>
      </c>
    </row>
    <row r="18" spans="1:25" x14ac:dyDescent="0.3">
      <c r="A18" s="7" t="s">
        <v>314</v>
      </c>
      <c r="B18" s="7" t="s">
        <v>348</v>
      </c>
      <c r="C18" s="7" t="s">
        <v>342</v>
      </c>
      <c r="D18" s="7" t="s">
        <v>326</v>
      </c>
      <c r="E18" s="7" t="s">
        <v>354</v>
      </c>
      <c r="F18" s="7" t="s">
        <v>364</v>
      </c>
      <c r="G18" s="6">
        <v>15500999</v>
      </c>
      <c r="H18" s="7" t="s">
        <v>118</v>
      </c>
      <c r="I18" s="7" t="s">
        <v>102</v>
      </c>
      <c r="J18" s="17">
        <v>4003.23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-3933.7200000000003</v>
      </c>
      <c r="V18" s="17">
        <v>69.509999999999764</v>
      </c>
      <c r="W18" s="11">
        <v>69.509999999999764</v>
      </c>
      <c r="X18" s="12">
        <v>0</v>
      </c>
      <c r="Y18">
        <f>COUNTIF(_25B[Nazwa konta],'24 Bilans Mapowanie'!H18)</f>
        <v>1</v>
      </c>
    </row>
    <row r="19" spans="1:25" x14ac:dyDescent="0.3">
      <c r="A19" s="7" t="s">
        <v>314</v>
      </c>
      <c r="B19" s="7" t="s">
        <v>348</v>
      </c>
      <c r="C19" s="7" t="s">
        <v>342</v>
      </c>
      <c r="D19" s="7" t="s">
        <v>335</v>
      </c>
      <c r="E19" s="7" t="s">
        <v>355</v>
      </c>
      <c r="F19" s="7"/>
      <c r="G19" s="6">
        <v>15560000</v>
      </c>
      <c r="H19" s="7" t="s">
        <v>175</v>
      </c>
      <c r="I19" s="7" t="s">
        <v>102</v>
      </c>
      <c r="J19" s="17">
        <v>0</v>
      </c>
      <c r="K19" s="17">
        <v>0</v>
      </c>
      <c r="L19" s="17">
        <v>0</v>
      </c>
      <c r="M19" s="17">
        <v>0</v>
      </c>
      <c r="N19" s="17">
        <v>-4.32</v>
      </c>
      <c r="O19" s="17">
        <v>4.32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1">
        <v>0</v>
      </c>
      <c r="X19" s="12">
        <v>0</v>
      </c>
      <c r="Y19">
        <f>COUNTIF(_25B[Nazwa konta],'24 Bilans Mapowanie'!H19)</f>
        <v>1</v>
      </c>
    </row>
    <row r="20" spans="1:25" x14ac:dyDescent="0.3">
      <c r="A20" s="7" t="s">
        <v>314</v>
      </c>
      <c r="B20" s="7" t="s">
        <v>317</v>
      </c>
      <c r="C20" s="7" t="s">
        <v>341</v>
      </c>
      <c r="D20" s="7" t="s">
        <v>321</v>
      </c>
      <c r="E20" s="7"/>
      <c r="F20" s="7"/>
      <c r="G20" s="6">
        <v>15514000</v>
      </c>
      <c r="H20" s="7" t="s">
        <v>176</v>
      </c>
      <c r="I20" s="7" t="s">
        <v>102</v>
      </c>
      <c r="J20" s="17">
        <v>-1850899</v>
      </c>
      <c r="K20" s="17">
        <v>1850899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-1729855</v>
      </c>
      <c r="V20" s="17">
        <v>-1729855</v>
      </c>
      <c r="W20" s="11">
        <v>-1729855</v>
      </c>
      <c r="X20" s="12">
        <v>0</v>
      </c>
      <c r="Y20">
        <f>COUNTIF(_25B[Nazwa konta],'24 Bilans Mapowanie'!H20)</f>
        <v>1</v>
      </c>
    </row>
    <row r="21" spans="1:25" x14ac:dyDescent="0.3">
      <c r="A21" s="7" t="s">
        <v>314</v>
      </c>
      <c r="B21" s="7" t="s">
        <v>348</v>
      </c>
      <c r="C21" s="7" t="s">
        <v>342</v>
      </c>
      <c r="D21" s="7" t="s">
        <v>325</v>
      </c>
      <c r="E21" s="7" t="s">
        <v>354</v>
      </c>
      <c r="F21" s="7" t="s">
        <v>364</v>
      </c>
      <c r="G21" s="6">
        <v>15540000</v>
      </c>
      <c r="H21" s="7" t="s">
        <v>119</v>
      </c>
      <c r="I21" s="7" t="s">
        <v>102</v>
      </c>
      <c r="J21" s="17">
        <v>-929.04</v>
      </c>
      <c r="K21" s="17">
        <v>0</v>
      </c>
      <c r="L21" s="17">
        <v>0</v>
      </c>
      <c r="M21" s="17">
        <v>0</v>
      </c>
      <c r="N21" s="17">
        <v>-191641.94</v>
      </c>
      <c r="O21" s="17">
        <v>35780.23000000001</v>
      </c>
      <c r="P21" s="17">
        <v>137525.04</v>
      </c>
      <c r="Q21" s="17">
        <v>18336.669999999998</v>
      </c>
      <c r="R21" s="17">
        <v>0</v>
      </c>
      <c r="S21" s="17">
        <v>0</v>
      </c>
      <c r="T21" s="17">
        <v>0</v>
      </c>
      <c r="U21" s="17">
        <v>0</v>
      </c>
      <c r="V21" s="17">
        <v>-929.0399999999936</v>
      </c>
      <c r="W21" s="11">
        <v>-929.0399999999936</v>
      </c>
      <c r="X21" s="12">
        <v>0</v>
      </c>
      <c r="Y21">
        <f>COUNTIF(_25B[Nazwa konta],'24 Bilans Mapowanie'!H21)</f>
        <v>1</v>
      </c>
    </row>
    <row r="22" spans="1:25" x14ac:dyDescent="0.3">
      <c r="A22" s="7" t="s">
        <v>314</v>
      </c>
      <c r="B22" s="7" t="s">
        <v>348</v>
      </c>
      <c r="C22" s="7" t="s">
        <v>342</v>
      </c>
      <c r="D22" s="7" t="s">
        <v>325</v>
      </c>
      <c r="E22" s="7" t="s">
        <v>354</v>
      </c>
      <c r="F22" s="7" t="s">
        <v>364</v>
      </c>
      <c r="G22" s="6">
        <v>15540999</v>
      </c>
      <c r="H22" s="7" t="s">
        <v>120</v>
      </c>
      <c r="I22" s="7" t="s">
        <v>102</v>
      </c>
      <c r="J22" s="17">
        <v>26.04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-26.04</v>
      </c>
      <c r="V22" s="17">
        <v>0</v>
      </c>
      <c r="W22" s="11">
        <v>0</v>
      </c>
      <c r="X22" s="12">
        <v>0</v>
      </c>
      <c r="Y22">
        <f>COUNTIF(_25B[Nazwa konta],'24 Bilans Mapowanie'!H22)</f>
        <v>1</v>
      </c>
    </row>
    <row r="23" spans="1:25" x14ac:dyDescent="0.3">
      <c r="A23" s="7" t="s">
        <v>314</v>
      </c>
      <c r="B23" s="7" t="s">
        <v>348</v>
      </c>
      <c r="C23" s="7" t="s">
        <v>342</v>
      </c>
      <c r="D23" s="7" t="s">
        <v>326</v>
      </c>
      <c r="E23" s="7" t="s">
        <v>355</v>
      </c>
      <c r="F23" s="7"/>
      <c r="G23" s="6">
        <v>15550368</v>
      </c>
      <c r="H23" s="7" t="s">
        <v>121</v>
      </c>
      <c r="I23" s="7" t="s">
        <v>102</v>
      </c>
      <c r="J23" s="17">
        <v>-90991394.290000007</v>
      </c>
      <c r="K23" s="17">
        <v>-25146.979999989271</v>
      </c>
      <c r="L23" s="17">
        <v>-1131.3200000077486</v>
      </c>
      <c r="M23" s="17">
        <v>0</v>
      </c>
      <c r="N23" s="17">
        <v>1131.3200000077486</v>
      </c>
      <c r="O23" s="17">
        <v>-4.3200000077486038</v>
      </c>
      <c r="P23" s="17">
        <v>0</v>
      </c>
      <c r="Q23" s="17">
        <v>0</v>
      </c>
      <c r="R23" s="17">
        <v>0</v>
      </c>
      <c r="S23" s="17">
        <v>0</v>
      </c>
      <c r="T23" s="17">
        <v>-4305.5700000000006</v>
      </c>
      <c r="U23" s="17">
        <v>0</v>
      </c>
      <c r="V23" s="17">
        <v>-91020851.159999996</v>
      </c>
      <c r="W23" s="11">
        <v>-91020851.159999996</v>
      </c>
      <c r="X23" s="12">
        <v>0</v>
      </c>
      <c r="Y23">
        <f>COUNTIF(_25B[Nazwa konta],'24 Bilans Mapowanie'!H23)</f>
        <v>1</v>
      </c>
    </row>
    <row r="24" spans="1:25" x14ac:dyDescent="0.3">
      <c r="A24" s="7" t="s">
        <v>315</v>
      </c>
      <c r="B24" s="7" t="s">
        <v>347</v>
      </c>
      <c r="C24" s="7" t="s">
        <v>345</v>
      </c>
      <c r="D24" s="7" t="s">
        <v>331</v>
      </c>
      <c r="E24" s="7" t="s">
        <v>356</v>
      </c>
      <c r="F24" s="7"/>
      <c r="G24" s="6">
        <v>15552000</v>
      </c>
      <c r="H24" s="7" t="s">
        <v>122</v>
      </c>
      <c r="I24" s="7" t="s">
        <v>102</v>
      </c>
      <c r="J24" s="17">
        <v>96164743.209999993</v>
      </c>
      <c r="K24" s="17">
        <v>-2200425</v>
      </c>
      <c r="L24" s="17">
        <v>-353554</v>
      </c>
      <c r="M24" s="17">
        <v>954250</v>
      </c>
      <c r="N24" s="17">
        <v>1621954.9200000018</v>
      </c>
      <c r="O24" s="17">
        <v>1344860</v>
      </c>
      <c r="P24" s="17">
        <v>-1138638.6099999994</v>
      </c>
      <c r="Q24" s="17">
        <v>-11000</v>
      </c>
      <c r="R24" s="17">
        <v>15000</v>
      </c>
      <c r="S24" s="17">
        <v>59640</v>
      </c>
      <c r="T24" s="17">
        <v>-57000</v>
      </c>
      <c r="U24" s="17">
        <v>29000</v>
      </c>
      <c r="V24" s="17">
        <v>96428830.519999996</v>
      </c>
      <c r="W24" s="11">
        <v>96428830.519999996</v>
      </c>
      <c r="X24" s="12">
        <v>0</v>
      </c>
      <c r="Y24">
        <f>COUNTIF(_25B[Nazwa konta],'24 Bilans Mapowanie'!H24)</f>
        <v>1</v>
      </c>
    </row>
    <row r="25" spans="1:25" x14ac:dyDescent="0.3">
      <c r="A25" s="7" t="s">
        <v>314</v>
      </c>
      <c r="B25" s="7" t="s">
        <v>348</v>
      </c>
      <c r="C25" s="7" t="s">
        <v>342</v>
      </c>
      <c r="D25" s="7" t="s">
        <v>339</v>
      </c>
      <c r="E25" s="7" t="s">
        <v>357</v>
      </c>
      <c r="F25" s="7"/>
      <c r="G25" s="6">
        <v>15562000</v>
      </c>
      <c r="H25" s="7" t="s">
        <v>123</v>
      </c>
      <c r="I25" s="7" t="s">
        <v>102</v>
      </c>
      <c r="J25" s="17">
        <v>-40034.51</v>
      </c>
      <c r="K25" s="17">
        <v>-12603.71</v>
      </c>
      <c r="L25" s="17">
        <v>21394.880000000001</v>
      </c>
      <c r="M25" s="17">
        <v>18430.370000000003</v>
      </c>
      <c r="N25" s="17">
        <v>21966.66</v>
      </c>
      <c r="O25" s="17">
        <v>-35763.97</v>
      </c>
      <c r="P25" s="17">
        <v>152.18000000000029</v>
      </c>
      <c r="Q25" s="17">
        <v>118.93999999999869</v>
      </c>
      <c r="R25" s="17">
        <v>35000</v>
      </c>
      <c r="S25" s="17">
        <v>12415.61</v>
      </c>
      <c r="T25" s="17">
        <v>-7200</v>
      </c>
      <c r="U25" s="17">
        <v>0</v>
      </c>
      <c r="V25" s="17">
        <v>13876.45</v>
      </c>
      <c r="W25" s="11">
        <v>13876.45</v>
      </c>
      <c r="X25" s="12">
        <v>0</v>
      </c>
      <c r="Y25">
        <f>COUNTIF(_25B[Nazwa konta],'24 Bilans Mapowanie'!H25)</f>
        <v>1</v>
      </c>
    </row>
    <row r="26" spans="1:25" x14ac:dyDescent="0.3">
      <c r="A26" s="7" t="s">
        <v>315</v>
      </c>
      <c r="B26" s="7" t="s">
        <v>347</v>
      </c>
      <c r="C26" s="7" t="s">
        <v>345</v>
      </c>
      <c r="D26" s="7" t="s">
        <v>331</v>
      </c>
      <c r="E26" s="7" t="s">
        <v>358</v>
      </c>
      <c r="F26" s="7"/>
      <c r="G26" s="6">
        <v>16004000</v>
      </c>
      <c r="H26" s="7" t="s">
        <v>124</v>
      </c>
      <c r="I26" s="7" t="s">
        <v>102</v>
      </c>
      <c r="J26" s="17">
        <v>-76353</v>
      </c>
      <c r="K26" s="17">
        <v>36368</v>
      </c>
      <c r="L26" s="17">
        <v>76547</v>
      </c>
      <c r="M26" s="17">
        <v>66663</v>
      </c>
      <c r="N26" s="17">
        <v>28240</v>
      </c>
      <c r="O26" s="17">
        <v>33646</v>
      </c>
      <c r="P26" s="17">
        <v>33173</v>
      </c>
      <c r="Q26" s="17">
        <v>54185</v>
      </c>
      <c r="R26" s="17">
        <v>0</v>
      </c>
      <c r="S26" s="17">
        <v>27847</v>
      </c>
      <c r="T26" s="17">
        <v>31079</v>
      </c>
      <c r="U26" s="17">
        <v>56644</v>
      </c>
      <c r="V26" s="17">
        <v>368039</v>
      </c>
      <c r="W26" s="11">
        <v>368039</v>
      </c>
      <c r="X26" s="12">
        <v>0</v>
      </c>
      <c r="Y26">
        <f>COUNTIF(_25B[Nazwa konta],'24 Bilans Mapowanie'!H26)</f>
        <v>1</v>
      </c>
    </row>
    <row r="27" spans="1:25" x14ac:dyDescent="0.3">
      <c r="A27" s="7" t="s">
        <v>314</v>
      </c>
      <c r="B27" s="7" t="s">
        <v>348</v>
      </c>
      <c r="C27" s="7" t="s">
        <v>342</v>
      </c>
      <c r="D27" s="7" t="s">
        <v>326</v>
      </c>
      <c r="E27" s="7" t="s">
        <v>359</v>
      </c>
      <c r="F27" s="7"/>
      <c r="G27" s="6">
        <v>16004010</v>
      </c>
      <c r="H27" s="7" t="s">
        <v>125</v>
      </c>
      <c r="I27" s="7" t="s">
        <v>102</v>
      </c>
      <c r="J27" s="17">
        <v>-106017.54</v>
      </c>
      <c r="K27" s="17">
        <v>-28754.150000000009</v>
      </c>
      <c r="L27" s="17">
        <v>-40045.56</v>
      </c>
      <c r="M27" s="17">
        <v>-33012.760000000009</v>
      </c>
      <c r="N27" s="17">
        <v>-101028.85999999999</v>
      </c>
      <c r="O27" s="17">
        <v>-32405.710000000021</v>
      </c>
      <c r="P27" s="17">
        <v>-40330.159999999974</v>
      </c>
      <c r="Q27" s="17">
        <v>-25834.450000000012</v>
      </c>
      <c r="R27" s="17">
        <v>-46879.289999999979</v>
      </c>
      <c r="S27" s="17">
        <v>-49477.239999999991</v>
      </c>
      <c r="T27" s="17">
        <v>-31843.95</v>
      </c>
      <c r="U27" s="17">
        <v>-43551.129999999976</v>
      </c>
      <c r="V27" s="17">
        <v>-579180.79999999993</v>
      </c>
      <c r="W27" s="11">
        <v>-579180.79999999993</v>
      </c>
      <c r="X27" s="12">
        <v>0</v>
      </c>
      <c r="Y27">
        <f>COUNTIF(_25B[Nazwa konta],'24 Bilans Mapowanie'!H27)</f>
        <v>1</v>
      </c>
    </row>
    <row r="28" spans="1:25" x14ac:dyDescent="0.3">
      <c r="A28" s="7" t="s">
        <v>314</v>
      </c>
      <c r="B28" s="7" t="s">
        <v>348</v>
      </c>
      <c r="C28" s="7" t="s">
        <v>342</v>
      </c>
      <c r="D28" s="7" t="s">
        <v>326</v>
      </c>
      <c r="E28" s="7" t="s">
        <v>359</v>
      </c>
      <c r="F28" s="7"/>
      <c r="G28" s="6">
        <v>16004080</v>
      </c>
      <c r="H28" s="7" t="s">
        <v>126</v>
      </c>
      <c r="I28" s="7" t="s">
        <v>102</v>
      </c>
      <c r="J28" s="17">
        <v>-325.05</v>
      </c>
      <c r="K28" s="17">
        <v>0</v>
      </c>
      <c r="L28" s="17">
        <v>0</v>
      </c>
      <c r="M28" s="17">
        <v>0</v>
      </c>
      <c r="N28" s="17">
        <v>95.81</v>
      </c>
      <c r="O28" s="17">
        <v>0</v>
      </c>
      <c r="P28" s="17">
        <v>-1673.61</v>
      </c>
      <c r="Q28" s="17">
        <v>0</v>
      </c>
      <c r="R28" s="17">
        <v>4.3799999999998818</v>
      </c>
      <c r="S28" s="17">
        <v>-65.200000000000045</v>
      </c>
      <c r="T28" s="17">
        <v>-103.69</v>
      </c>
      <c r="U28" s="17">
        <v>-68</v>
      </c>
      <c r="V28" s="17">
        <v>-2135.36</v>
      </c>
      <c r="W28" s="11">
        <v>-2135.36</v>
      </c>
      <c r="X28" s="12">
        <v>0</v>
      </c>
      <c r="Y28">
        <f>COUNTIF(_25B[Nazwa konta],'24 Bilans Mapowanie'!H28)</f>
        <v>1</v>
      </c>
    </row>
    <row r="29" spans="1:25" x14ac:dyDescent="0.3">
      <c r="A29" s="7" t="s">
        <v>314</v>
      </c>
      <c r="B29" s="7" t="s">
        <v>348</v>
      </c>
      <c r="C29" s="7" t="s">
        <v>342</v>
      </c>
      <c r="D29" s="7" t="s">
        <v>326</v>
      </c>
      <c r="E29" s="7" t="s">
        <v>355</v>
      </c>
      <c r="F29" s="7"/>
      <c r="G29" s="6">
        <v>16008000</v>
      </c>
      <c r="H29" s="7" t="s">
        <v>127</v>
      </c>
      <c r="I29" s="7" t="s">
        <v>102</v>
      </c>
      <c r="J29" s="17">
        <v>17309.580000000002</v>
      </c>
      <c r="K29" s="17">
        <v>-12901.170000000002</v>
      </c>
      <c r="L29" s="17">
        <v>13104.29</v>
      </c>
      <c r="M29" s="17">
        <v>-8588.4000000000015</v>
      </c>
      <c r="N29" s="17">
        <v>727.52000000000044</v>
      </c>
      <c r="O29" s="17">
        <v>-16950.95</v>
      </c>
      <c r="P29" s="17">
        <v>6415.3</v>
      </c>
      <c r="Q29" s="17">
        <v>9894.4599999999991</v>
      </c>
      <c r="R29" s="17">
        <v>2480.8500000000004</v>
      </c>
      <c r="S29" s="17">
        <v>-9920.74</v>
      </c>
      <c r="T29" s="17">
        <v>1472.9299999999998</v>
      </c>
      <c r="U29" s="17">
        <v>6858.870000000009</v>
      </c>
      <c r="V29" s="17">
        <v>9902.5400000000063</v>
      </c>
      <c r="W29" s="11">
        <v>9902.5400000000063</v>
      </c>
      <c r="X29" s="12">
        <v>0</v>
      </c>
      <c r="Y29">
        <f>COUNTIF(_25B[Nazwa konta],'24 Bilans Mapowanie'!H29)</f>
        <v>1</v>
      </c>
    </row>
    <row r="30" spans="1:25" x14ac:dyDescent="0.3">
      <c r="A30" s="7" t="s">
        <v>314</v>
      </c>
      <c r="B30" s="7" t="s">
        <v>348</v>
      </c>
      <c r="C30" s="7" t="s">
        <v>342</v>
      </c>
      <c r="D30" s="7" t="s">
        <v>335</v>
      </c>
      <c r="E30" s="7" t="s">
        <v>355</v>
      </c>
      <c r="F30" s="7"/>
      <c r="G30" s="6">
        <v>16008030</v>
      </c>
      <c r="H30" s="7" t="s">
        <v>128</v>
      </c>
      <c r="I30" s="7" t="s">
        <v>102</v>
      </c>
      <c r="J30" s="17">
        <v>-33680</v>
      </c>
      <c r="K30" s="17">
        <v>8370</v>
      </c>
      <c r="L30" s="17">
        <v>6470</v>
      </c>
      <c r="M30" s="17">
        <v>-19100</v>
      </c>
      <c r="N30" s="17">
        <v>22940</v>
      </c>
      <c r="O30" s="17">
        <v>-20500</v>
      </c>
      <c r="P30" s="17">
        <v>12331.09</v>
      </c>
      <c r="Q30" s="17">
        <v>-5100</v>
      </c>
      <c r="R30" s="17">
        <v>-2131.09</v>
      </c>
      <c r="S30" s="17">
        <v>26400</v>
      </c>
      <c r="T30" s="17">
        <v>2000</v>
      </c>
      <c r="U30" s="17">
        <v>2000</v>
      </c>
      <c r="V30" s="17">
        <v>0</v>
      </c>
      <c r="W30" s="11">
        <v>0</v>
      </c>
      <c r="X30" s="12">
        <v>0</v>
      </c>
      <c r="Y30">
        <f>COUNTIF(_25B[Nazwa konta],'24 Bilans Mapowanie'!H30)</f>
        <v>1</v>
      </c>
    </row>
    <row r="31" spans="1:25" x14ac:dyDescent="0.3">
      <c r="A31" s="7" t="s">
        <v>314</v>
      </c>
      <c r="B31" s="7" t="s">
        <v>348</v>
      </c>
      <c r="C31" s="7" t="s">
        <v>342</v>
      </c>
      <c r="D31" s="7" t="s">
        <v>326</v>
      </c>
      <c r="E31" s="7" t="s">
        <v>359</v>
      </c>
      <c r="F31" s="7"/>
      <c r="G31" s="6">
        <v>16500000</v>
      </c>
      <c r="H31" s="7" t="s">
        <v>172</v>
      </c>
      <c r="I31" s="7" t="s">
        <v>102</v>
      </c>
      <c r="J31" s="17">
        <v>-557949</v>
      </c>
      <c r="K31" s="17">
        <v>0</v>
      </c>
      <c r="L31" s="17">
        <v>0</v>
      </c>
      <c r="M31" s="17">
        <v>0</v>
      </c>
      <c r="N31" s="17">
        <v>0</v>
      </c>
      <c r="O31" s="17">
        <v>557948</v>
      </c>
      <c r="P31" s="17">
        <v>0</v>
      </c>
      <c r="Q31" s="17">
        <v>0</v>
      </c>
      <c r="R31" s="17">
        <v>0</v>
      </c>
      <c r="S31" s="17">
        <v>1</v>
      </c>
      <c r="T31" s="17">
        <v>0</v>
      </c>
      <c r="U31" s="17">
        <v>-728950</v>
      </c>
      <c r="V31" s="17">
        <v>-728950</v>
      </c>
      <c r="W31" s="11">
        <v>-728950</v>
      </c>
      <c r="X31" s="12">
        <v>0</v>
      </c>
      <c r="Y31">
        <f>COUNTIF(_25B[Nazwa konta],'24 Bilans Mapowanie'!H31)</f>
        <v>1</v>
      </c>
    </row>
    <row r="32" spans="1:25" x14ac:dyDescent="0.3">
      <c r="A32" s="7" t="s">
        <v>314</v>
      </c>
      <c r="B32" s="7" t="s">
        <v>348</v>
      </c>
      <c r="C32" s="7" t="s">
        <v>338</v>
      </c>
      <c r="D32" s="7" t="s">
        <v>101</v>
      </c>
      <c r="E32" s="7"/>
      <c r="F32" s="7"/>
      <c r="G32" s="6">
        <v>17000000</v>
      </c>
      <c r="H32" s="7" t="s">
        <v>129</v>
      </c>
      <c r="I32" s="7" t="s">
        <v>102</v>
      </c>
      <c r="J32" s="17">
        <v>-159844.67000000001</v>
      </c>
      <c r="K32" s="17">
        <v>27941.100000000006</v>
      </c>
      <c r="L32" s="17">
        <v>-17248.899999999994</v>
      </c>
      <c r="M32" s="17">
        <v>6281.1000000000058</v>
      </c>
      <c r="N32" s="17">
        <v>29811.099999999991</v>
      </c>
      <c r="O32" s="17">
        <v>6281</v>
      </c>
      <c r="P32" s="17">
        <v>26991.100000000006</v>
      </c>
      <c r="Q32" s="17">
        <v>6281.0999999999913</v>
      </c>
      <c r="R32" s="17">
        <v>49601.100000000006</v>
      </c>
      <c r="S32" s="17">
        <v>-57748.899999999994</v>
      </c>
      <c r="T32" s="17">
        <v>6281.0999999999985</v>
      </c>
      <c r="U32" s="17">
        <v>6281.1</v>
      </c>
      <c r="V32" s="17">
        <v>-69092.669999999984</v>
      </c>
      <c r="W32" s="11">
        <v>-69092.669999999984</v>
      </c>
      <c r="X32" s="12">
        <v>0</v>
      </c>
      <c r="Y32">
        <f>COUNTIF(_25B[Nazwa konta],'24 Bilans Mapowanie'!H32)</f>
        <v>1</v>
      </c>
    </row>
    <row r="33" spans="1:25" x14ac:dyDescent="0.3">
      <c r="A33" s="7" t="s">
        <v>314</v>
      </c>
      <c r="B33" s="7" t="s">
        <v>348</v>
      </c>
      <c r="C33" s="7" t="s">
        <v>338</v>
      </c>
      <c r="D33" s="7" t="s">
        <v>101</v>
      </c>
      <c r="E33" s="7"/>
      <c r="F33" s="7"/>
      <c r="G33" s="6">
        <v>17000030</v>
      </c>
      <c r="H33" s="7" t="s">
        <v>130</v>
      </c>
      <c r="I33" s="7" t="s">
        <v>102</v>
      </c>
      <c r="J33" s="17">
        <v>-23080.09</v>
      </c>
      <c r="K33" s="17">
        <v>-3252.34</v>
      </c>
      <c r="L33" s="17">
        <v>6768.4000000000015</v>
      </c>
      <c r="M33" s="17">
        <v>127.93999999999869</v>
      </c>
      <c r="N33" s="17">
        <v>-28478.579999999998</v>
      </c>
      <c r="O33" s="17">
        <v>-9115.7900000000009</v>
      </c>
      <c r="P33" s="17">
        <v>612.68000000000029</v>
      </c>
      <c r="Q33" s="17">
        <v>4514.43</v>
      </c>
      <c r="R33" s="17">
        <v>6659.68</v>
      </c>
      <c r="S33" s="17">
        <v>12008.919999999998</v>
      </c>
      <c r="T33" s="17">
        <v>5719.68</v>
      </c>
      <c r="U33" s="17">
        <v>5719.68</v>
      </c>
      <c r="V33" s="17">
        <v>-21795.39</v>
      </c>
      <c r="W33" s="11">
        <v>-21795.39</v>
      </c>
      <c r="X33" s="12">
        <v>0</v>
      </c>
      <c r="Y33">
        <f>COUNTIF(_25B[Nazwa konta],'24 Bilans Mapowanie'!H33)</f>
        <v>1</v>
      </c>
    </row>
    <row r="34" spans="1:25" x14ac:dyDescent="0.3">
      <c r="A34" s="7" t="s">
        <v>314</v>
      </c>
      <c r="B34" s="7" t="s">
        <v>317</v>
      </c>
      <c r="C34" s="7" t="s">
        <v>340</v>
      </c>
      <c r="D34" s="7" t="s">
        <v>334</v>
      </c>
      <c r="E34" s="7"/>
      <c r="F34" s="7"/>
      <c r="G34" s="6">
        <v>17006000</v>
      </c>
      <c r="H34" s="7" t="s">
        <v>174</v>
      </c>
      <c r="I34" s="7" t="s">
        <v>102</v>
      </c>
      <c r="J34" s="17">
        <v>0</v>
      </c>
      <c r="K34" s="17">
        <v>0</v>
      </c>
      <c r="L34" s="17">
        <v>0</v>
      </c>
      <c r="M34" s="17">
        <v>-10000</v>
      </c>
      <c r="N34" s="17">
        <v>0</v>
      </c>
      <c r="O34" s="17">
        <v>0</v>
      </c>
      <c r="P34" s="17">
        <v>0</v>
      </c>
      <c r="Q34" s="17">
        <v>10000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1">
        <v>0</v>
      </c>
      <c r="X34" s="12">
        <v>0</v>
      </c>
      <c r="Y34">
        <f>COUNTIF(_25B[Nazwa konta],'24 Bilans Mapowanie'!H34)</f>
        <v>1</v>
      </c>
    </row>
    <row r="35" spans="1:25" x14ac:dyDescent="0.3">
      <c r="A35" s="7" t="s">
        <v>314</v>
      </c>
      <c r="B35" s="7" t="s">
        <v>348</v>
      </c>
      <c r="C35" s="7" t="s">
        <v>343</v>
      </c>
      <c r="D35" s="7" t="s">
        <v>327</v>
      </c>
      <c r="E35" s="7" t="s">
        <v>368</v>
      </c>
      <c r="F35" s="7" t="s">
        <v>367</v>
      </c>
      <c r="G35" s="6">
        <v>18579900</v>
      </c>
      <c r="H35" s="7" t="s">
        <v>131</v>
      </c>
      <c r="I35" s="7" t="s">
        <v>102</v>
      </c>
      <c r="J35" s="17">
        <v>-118969.27</v>
      </c>
      <c r="K35" s="17">
        <v>22664.33</v>
      </c>
      <c r="L35" s="17">
        <v>8491.6199999999953</v>
      </c>
      <c r="M35" s="17">
        <v>-1200077.02</v>
      </c>
      <c r="N35" s="17">
        <v>1187917.9200000002</v>
      </c>
      <c r="O35" s="17">
        <v>-574892.53999999992</v>
      </c>
      <c r="P35" s="17">
        <v>420467.33999999997</v>
      </c>
      <c r="Q35" s="17">
        <v>-74535.700000000012</v>
      </c>
      <c r="R35" s="17">
        <v>-84251.599999999977</v>
      </c>
      <c r="S35" s="17">
        <v>-33433.010000000009</v>
      </c>
      <c r="T35" s="17">
        <v>109214.94000000069</v>
      </c>
      <c r="U35" s="17">
        <v>219483.51000000135</v>
      </c>
      <c r="V35" s="17">
        <v>-117919.47999999783</v>
      </c>
      <c r="W35" s="11">
        <v>-117919.47999999783</v>
      </c>
      <c r="X35" s="12">
        <v>0</v>
      </c>
      <c r="Y35">
        <f>COUNTIF(_25B[Nazwa konta],'24 Bilans Mapowanie'!H35)</f>
        <v>1</v>
      </c>
    </row>
    <row r="36" spans="1:25" x14ac:dyDescent="0.3">
      <c r="A36" s="7" t="s">
        <v>314</v>
      </c>
      <c r="B36" s="7" t="s">
        <v>348</v>
      </c>
      <c r="C36" s="7" t="s">
        <v>343</v>
      </c>
      <c r="D36" s="7" t="s">
        <v>327</v>
      </c>
      <c r="E36" s="7" t="s">
        <v>368</v>
      </c>
      <c r="F36" s="7" t="s">
        <v>367</v>
      </c>
      <c r="G36" s="6">
        <v>18580000</v>
      </c>
      <c r="H36" s="7" t="s">
        <v>132</v>
      </c>
      <c r="I36" s="7" t="s">
        <v>102</v>
      </c>
      <c r="J36" s="17">
        <v>0</v>
      </c>
      <c r="K36" s="17">
        <v>0</v>
      </c>
      <c r="L36" s="17">
        <v>0</v>
      </c>
      <c r="M36" s="17">
        <v>-415.7</v>
      </c>
      <c r="N36" s="17">
        <v>-4620.34</v>
      </c>
      <c r="O36" s="17">
        <v>0</v>
      </c>
      <c r="P36" s="17">
        <v>-15074.919999999998</v>
      </c>
      <c r="Q36" s="17">
        <v>4171.4199999999983</v>
      </c>
      <c r="R36" s="17">
        <v>1225.4500000000007</v>
      </c>
      <c r="S36" s="17">
        <v>580.75</v>
      </c>
      <c r="T36" s="17">
        <v>106.19000000000005</v>
      </c>
      <c r="U36" s="17">
        <v>14027.149999999996</v>
      </c>
      <c r="V36" s="17">
        <v>0</v>
      </c>
      <c r="W36" s="11">
        <v>0</v>
      </c>
      <c r="X36" s="12">
        <v>0</v>
      </c>
      <c r="Y36">
        <f>COUNTIF(_25B[Nazwa konta],'24 Bilans Mapowanie'!H36)</f>
        <v>1</v>
      </c>
    </row>
    <row r="37" spans="1:25" x14ac:dyDescent="0.3">
      <c r="A37" s="7" t="s">
        <v>314</v>
      </c>
      <c r="B37" s="7" t="s">
        <v>348</v>
      </c>
      <c r="C37" s="7" t="s">
        <v>343</v>
      </c>
      <c r="D37" s="7" t="s">
        <v>327</v>
      </c>
      <c r="E37" s="7" t="s">
        <v>368</v>
      </c>
      <c r="F37" s="7" t="s">
        <v>367</v>
      </c>
      <c r="G37" s="6">
        <v>18580100</v>
      </c>
      <c r="H37" s="7" t="s">
        <v>133</v>
      </c>
      <c r="I37" s="7" t="s">
        <v>102</v>
      </c>
      <c r="J37" s="17">
        <v>-38867.72</v>
      </c>
      <c r="K37" s="17">
        <v>19608.050000000003</v>
      </c>
      <c r="L37" s="17">
        <v>-102444.52</v>
      </c>
      <c r="M37" s="17">
        <v>94122.38</v>
      </c>
      <c r="N37" s="17">
        <v>-19672.2</v>
      </c>
      <c r="O37" s="17">
        <v>26029.72</v>
      </c>
      <c r="P37" s="17">
        <v>-238837.21</v>
      </c>
      <c r="Q37" s="17">
        <v>-17259.719999999972</v>
      </c>
      <c r="R37" s="17">
        <v>5321.4599999999627</v>
      </c>
      <c r="S37" s="17">
        <v>16924.710000000021</v>
      </c>
      <c r="T37" s="17">
        <v>-2774.9100000000039</v>
      </c>
      <c r="U37" s="17">
        <v>257849.96</v>
      </c>
      <c r="V37" s="17">
        <v>0</v>
      </c>
      <c r="W37" s="11">
        <v>0</v>
      </c>
      <c r="X37" s="12">
        <v>0</v>
      </c>
      <c r="Y37">
        <f>COUNTIF(_25B[Nazwa konta],'24 Bilans Mapowanie'!H37)</f>
        <v>1</v>
      </c>
    </row>
    <row r="38" spans="1:25" x14ac:dyDescent="0.3">
      <c r="A38" s="7" t="s">
        <v>314</v>
      </c>
      <c r="B38" s="7" t="s">
        <v>348</v>
      </c>
      <c r="C38" s="7" t="s">
        <v>343</v>
      </c>
      <c r="D38" s="7" t="s">
        <v>327</v>
      </c>
      <c r="E38" s="7" t="s">
        <v>368</v>
      </c>
      <c r="F38" s="7" t="s">
        <v>367</v>
      </c>
      <c r="G38" s="6">
        <v>18580200</v>
      </c>
      <c r="H38" s="7" t="s">
        <v>134</v>
      </c>
      <c r="I38" s="7" t="s">
        <v>102</v>
      </c>
      <c r="J38" s="17">
        <v>-10393.469999999999</v>
      </c>
      <c r="K38" s="17">
        <v>3015.9999999999991</v>
      </c>
      <c r="L38" s="17">
        <v>-4980.9999999999991</v>
      </c>
      <c r="M38" s="17">
        <v>6021.9999999999991</v>
      </c>
      <c r="N38" s="17">
        <v>10</v>
      </c>
      <c r="O38" s="17">
        <v>3019.0000000000005</v>
      </c>
      <c r="P38" s="17">
        <v>-4960</v>
      </c>
      <c r="Q38" s="17">
        <v>2015.9999999999991</v>
      </c>
      <c r="R38" s="17">
        <v>3019.0000000000005</v>
      </c>
      <c r="S38" s="17">
        <v>110</v>
      </c>
      <c r="T38" s="17">
        <v>-469</v>
      </c>
      <c r="U38" s="17">
        <v>537</v>
      </c>
      <c r="V38" s="17">
        <v>-3054.47</v>
      </c>
      <c r="W38" s="11">
        <v>-3054.47</v>
      </c>
      <c r="X38" s="12">
        <v>0</v>
      </c>
      <c r="Y38">
        <f>COUNTIF(_25B[Nazwa konta],'24 Bilans Mapowanie'!H38)</f>
        <v>1</v>
      </c>
    </row>
    <row r="39" spans="1:25" x14ac:dyDescent="0.3">
      <c r="A39" s="7" t="s">
        <v>314</v>
      </c>
      <c r="B39" s="7" t="s">
        <v>348</v>
      </c>
      <c r="C39" s="7" t="s">
        <v>343</v>
      </c>
      <c r="D39" s="7" t="s">
        <v>327</v>
      </c>
      <c r="E39" s="7" t="s">
        <v>368</v>
      </c>
      <c r="F39" s="7" t="s">
        <v>367</v>
      </c>
      <c r="G39" s="6">
        <v>19000000</v>
      </c>
      <c r="H39" s="7" t="s">
        <v>135</v>
      </c>
      <c r="I39" s="7" t="s">
        <v>102</v>
      </c>
      <c r="J39" s="17">
        <v>-5799.08</v>
      </c>
      <c r="K39" s="17">
        <v>2574.92</v>
      </c>
      <c r="L39" s="17">
        <v>-916.40999999999985</v>
      </c>
      <c r="M39" s="17">
        <v>-2583</v>
      </c>
      <c r="N39" s="17">
        <v>2932.7999999999997</v>
      </c>
      <c r="O39" s="17">
        <v>3000</v>
      </c>
      <c r="P39" s="17">
        <v>-3834.6699999999996</v>
      </c>
      <c r="Q39" s="17">
        <v>815.11999999999944</v>
      </c>
      <c r="R39" s="17">
        <v>-3112.4500000000003</v>
      </c>
      <c r="S39" s="17">
        <v>6665.71</v>
      </c>
      <c r="T39" s="17">
        <v>-389.7800000000002</v>
      </c>
      <c r="U39" s="17">
        <v>-3477.44</v>
      </c>
      <c r="V39" s="17">
        <v>-4124.2800000000007</v>
      </c>
      <c r="W39" s="11">
        <v>-4124.2800000000007</v>
      </c>
      <c r="X39" s="12">
        <v>0</v>
      </c>
      <c r="Y39">
        <f>COUNTIF(_25B[Nazwa konta],'24 Bilans Mapowanie'!H39)</f>
        <v>1</v>
      </c>
    </row>
    <row r="40" spans="1:25" x14ac:dyDescent="0.3">
      <c r="A40" s="7" t="s">
        <v>314</v>
      </c>
      <c r="B40" s="7" t="s">
        <v>348</v>
      </c>
      <c r="C40" s="7" t="s">
        <v>343</v>
      </c>
      <c r="D40" s="7" t="s">
        <v>327</v>
      </c>
      <c r="E40" s="7" t="s">
        <v>368</v>
      </c>
      <c r="F40" s="7" t="s">
        <v>367</v>
      </c>
      <c r="G40" s="6">
        <v>19002000</v>
      </c>
      <c r="H40" s="7" t="s">
        <v>136</v>
      </c>
      <c r="I40" s="7" t="s">
        <v>102</v>
      </c>
      <c r="J40" s="17">
        <v>-5000</v>
      </c>
      <c r="K40" s="17">
        <v>-21476</v>
      </c>
      <c r="L40" s="17">
        <v>9187.68</v>
      </c>
      <c r="M40" s="17">
        <v>-6165.2200000000012</v>
      </c>
      <c r="N40" s="17">
        <v>-21527.5</v>
      </c>
      <c r="O40" s="17">
        <v>-532.72999999999593</v>
      </c>
      <c r="P40" s="17">
        <v>6828.2799999999988</v>
      </c>
      <c r="Q40" s="17">
        <v>0</v>
      </c>
      <c r="R40" s="17">
        <v>-2261.4700000000012</v>
      </c>
      <c r="S40" s="17">
        <v>26046.239999999998</v>
      </c>
      <c r="T40" s="17">
        <v>6917.82</v>
      </c>
      <c r="U40" s="17">
        <v>7982.8999999904627</v>
      </c>
      <c r="V40" s="17">
        <v>-9.5387804321944714E-9</v>
      </c>
      <c r="W40" s="11">
        <v>-9.5387804321944714E-9</v>
      </c>
      <c r="X40" s="12">
        <v>0</v>
      </c>
      <c r="Y40">
        <f>COUNTIF(_25B[Nazwa konta],'24 Bilans Mapowanie'!H40)</f>
        <v>1</v>
      </c>
    </row>
    <row r="41" spans="1:25" x14ac:dyDescent="0.3">
      <c r="A41" s="7" t="s">
        <v>315</v>
      </c>
      <c r="B41" s="7" t="s">
        <v>346</v>
      </c>
      <c r="C41" s="7" t="s">
        <v>332</v>
      </c>
      <c r="D41" s="7" t="s">
        <v>101</v>
      </c>
      <c r="E41" s="7"/>
      <c r="F41" s="7"/>
      <c r="G41" s="6">
        <v>20000000</v>
      </c>
      <c r="H41" s="7" t="s">
        <v>137</v>
      </c>
      <c r="I41" s="7" t="s">
        <v>102</v>
      </c>
      <c r="J41" s="17">
        <v>50000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50000</v>
      </c>
      <c r="W41" s="11">
        <v>50000</v>
      </c>
      <c r="X41" s="12">
        <v>0</v>
      </c>
      <c r="Y41">
        <f>COUNTIF(_25B[Nazwa konta],'24 Bilans Mapowanie'!H41)</f>
        <v>1</v>
      </c>
    </row>
    <row r="42" spans="1:25" x14ac:dyDescent="0.3">
      <c r="A42" s="7" t="s">
        <v>315</v>
      </c>
      <c r="B42" s="7" t="s">
        <v>346</v>
      </c>
      <c r="C42" s="7" t="s">
        <v>333</v>
      </c>
      <c r="D42" s="7" t="s">
        <v>101</v>
      </c>
      <c r="E42" s="7"/>
      <c r="F42" s="7"/>
      <c r="G42" s="6">
        <v>21000000</v>
      </c>
      <c r="H42" s="7" t="s">
        <v>138</v>
      </c>
      <c r="I42" s="7" t="s">
        <v>102</v>
      </c>
      <c r="J42" s="17">
        <v>1256953.78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635497.26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1892451.04</v>
      </c>
      <c r="W42" s="11">
        <v>1892451.04</v>
      </c>
      <c r="X42" s="12">
        <v>0</v>
      </c>
      <c r="Y42">
        <f>COUNTIF(_25B[Nazwa konta],'24 Bilans Mapowanie'!H42)</f>
        <v>1</v>
      </c>
    </row>
    <row r="43" spans="1:25" x14ac:dyDescent="0.3">
      <c r="A43" s="7" t="s">
        <v>315</v>
      </c>
      <c r="B43" s="7" t="s">
        <v>346</v>
      </c>
      <c r="C43" s="7" t="s">
        <v>333</v>
      </c>
      <c r="D43" s="7" t="s">
        <v>101</v>
      </c>
      <c r="E43" s="7"/>
      <c r="F43" s="7"/>
      <c r="G43" s="6">
        <v>21500000</v>
      </c>
      <c r="H43" s="7" t="s">
        <v>139</v>
      </c>
      <c r="I43" s="7" t="s">
        <v>102</v>
      </c>
      <c r="J43" s="17">
        <v>650798.11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-635497.26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15300.849999999977</v>
      </c>
      <c r="W43" s="11">
        <v>15300.849999999977</v>
      </c>
      <c r="X43" s="12">
        <v>0</v>
      </c>
      <c r="Y43">
        <f>COUNTIF(_25B[Nazwa konta],'24 Bilans Mapowanie'!H43)</f>
        <v>1</v>
      </c>
    </row>
    <row r="44" spans="1:25" x14ac:dyDescent="0.3">
      <c r="A44" s="7" t="s">
        <v>315</v>
      </c>
      <c r="B44" s="7" t="s">
        <v>347</v>
      </c>
      <c r="C44" s="7" t="s">
        <v>344</v>
      </c>
      <c r="D44" s="7" t="s">
        <v>329</v>
      </c>
      <c r="E44" s="7" t="s">
        <v>360</v>
      </c>
      <c r="F44" s="7"/>
      <c r="G44" s="6">
        <v>30500000</v>
      </c>
      <c r="H44" s="7" t="s">
        <v>140</v>
      </c>
      <c r="I44" s="7" t="s">
        <v>102</v>
      </c>
      <c r="J44" s="17">
        <v>431910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83398</v>
      </c>
      <c r="V44" s="17">
        <v>515308</v>
      </c>
      <c r="W44" s="11">
        <v>515308</v>
      </c>
      <c r="X44" s="12">
        <v>0</v>
      </c>
      <c r="Y44">
        <f>COUNTIF(_25B[Nazwa konta],'24 Bilans Mapowanie'!H44)</f>
        <v>1</v>
      </c>
    </row>
    <row r="45" spans="1:25" x14ac:dyDescent="0.3">
      <c r="A45" s="7" t="s">
        <v>315</v>
      </c>
      <c r="B45" s="7" t="s">
        <v>347</v>
      </c>
      <c r="C45" s="7" t="s">
        <v>344</v>
      </c>
      <c r="D45" s="7" t="s">
        <v>330</v>
      </c>
      <c r="E45" s="7" t="s">
        <v>361</v>
      </c>
      <c r="F45" s="7"/>
      <c r="G45" s="6">
        <v>33506033</v>
      </c>
      <c r="H45" s="7" t="s">
        <v>141</v>
      </c>
      <c r="I45" s="7" t="s">
        <v>102</v>
      </c>
      <c r="J45" s="17">
        <v>1731688</v>
      </c>
      <c r="K45" s="17">
        <v>0</v>
      </c>
      <c r="L45" s="17">
        <v>0</v>
      </c>
      <c r="M45" s="17">
        <v>0</v>
      </c>
      <c r="N45" s="17">
        <v>-1693374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1419719</v>
      </c>
      <c r="V45" s="17">
        <v>1458033</v>
      </c>
      <c r="W45" s="11">
        <v>1458033</v>
      </c>
      <c r="X45" s="12">
        <v>0</v>
      </c>
      <c r="Y45">
        <f>COUNTIF(_25B[Nazwa konta],'24 Bilans Mapowanie'!H45)</f>
        <v>1</v>
      </c>
    </row>
    <row r="46" spans="1:25" x14ac:dyDescent="0.3">
      <c r="A46" s="7" t="s">
        <v>315</v>
      </c>
      <c r="B46" s="7" t="s">
        <v>347</v>
      </c>
      <c r="C46" s="7" t="s">
        <v>344</v>
      </c>
      <c r="D46" s="7" t="s">
        <v>330</v>
      </c>
      <c r="E46" s="7" t="s">
        <v>360</v>
      </c>
      <c r="F46" s="7"/>
      <c r="G46" s="6">
        <v>33506050</v>
      </c>
      <c r="H46" s="7" t="s">
        <v>142</v>
      </c>
      <c r="I46" s="7" t="s">
        <v>102</v>
      </c>
      <c r="J46" s="17">
        <v>767709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-26873.41</v>
      </c>
      <c r="V46" s="17">
        <v>740835.59</v>
      </c>
      <c r="W46" s="11">
        <v>740835.59</v>
      </c>
      <c r="X46" s="12">
        <v>0</v>
      </c>
      <c r="Y46">
        <f>COUNTIF(_25B[Nazwa konta],'24 Bilans Mapowanie'!H46)</f>
        <v>1</v>
      </c>
    </row>
    <row r="47" spans="1:25" x14ac:dyDescent="0.3">
      <c r="A47" s="7" t="s">
        <v>315</v>
      </c>
      <c r="B47" s="7" t="s">
        <v>347</v>
      </c>
      <c r="C47" s="7" t="s">
        <v>345</v>
      </c>
      <c r="D47" s="7" t="s">
        <v>337</v>
      </c>
      <c r="E47" s="7" t="s">
        <v>363</v>
      </c>
      <c r="F47" s="7"/>
      <c r="G47" s="6">
        <v>33506000</v>
      </c>
      <c r="H47" s="7" t="s">
        <v>173</v>
      </c>
      <c r="I47" s="7" t="s">
        <v>102</v>
      </c>
      <c r="J47" s="17">
        <v>53</v>
      </c>
      <c r="K47" s="17">
        <v>3382.66</v>
      </c>
      <c r="L47" s="17">
        <v>106</v>
      </c>
      <c r="M47" s="17">
        <v>-682197.48</v>
      </c>
      <c r="N47" s="17">
        <v>682234.17999999993</v>
      </c>
      <c r="O47" s="17">
        <v>123.42000000000007</v>
      </c>
      <c r="P47" s="17">
        <v>-2706.67</v>
      </c>
      <c r="Q47" s="17">
        <v>-754052.84</v>
      </c>
      <c r="R47" s="17">
        <v>748405.94</v>
      </c>
      <c r="S47" s="17">
        <v>4651.79</v>
      </c>
      <c r="T47" s="17">
        <v>-12.410000000183913</v>
      </c>
      <c r="U47" s="17">
        <v>12.409999999887077</v>
      </c>
      <c r="V47" s="17">
        <v>-3.3412561606382951E-10</v>
      </c>
      <c r="W47" s="11">
        <v>-3.3412561606382951E-10</v>
      </c>
      <c r="X47" s="12">
        <v>0</v>
      </c>
      <c r="Y47">
        <f>COUNTIF(_25B[Nazwa konta],'24 Bilans Mapowanie'!H47)</f>
        <v>1</v>
      </c>
    </row>
    <row r="48" spans="1:25" x14ac:dyDescent="0.3">
      <c r="A48" s="7" t="s">
        <v>315</v>
      </c>
      <c r="B48" s="7" t="s">
        <v>347</v>
      </c>
      <c r="C48" s="7" t="s">
        <v>344</v>
      </c>
      <c r="D48" s="7" t="s">
        <v>330</v>
      </c>
      <c r="E48" s="7" t="s">
        <v>360</v>
      </c>
      <c r="F48" s="7"/>
      <c r="G48" s="6">
        <v>34014000</v>
      </c>
      <c r="H48" s="7" t="s">
        <v>143</v>
      </c>
      <c r="I48" s="7" t="s">
        <v>102</v>
      </c>
      <c r="J48" s="17">
        <v>17750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9600</v>
      </c>
      <c r="V48" s="17">
        <v>27350</v>
      </c>
      <c r="W48" s="11">
        <v>27350</v>
      </c>
      <c r="X48" s="12">
        <v>0</v>
      </c>
      <c r="Y48">
        <f>COUNTIF(_25B[Nazwa konta],'24 Bilans Mapowanie'!H48)</f>
        <v>1</v>
      </c>
    </row>
    <row r="49" spans="1:25" x14ac:dyDescent="0.3">
      <c r="A49" s="7" t="s">
        <v>315</v>
      </c>
      <c r="B49" s="7" t="s">
        <v>347</v>
      </c>
      <c r="C49" s="7" t="s">
        <v>345</v>
      </c>
      <c r="D49" s="7" t="s">
        <v>331</v>
      </c>
      <c r="E49" s="7" t="s">
        <v>362</v>
      </c>
      <c r="F49" s="7" t="s">
        <v>364</v>
      </c>
      <c r="G49" s="6">
        <v>34500000</v>
      </c>
      <c r="H49" s="7" t="s">
        <v>144</v>
      </c>
      <c r="I49" s="7" t="s">
        <v>102</v>
      </c>
      <c r="J49" s="17">
        <v>58587.33</v>
      </c>
      <c r="K49" s="17">
        <v>-75500.95</v>
      </c>
      <c r="L49" s="17">
        <v>27423.46</v>
      </c>
      <c r="M49" s="17">
        <v>-47190.7</v>
      </c>
      <c r="N49" s="17">
        <v>276719.25</v>
      </c>
      <c r="O49" s="17">
        <v>-158920.88</v>
      </c>
      <c r="P49" s="17">
        <v>-60292.429999999993</v>
      </c>
      <c r="Q49" s="17">
        <v>-33969.5</v>
      </c>
      <c r="R49" s="17">
        <v>29761.68</v>
      </c>
      <c r="S49" s="17">
        <v>-12177.21</v>
      </c>
      <c r="T49" s="17">
        <v>-24530.399999999958</v>
      </c>
      <c r="U49" s="17">
        <v>107090.49000000002</v>
      </c>
      <c r="V49" s="17">
        <v>87000.140000000072</v>
      </c>
      <c r="W49" s="11">
        <v>87000.140000000072</v>
      </c>
      <c r="X49" s="12">
        <v>0</v>
      </c>
      <c r="Y49">
        <f>COUNTIF(_25B[Nazwa konta],'24 Bilans Mapowanie'!H49)</f>
        <v>1</v>
      </c>
    </row>
    <row r="50" spans="1:25" x14ac:dyDescent="0.3">
      <c r="A50" s="7" t="s">
        <v>315</v>
      </c>
      <c r="B50" s="7" t="s">
        <v>347</v>
      </c>
      <c r="C50" s="7" t="s">
        <v>345</v>
      </c>
      <c r="D50" s="7" t="s">
        <v>331</v>
      </c>
      <c r="E50" s="7" t="s">
        <v>362</v>
      </c>
      <c r="F50" s="7" t="s">
        <v>364</v>
      </c>
      <c r="G50" s="6">
        <v>34504000</v>
      </c>
      <c r="H50" s="7" t="s">
        <v>177</v>
      </c>
      <c r="I50" s="7" t="s">
        <v>102</v>
      </c>
      <c r="J50" s="17">
        <v>38051.43</v>
      </c>
      <c r="K50" s="17">
        <v>-38051.43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56387.399999999994</v>
      </c>
      <c r="V50" s="17">
        <v>56387.399999999994</v>
      </c>
      <c r="W50" s="11">
        <v>56387.399999999994</v>
      </c>
      <c r="X50" s="12">
        <v>0</v>
      </c>
      <c r="Y50">
        <f>COUNTIF(_25B[Nazwa konta],'24 Bilans Mapowanie'!H50)</f>
        <v>1</v>
      </c>
    </row>
    <row r="51" spans="1:25" x14ac:dyDescent="0.3">
      <c r="A51" s="7" t="s">
        <v>314</v>
      </c>
      <c r="B51" s="7" t="s">
        <v>348</v>
      </c>
      <c r="C51" s="7" t="s">
        <v>342</v>
      </c>
      <c r="D51" s="7" t="s">
        <v>335</v>
      </c>
      <c r="E51" s="7" t="s">
        <v>355</v>
      </c>
      <c r="F51" s="7"/>
      <c r="G51" s="6">
        <v>34515000</v>
      </c>
      <c r="H51" s="7" t="s">
        <v>178</v>
      </c>
      <c r="I51" s="7" t="s">
        <v>102</v>
      </c>
      <c r="J51" s="17">
        <v>-93807.9</v>
      </c>
      <c r="K51" s="17">
        <v>93807.9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1">
        <v>0</v>
      </c>
      <c r="X51" s="12">
        <v>0</v>
      </c>
      <c r="Y51">
        <f>COUNTIF(_25B[Nazwa konta],'24 Bilans Mapowanie'!H51)</f>
        <v>1</v>
      </c>
    </row>
    <row r="52" spans="1:25" x14ac:dyDescent="0.3">
      <c r="A52" s="7" t="s">
        <v>314</v>
      </c>
      <c r="B52" s="7" t="s">
        <v>348</v>
      </c>
      <c r="C52" s="7" t="s">
        <v>342</v>
      </c>
      <c r="D52" s="7" t="s">
        <v>325</v>
      </c>
      <c r="E52" s="7" t="s">
        <v>354</v>
      </c>
      <c r="F52" s="7" t="s">
        <v>364</v>
      </c>
      <c r="G52" s="6">
        <v>34550000</v>
      </c>
      <c r="H52" s="7" t="s">
        <v>145</v>
      </c>
      <c r="I52" s="7" t="s">
        <v>102</v>
      </c>
      <c r="J52" s="17">
        <v>0</v>
      </c>
      <c r="K52" s="17">
        <v>0</v>
      </c>
      <c r="L52" s="17">
        <v>107503.79</v>
      </c>
      <c r="M52" s="17">
        <v>1231452.96</v>
      </c>
      <c r="N52" s="17">
        <v>-1338956.75</v>
      </c>
      <c r="O52" s="17">
        <v>0</v>
      </c>
      <c r="P52" s="17">
        <v>23375.94</v>
      </c>
      <c r="Q52" s="17">
        <v>-13421.14</v>
      </c>
      <c r="R52" s="17">
        <v>-9954.7999999999993</v>
      </c>
      <c r="S52" s="17">
        <v>66921.679999999993</v>
      </c>
      <c r="T52" s="17">
        <v>-64469.849999999933</v>
      </c>
      <c r="U52" s="17">
        <v>-2451.8299999999908</v>
      </c>
      <c r="V52" s="17">
        <v>6.9121597334742546E-11</v>
      </c>
      <c r="W52" s="11">
        <v>6.9121597334742546E-11</v>
      </c>
      <c r="X52" s="12">
        <v>0</v>
      </c>
      <c r="Y52">
        <f>COUNTIF(_25B[Nazwa konta],'24 Bilans Mapowanie'!H52)</f>
        <v>1</v>
      </c>
    </row>
    <row r="53" spans="1:25" x14ac:dyDescent="0.3">
      <c r="A53" s="7" t="s">
        <v>315</v>
      </c>
      <c r="B53" s="7" t="s">
        <v>347</v>
      </c>
      <c r="C53" s="7" t="s">
        <v>345</v>
      </c>
      <c r="D53" s="7" t="s">
        <v>331</v>
      </c>
      <c r="E53" s="7" t="s">
        <v>362</v>
      </c>
      <c r="F53" s="7" t="s">
        <v>364</v>
      </c>
      <c r="G53" s="6">
        <v>34550999</v>
      </c>
      <c r="H53" s="7" t="s">
        <v>146</v>
      </c>
      <c r="I53" s="7" t="s">
        <v>102</v>
      </c>
      <c r="J53" s="17">
        <v>29.08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-29.08</v>
      </c>
      <c r="V53" s="17">
        <v>0</v>
      </c>
      <c r="W53" s="11">
        <v>0</v>
      </c>
      <c r="X53" s="12">
        <v>0</v>
      </c>
      <c r="Y53">
        <f>COUNTIF(_25B[Nazwa konta],'24 Bilans Mapowanie'!H53)</f>
        <v>1</v>
      </c>
    </row>
    <row r="54" spans="1:25" x14ac:dyDescent="0.3">
      <c r="A54" s="7" t="s">
        <v>315</v>
      </c>
      <c r="B54" s="7" t="s">
        <v>347</v>
      </c>
      <c r="C54" s="7" t="s">
        <v>345</v>
      </c>
      <c r="D54" s="7" t="s">
        <v>331</v>
      </c>
      <c r="E54" s="7" t="s">
        <v>358</v>
      </c>
      <c r="F54" s="7"/>
      <c r="G54" s="6">
        <v>35002010</v>
      </c>
      <c r="H54" s="7" t="s">
        <v>148</v>
      </c>
      <c r="I54" s="7" t="s">
        <v>102</v>
      </c>
      <c r="J54" s="17">
        <v>1102.78</v>
      </c>
      <c r="K54" s="17">
        <v>256.48</v>
      </c>
      <c r="L54" s="17">
        <v>325.18000000000006</v>
      </c>
      <c r="M54" s="17">
        <v>512.96</v>
      </c>
      <c r="N54" s="17">
        <v>-93.180000000000291</v>
      </c>
      <c r="O54" s="17">
        <v>47461.02</v>
      </c>
      <c r="P54" s="17">
        <v>13678.480000000003</v>
      </c>
      <c r="Q54" s="17">
        <v>822.97000000000116</v>
      </c>
      <c r="R54" s="17">
        <v>22266.729999999996</v>
      </c>
      <c r="S54" s="17">
        <v>258.27999999999884</v>
      </c>
      <c r="T54" s="17">
        <v>258.12</v>
      </c>
      <c r="U54" s="17">
        <v>272.02</v>
      </c>
      <c r="V54" s="17">
        <v>87121.84</v>
      </c>
      <c r="W54" s="11">
        <v>87121.84</v>
      </c>
      <c r="X54" s="12">
        <v>0</v>
      </c>
      <c r="Y54">
        <f>COUNTIF(_25B[Nazwa konta],'24 Bilans Mapowanie'!H54)</f>
        <v>1</v>
      </c>
    </row>
    <row r="55" spans="1:25" x14ac:dyDescent="0.3">
      <c r="A55" s="7" t="s">
        <v>315</v>
      </c>
      <c r="B55" s="7" t="s">
        <v>347</v>
      </c>
      <c r="C55" s="7" t="s">
        <v>345</v>
      </c>
      <c r="D55" s="7" t="s">
        <v>331</v>
      </c>
      <c r="E55" s="7" t="s">
        <v>358</v>
      </c>
      <c r="F55" s="7"/>
      <c r="G55" s="6">
        <v>35002100</v>
      </c>
      <c r="H55" s="7" t="s">
        <v>149</v>
      </c>
      <c r="I55" s="7" t="s">
        <v>102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65.2</v>
      </c>
      <c r="T55" s="17">
        <v>103.69</v>
      </c>
      <c r="U55" s="17">
        <v>68</v>
      </c>
      <c r="V55" s="17">
        <v>236.89</v>
      </c>
      <c r="W55" s="11">
        <v>236.89</v>
      </c>
      <c r="X55" s="12">
        <v>0</v>
      </c>
      <c r="Y55">
        <f>COUNTIF(_25B[Nazwa konta],'24 Bilans Mapowanie'!H55)</f>
        <v>1</v>
      </c>
    </row>
    <row r="56" spans="1:25" x14ac:dyDescent="0.3">
      <c r="A56" s="7" t="s">
        <v>315</v>
      </c>
      <c r="B56" s="7" t="s">
        <v>347</v>
      </c>
      <c r="C56" s="7" t="s">
        <v>345</v>
      </c>
      <c r="D56" s="7" t="s">
        <v>331</v>
      </c>
      <c r="E56" s="7" t="s">
        <v>358</v>
      </c>
      <c r="F56" s="7"/>
      <c r="G56" s="6">
        <v>35004001</v>
      </c>
      <c r="H56" s="7" t="s">
        <v>150</v>
      </c>
      <c r="I56" s="7" t="s">
        <v>102</v>
      </c>
      <c r="J56" s="17">
        <v>90737</v>
      </c>
      <c r="K56" s="17">
        <v>-1448</v>
      </c>
      <c r="L56" s="17">
        <v>1816</v>
      </c>
      <c r="M56" s="17">
        <v>-91105</v>
      </c>
      <c r="N56" s="17">
        <v>267860</v>
      </c>
      <c r="O56" s="17">
        <v>-131887</v>
      </c>
      <c r="P56" s="17">
        <v>-15065</v>
      </c>
      <c r="Q56" s="17">
        <v>-120908</v>
      </c>
      <c r="R56" s="17">
        <v>115651</v>
      </c>
      <c r="S56" s="17">
        <v>-159</v>
      </c>
      <c r="T56" s="17">
        <v>13827</v>
      </c>
      <c r="U56" s="17">
        <v>-129319</v>
      </c>
      <c r="V56" s="17">
        <v>0</v>
      </c>
      <c r="W56" s="11">
        <v>0</v>
      </c>
      <c r="X56" s="12">
        <v>0</v>
      </c>
      <c r="Y56">
        <f>COUNTIF(_25B[Nazwa konta],'24 Bilans Mapowanie'!H56)</f>
        <v>1</v>
      </c>
    </row>
    <row r="57" spans="1:25" x14ac:dyDescent="0.3">
      <c r="A57" s="7" t="s">
        <v>315</v>
      </c>
      <c r="B57" s="7" t="s">
        <v>347</v>
      </c>
      <c r="C57" s="7" t="s">
        <v>345</v>
      </c>
      <c r="D57" s="7" t="s">
        <v>331</v>
      </c>
      <c r="E57" s="7" t="s">
        <v>358</v>
      </c>
      <c r="F57" s="7"/>
      <c r="G57" s="6">
        <v>35006000</v>
      </c>
      <c r="H57" s="7" t="s">
        <v>151</v>
      </c>
      <c r="I57" s="7" t="s">
        <v>102</v>
      </c>
      <c r="J57" s="17">
        <v>352824.99</v>
      </c>
      <c r="K57" s="17">
        <v>-1026.289999999979</v>
      </c>
      <c r="L57" s="17">
        <v>-7579.2000000000116</v>
      </c>
      <c r="M57" s="17">
        <v>-344219.5</v>
      </c>
      <c r="N57" s="17">
        <v>892880.01</v>
      </c>
      <c r="O57" s="17">
        <v>-491438.28</v>
      </c>
      <c r="P57" s="17">
        <v>-81610.909999999974</v>
      </c>
      <c r="Q57" s="17">
        <v>-319830.82</v>
      </c>
      <c r="R57" s="17">
        <v>331739.46000000002</v>
      </c>
      <c r="S57" s="17">
        <v>-33984.48000000004</v>
      </c>
      <c r="T57" s="17">
        <v>-3757.6800000001376</v>
      </c>
      <c r="U57" s="17">
        <v>-293997.30000000045</v>
      </c>
      <c r="V57" s="17">
        <v>-5.8207660913467407E-10</v>
      </c>
      <c r="W57" s="11">
        <v>-5.8207660913467407E-10</v>
      </c>
      <c r="X57" s="12">
        <v>0</v>
      </c>
      <c r="Y57">
        <f>COUNTIF(_25B[Nazwa konta],'24 Bilans Mapowanie'!H57)</f>
        <v>1</v>
      </c>
    </row>
    <row r="58" spans="1:25" x14ac:dyDescent="0.3">
      <c r="A58" s="7" t="s">
        <v>314</v>
      </c>
      <c r="B58" s="7" t="s">
        <v>317</v>
      </c>
      <c r="C58" s="7" t="s">
        <v>341</v>
      </c>
      <c r="D58" s="7" t="s">
        <v>321</v>
      </c>
      <c r="E58" s="7"/>
      <c r="F58" s="7"/>
      <c r="G58" s="6">
        <v>36500010</v>
      </c>
      <c r="H58" s="7" t="s">
        <v>152</v>
      </c>
      <c r="I58" s="7" t="s">
        <v>102</v>
      </c>
      <c r="J58" s="17">
        <v>-122.99</v>
      </c>
      <c r="K58" s="17">
        <v>0</v>
      </c>
      <c r="L58" s="17">
        <v>-2.0000000000010232E-2</v>
      </c>
      <c r="M58" s="17">
        <v>0.15000000000000568</v>
      </c>
      <c r="N58" s="17">
        <v>0</v>
      </c>
      <c r="O58" s="17">
        <v>-7.9999999999998295E-2</v>
      </c>
      <c r="P58" s="17">
        <v>0.50999999999999091</v>
      </c>
      <c r="Q58" s="17">
        <v>-1.9999999999996021E-2</v>
      </c>
      <c r="R58" s="17">
        <v>0</v>
      </c>
      <c r="S58" s="17">
        <v>1.230000000000004</v>
      </c>
      <c r="T58" s="17">
        <v>-2.9999999999998438E-2</v>
      </c>
      <c r="U58" s="17">
        <v>0.04</v>
      </c>
      <c r="V58" s="17">
        <v>-121.21</v>
      </c>
      <c r="W58" s="11">
        <v>-121.21</v>
      </c>
      <c r="X58" s="12">
        <v>0</v>
      </c>
      <c r="Y58">
        <f>COUNTIF(_25B[Nazwa konta],'24 Bilans Mapowanie'!H58)</f>
        <v>1</v>
      </c>
    </row>
    <row r="59" spans="1:25" x14ac:dyDescent="0.3">
      <c r="A59" s="7" t="s">
        <v>315</v>
      </c>
      <c r="B59" s="7" t="s">
        <v>347</v>
      </c>
      <c r="C59" s="7" t="s">
        <v>345</v>
      </c>
      <c r="D59" s="7" t="s">
        <v>335</v>
      </c>
      <c r="E59" s="7"/>
      <c r="F59" s="7"/>
      <c r="G59" s="6">
        <v>16000000</v>
      </c>
      <c r="H59" s="7" t="s">
        <v>180</v>
      </c>
      <c r="I59" s="7" t="s">
        <v>102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>
        <v>0</v>
      </c>
      <c r="U59" s="7">
        <v>5419</v>
      </c>
      <c r="V59" s="17">
        <v>5419</v>
      </c>
      <c r="W59" s="11">
        <v>5419</v>
      </c>
      <c r="X59" s="12">
        <v>0</v>
      </c>
      <c r="Y59">
        <f>COUNTIF(_25B[Nazwa konta],'24 Bilans Mapowanie'!H59)</f>
        <v>1</v>
      </c>
    </row>
    <row r="60" spans="1:25" x14ac:dyDescent="0.3">
      <c r="A60" s="7" t="s">
        <v>314</v>
      </c>
      <c r="B60" s="7" t="s">
        <v>348</v>
      </c>
      <c r="C60" s="7" t="s">
        <v>342</v>
      </c>
      <c r="D60" s="7" t="s">
        <v>326</v>
      </c>
      <c r="E60" s="7" t="s">
        <v>359</v>
      </c>
      <c r="F60" s="7"/>
      <c r="G60" s="6">
        <v>35002000</v>
      </c>
      <c r="H60" s="7" t="s">
        <v>147</v>
      </c>
      <c r="I60" s="7" t="s">
        <v>102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-584</v>
      </c>
      <c r="U60" s="7">
        <v>0</v>
      </c>
      <c r="V60" s="17">
        <v>-584</v>
      </c>
      <c r="W60" s="11">
        <v>-584</v>
      </c>
      <c r="X60" s="12">
        <v>0</v>
      </c>
      <c r="Y60">
        <f>COUNTIF(_25B[Nazwa konta],'24 Bilans Mapowanie'!H60)</f>
        <v>1</v>
      </c>
    </row>
    <row r="61" spans="1:25" ht="30.6" x14ac:dyDescent="0.3">
      <c r="A61" s="28" t="str">
        <f>IF(ISNUMBER(SEARCH("aktywa",B61)),"Aktywa","Pasywa")</f>
        <v>Pasywa</v>
      </c>
      <c r="B61" s="28" t="s">
        <v>346</v>
      </c>
      <c r="C61" s="37" t="s">
        <v>366</v>
      </c>
      <c r="D61" s="28"/>
      <c r="E61" s="43"/>
      <c r="F61" s="43"/>
      <c r="G61" s="44"/>
      <c r="H61" s="45" t="s">
        <v>365</v>
      </c>
      <c r="I61" s="46"/>
      <c r="J61">
        <v>379978.41000000015</v>
      </c>
      <c r="K61">
        <v>440442.24000000022</v>
      </c>
      <c r="L61">
        <v>229502.0399999998</v>
      </c>
      <c r="M61">
        <v>-6575.0100000000093</v>
      </c>
      <c r="N61">
        <v>-1787117.0700000005</v>
      </c>
      <c r="O61">
        <v>-374801.78000000026</v>
      </c>
      <c r="P61">
        <v>700535.62999999989</v>
      </c>
      <c r="Q61">
        <v>1136584.7000000002</v>
      </c>
      <c r="R61">
        <v>-1211578.8599999999</v>
      </c>
      <c r="S61">
        <v>-300040.00000000047</v>
      </c>
      <c r="T61">
        <v>-51451.929999999935</v>
      </c>
      <c r="U61">
        <v>1186810.5700000012</v>
      </c>
      <c r="V61">
        <v>342288.94000000041</v>
      </c>
      <c r="W61">
        <v>342288.94000000041</v>
      </c>
      <c r="X61">
        <v>0</v>
      </c>
      <c r="Y61">
        <f>COUNTIF(_25B[Nazwa konta],'24 Bilans Mapowanie'!H61)</f>
        <v>1</v>
      </c>
    </row>
    <row r="62" spans="1:25" x14ac:dyDescent="0.3">
      <c r="J62" s="15">
        <f>SUM(J2:J61)</f>
        <v>-1.6065314412117004E-8</v>
      </c>
      <c r="K62" s="15">
        <f t="shared" ref="K62:V62" si="0">SUM(K2:K61)</f>
        <v>1.0652001947164536E-8</v>
      </c>
      <c r="L62" s="15">
        <f t="shared" si="0"/>
        <v>-7.7707227319478989E-9</v>
      </c>
      <c r="M62" s="15">
        <f t="shared" si="0"/>
        <v>-8.1854523159563541E-11</v>
      </c>
      <c r="N62" s="15">
        <f t="shared" si="0"/>
        <v>8.149072527885437E-9</v>
      </c>
      <c r="O62" s="15">
        <f t="shared" si="0"/>
        <v>-7.5087882578372955E-9</v>
      </c>
      <c r="P62" s="15">
        <f t="shared" si="0"/>
        <v>0</v>
      </c>
      <c r="Q62" s="15">
        <f t="shared" si="0"/>
        <v>0</v>
      </c>
      <c r="R62" s="15">
        <f t="shared" si="0"/>
        <v>0</v>
      </c>
      <c r="S62" s="15">
        <f t="shared" si="0"/>
        <v>-4.6566128730773926E-10</v>
      </c>
      <c r="T62" s="15">
        <f t="shared" si="0"/>
        <v>5.4569682106375694E-10</v>
      </c>
      <c r="U62" s="15">
        <f t="shared" si="0"/>
        <v>-7.2177499532699585E-9</v>
      </c>
      <c r="V62" s="15">
        <f t="shared" si="0"/>
        <v>-2.6193447411060333E-9</v>
      </c>
    </row>
    <row r="63" spans="1:25" x14ac:dyDescent="0.3">
      <c r="J63">
        <v>-1</v>
      </c>
    </row>
    <row r="65" spans="4:6" x14ac:dyDescent="0.3">
      <c r="D65" s="7"/>
      <c r="E65" s="7"/>
      <c r="F65" s="7"/>
    </row>
  </sheetData>
  <autoFilter ref="A1:Y61" xr:uid="{A6AAC879-5F1B-472E-93E4-5D97776FEE84}"/>
  <phoneticPr fontId="12" type="noConversion"/>
  <conditionalFormatting sqref="G61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4E3E-85AD-41A0-986D-D04D17561A42}">
  <sheetPr>
    <tabColor theme="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1"/>
  </sheetPr>
  <dimension ref="A1:S170"/>
  <sheetViews>
    <sheetView topLeftCell="A2" workbookViewId="0">
      <selection activeCell="A153" sqref="A2:C153"/>
    </sheetView>
  </sheetViews>
  <sheetFormatPr defaultRowHeight="14.4" x14ac:dyDescent="0.3"/>
  <cols>
    <col min="1" max="1" width="22.88671875" bestFit="1" customWidth="1"/>
    <col min="2" max="2" width="7" bestFit="1" customWidth="1"/>
    <col min="3" max="3" width="43.77734375" bestFit="1" customWidth="1"/>
    <col min="5" max="5" width="10.33203125" bestFit="1" customWidth="1"/>
    <col min="6" max="16" width="9.5546875" bestFit="1" customWidth="1"/>
    <col min="17" max="18" width="10.33203125" bestFit="1" customWidth="1"/>
    <col min="19" max="19" width="10.77734375" bestFit="1" customWidth="1"/>
  </cols>
  <sheetData>
    <row r="1" spans="1:19" ht="15" thickBot="1" x14ac:dyDescent="0.35">
      <c r="E1" s="15">
        <f>SUM(E3:E170)</f>
        <v>2.6263293761985551E-9</v>
      </c>
      <c r="F1" s="15">
        <f t="shared" ref="F1:S1" si="0">SUM(F3:F170)</f>
        <v>1.1670664434859646E-10</v>
      </c>
      <c r="G1" s="15">
        <f t="shared" si="0"/>
        <v>5.0204107537865639E-10</v>
      </c>
      <c r="H1" s="15">
        <f t="shared" si="0"/>
        <v>-5.8207660913467407E-10</v>
      </c>
      <c r="I1" s="15">
        <f t="shared" si="0"/>
        <v>9.8953023552894592E-10</v>
      </c>
      <c r="J1" s="15">
        <f t="shared" si="0"/>
        <v>-2.3283064365386963E-10</v>
      </c>
      <c r="K1" s="15">
        <f t="shared" si="0"/>
        <v>-3.1435547498404048E-9</v>
      </c>
      <c r="L1" s="15">
        <f t="shared" si="0"/>
        <v>9.0983576228609309E-10</v>
      </c>
      <c r="M1" s="15">
        <f t="shared" si="0"/>
        <v>-4.9243809030485863E-10</v>
      </c>
      <c r="N1" s="15">
        <f t="shared" si="0"/>
        <v>9.5801091504199576E-9</v>
      </c>
      <c r="O1" s="15">
        <f t="shared" si="0"/>
        <v>-6.9521775003522635E-9</v>
      </c>
      <c r="P1" s="15">
        <f t="shared" si="0"/>
        <v>8.7486000666103791E-9</v>
      </c>
      <c r="Q1" s="15">
        <f t="shared" si="0"/>
        <v>8.6176328295550775E-9</v>
      </c>
      <c r="R1" s="15">
        <f t="shared" si="0"/>
        <v>8.6176328295550775E-9</v>
      </c>
      <c r="S1" s="15">
        <f t="shared" si="0"/>
        <v>2.3646862246096134E-11</v>
      </c>
    </row>
    <row r="2" spans="1:19" ht="41.4" thickBot="1" x14ac:dyDescent="0.35">
      <c r="A2" s="1" t="s">
        <v>0</v>
      </c>
      <c r="B2" s="2" t="s">
        <v>1</v>
      </c>
      <c r="C2" s="1" t="s">
        <v>2</v>
      </c>
      <c r="D2" s="1" t="s">
        <v>3</v>
      </c>
      <c r="E2" s="1" t="s">
        <v>196</v>
      </c>
      <c r="F2" s="1" t="s">
        <v>197</v>
      </c>
      <c r="G2" s="1" t="s">
        <v>198</v>
      </c>
      <c r="H2" s="1" t="s">
        <v>199</v>
      </c>
      <c r="I2" s="1" t="s">
        <v>200</v>
      </c>
      <c r="J2" s="1" t="s">
        <v>201</v>
      </c>
      <c r="K2" s="1" t="s">
        <v>202</v>
      </c>
      <c r="L2" s="1" t="s">
        <v>203</v>
      </c>
      <c r="M2" s="1" t="s">
        <v>204</v>
      </c>
      <c r="N2" s="1" t="s">
        <v>205</v>
      </c>
      <c r="O2" s="1" t="s">
        <v>206</v>
      </c>
      <c r="P2" s="1" t="s">
        <v>207</v>
      </c>
      <c r="Q2" s="1" t="s">
        <v>4</v>
      </c>
      <c r="R2" s="3" t="s">
        <v>208</v>
      </c>
      <c r="S2" s="4" t="s">
        <v>5</v>
      </c>
    </row>
    <row r="3" spans="1:19" hidden="1" x14ac:dyDescent="0.3">
      <c r="A3" s="5" t="s">
        <v>6</v>
      </c>
      <c r="B3" s="6">
        <v>45510000</v>
      </c>
      <c r="C3" s="7" t="s">
        <v>7</v>
      </c>
      <c r="D3" s="8" t="s">
        <v>8</v>
      </c>
      <c r="E3" s="9">
        <v>-1877205</v>
      </c>
      <c r="F3" s="9">
        <v>-1844622</v>
      </c>
      <c r="G3" s="9">
        <v>-1802379</v>
      </c>
      <c r="H3" s="9">
        <v>-1430181</v>
      </c>
      <c r="I3" s="9">
        <v>-1741817</v>
      </c>
      <c r="J3" s="9">
        <v>-1686073</v>
      </c>
      <c r="K3" s="9">
        <v>-1733363</v>
      </c>
      <c r="L3" s="9">
        <v>-1733363</v>
      </c>
      <c r="M3" s="9">
        <v>-1733363</v>
      </c>
      <c r="N3" s="9">
        <v>-1711660</v>
      </c>
      <c r="O3" s="9">
        <v>-1711660</v>
      </c>
      <c r="P3" s="9">
        <v>-3177425</v>
      </c>
      <c r="Q3" s="10">
        <f>SUM(E3:P3)</f>
        <v>-22183111</v>
      </c>
      <c r="R3" s="11">
        <v>-22183111</v>
      </c>
      <c r="S3" s="12">
        <f>Q3-R3</f>
        <v>0</v>
      </c>
    </row>
    <row r="4" spans="1:19" hidden="1" x14ac:dyDescent="0.3">
      <c r="A4" s="5" t="s">
        <v>6</v>
      </c>
      <c r="B4" s="8">
        <v>44000000</v>
      </c>
      <c r="C4" s="7" t="s">
        <v>9</v>
      </c>
      <c r="D4" s="8" t="s">
        <v>8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0">
        <f t="shared" ref="Q4:Q67" si="1">SUM(E4:P4)</f>
        <v>0</v>
      </c>
      <c r="R4" s="11">
        <v>0</v>
      </c>
      <c r="S4" s="12">
        <f t="shared" ref="S4:S67" si="2">Q4-R4</f>
        <v>0</v>
      </c>
    </row>
    <row r="5" spans="1:19" hidden="1" x14ac:dyDescent="0.3">
      <c r="A5" s="5" t="s">
        <v>6</v>
      </c>
      <c r="B5" s="13">
        <v>44000005</v>
      </c>
      <c r="C5" s="7" t="s">
        <v>10</v>
      </c>
      <c r="D5" s="8" t="s">
        <v>8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10">
        <f t="shared" si="1"/>
        <v>0</v>
      </c>
      <c r="R5" s="11">
        <v>0</v>
      </c>
      <c r="S5" s="12">
        <f t="shared" si="2"/>
        <v>0</v>
      </c>
    </row>
    <row r="6" spans="1:19" hidden="1" x14ac:dyDescent="0.3">
      <c r="A6" s="5" t="s">
        <v>6</v>
      </c>
      <c r="B6" s="13">
        <v>44006000</v>
      </c>
      <c r="C6" s="7" t="s">
        <v>11</v>
      </c>
      <c r="D6" s="8" t="s">
        <v>8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10">
        <f t="shared" si="1"/>
        <v>0</v>
      </c>
      <c r="R6" s="11">
        <v>0</v>
      </c>
      <c r="S6" s="12">
        <f t="shared" si="2"/>
        <v>0</v>
      </c>
    </row>
    <row r="7" spans="1:19" x14ac:dyDescent="0.3">
      <c r="A7" s="5" t="s">
        <v>12</v>
      </c>
      <c r="B7" s="14">
        <v>61000000</v>
      </c>
      <c r="C7" s="7" t="s">
        <v>13</v>
      </c>
      <c r="D7" s="8" t="s">
        <v>8</v>
      </c>
      <c r="E7" s="9">
        <v>926.5</v>
      </c>
      <c r="F7" s="9">
        <v>926.5</v>
      </c>
      <c r="G7" s="9">
        <v>926.5</v>
      </c>
      <c r="H7" s="9">
        <v>926.5</v>
      </c>
      <c r="I7" s="9">
        <v>926.5</v>
      </c>
      <c r="J7" s="9">
        <v>926.5</v>
      </c>
      <c r="K7" s="9">
        <v>926.5</v>
      </c>
      <c r="L7" s="9">
        <v>926.5</v>
      </c>
      <c r="M7" s="9">
        <v>926.5</v>
      </c>
      <c r="N7" s="9">
        <v>926.5</v>
      </c>
      <c r="O7" s="9">
        <v>926.5</v>
      </c>
      <c r="P7" s="9">
        <v>926.5</v>
      </c>
      <c r="Q7" s="10">
        <f t="shared" si="1"/>
        <v>11118</v>
      </c>
      <c r="R7" s="11">
        <v>11118</v>
      </c>
      <c r="S7" s="12">
        <f t="shared" si="2"/>
        <v>0</v>
      </c>
    </row>
    <row r="8" spans="1:19" x14ac:dyDescent="0.3">
      <c r="A8" s="5" t="s">
        <v>12</v>
      </c>
      <c r="B8" s="14">
        <v>61502000</v>
      </c>
      <c r="C8" s="7" t="s">
        <v>14</v>
      </c>
      <c r="D8" s="8" t="s">
        <v>8</v>
      </c>
      <c r="E8" s="9">
        <v>17326.2</v>
      </c>
      <c r="F8" s="9">
        <v>17326.2</v>
      </c>
      <c r="G8" s="9">
        <v>17326.21</v>
      </c>
      <c r="H8" s="9">
        <v>17326.199999999997</v>
      </c>
      <c r="I8" s="9">
        <v>17326.199999999997</v>
      </c>
      <c r="J8" s="9">
        <v>17326.200000000012</v>
      </c>
      <c r="K8" s="9">
        <v>17326.199999999997</v>
      </c>
      <c r="L8" s="9">
        <v>17326.199999999983</v>
      </c>
      <c r="M8" s="9">
        <v>17326.210000000021</v>
      </c>
      <c r="N8" s="9">
        <v>17326.199999999983</v>
      </c>
      <c r="O8" s="9">
        <v>17326.200000000012</v>
      </c>
      <c r="P8" s="9">
        <v>17326.200000000012</v>
      </c>
      <c r="Q8" s="10">
        <f t="shared" si="1"/>
        <v>207914.42</v>
      </c>
      <c r="R8" s="11">
        <v>207914.42</v>
      </c>
      <c r="S8" s="12">
        <f t="shared" si="2"/>
        <v>0</v>
      </c>
    </row>
    <row r="9" spans="1:19" x14ac:dyDescent="0.3">
      <c r="A9" s="5" t="s">
        <v>12</v>
      </c>
      <c r="B9" s="14">
        <v>61504000</v>
      </c>
      <c r="C9" s="7" t="s">
        <v>15</v>
      </c>
      <c r="D9" s="8" t="s">
        <v>8</v>
      </c>
      <c r="E9" s="9">
        <v>313.45999999999998</v>
      </c>
      <c r="F9" s="9">
        <v>313.45</v>
      </c>
      <c r="G9" s="9">
        <v>313.46000000000004</v>
      </c>
      <c r="H9" s="9">
        <v>313.45999999999992</v>
      </c>
      <c r="I9" s="9">
        <v>6769.34</v>
      </c>
      <c r="J9" s="9">
        <v>1604.6399999999994</v>
      </c>
      <c r="K9" s="9">
        <v>1604.6400000000012</v>
      </c>
      <c r="L9" s="9">
        <v>1604.6299999999992</v>
      </c>
      <c r="M9" s="9">
        <v>1604.6399999999994</v>
      </c>
      <c r="N9" s="9">
        <v>1604.630000000001</v>
      </c>
      <c r="O9" s="9">
        <v>1604.6299999999992</v>
      </c>
      <c r="P9" s="9">
        <v>1604.6399999999994</v>
      </c>
      <c r="Q9" s="10">
        <f t="shared" si="1"/>
        <v>19255.62</v>
      </c>
      <c r="R9" s="11">
        <v>19255.62</v>
      </c>
      <c r="S9" s="12">
        <f t="shared" si="2"/>
        <v>0</v>
      </c>
    </row>
    <row r="10" spans="1:19" x14ac:dyDescent="0.3">
      <c r="A10" s="5" t="s">
        <v>12</v>
      </c>
      <c r="B10" s="14">
        <v>61508000</v>
      </c>
      <c r="C10" s="7" t="s">
        <v>16</v>
      </c>
      <c r="D10" s="8" t="s">
        <v>8</v>
      </c>
      <c r="E10" s="9">
        <v>10218.299999999999</v>
      </c>
      <c r="F10" s="9">
        <v>8464.7900000000009</v>
      </c>
      <c r="G10" s="9">
        <v>11588.150000000001</v>
      </c>
      <c r="H10" s="9">
        <v>24240.209999999995</v>
      </c>
      <c r="I10" s="9">
        <v>459</v>
      </c>
      <c r="J10" s="9">
        <v>0</v>
      </c>
      <c r="K10" s="9">
        <v>16357.330000000002</v>
      </c>
      <c r="L10" s="9">
        <v>579</v>
      </c>
      <c r="M10" s="9">
        <v>4146.3399999999965</v>
      </c>
      <c r="N10" s="9">
        <v>12895.39</v>
      </c>
      <c r="O10" s="9">
        <v>2065.0400000000081</v>
      </c>
      <c r="P10" s="9">
        <v>11369.440000000002</v>
      </c>
      <c r="Q10" s="10">
        <f t="shared" si="1"/>
        <v>102382.99</v>
      </c>
      <c r="R10" s="11">
        <v>102382.99</v>
      </c>
      <c r="S10" s="12">
        <f t="shared" si="2"/>
        <v>0</v>
      </c>
    </row>
    <row r="11" spans="1:19" x14ac:dyDescent="0.3">
      <c r="A11" s="5" t="s">
        <v>12</v>
      </c>
      <c r="B11" s="14">
        <v>61512000</v>
      </c>
      <c r="C11" s="7" t="s">
        <v>17</v>
      </c>
      <c r="D11" s="8" t="s">
        <v>8</v>
      </c>
      <c r="E11" s="9">
        <v>965.04</v>
      </c>
      <c r="F11" s="9">
        <v>1635.1</v>
      </c>
      <c r="G11" s="9">
        <v>3421.14</v>
      </c>
      <c r="H11" s="9">
        <v>18409.02</v>
      </c>
      <c r="I11" s="9">
        <v>1749.8100000000013</v>
      </c>
      <c r="J11" s="9">
        <v>1749.7999999999993</v>
      </c>
      <c r="K11" s="9">
        <v>3748.5099999999984</v>
      </c>
      <c r="L11" s="9">
        <v>1749.8100000000049</v>
      </c>
      <c r="M11" s="9">
        <v>1749.7999999999956</v>
      </c>
      <c r="N11" s="9">
        <v>4649.8000000000029</v>
      </c>
      <c r="O11" s="9">
        <v>1749.7999999999956</v>
      </c>
      <c r="P11" s="9">
        <v>816.9800000000032</v>
      </c>
      <c r="Q11" s="10">
        <f t="shared" si="1"/>
        <v>42394.61</v>
      </c>
      <c r="R11" s="11">
        <v>42394.61</v>
      </c>
      <c r="S11" s="12">
        <f t="shared" si="2"/>
        <v>0</v>
      </c>
    </row>
    <row r="12" spans="1:19" x14ac:dyDescent="0.3">
      <c r="A12" s="5" t="s">
        <v>12</v>
      </c>
      <c r="B12" s="14">
        <v>61518000</v>
      </c>
      <c r="C12" s="7" t="s">
        <v>18</v>
      </c>
      <c r="D12" s="8" t="s">
        <v>8</v>
      </c>
      <c r="E12" s="9">
        <v>16100.98</v>
      </c>
      <c r="F12" s="9">
        <v>16101</v>
      </c>
      <c r="G12" s="9">
        <v>16100.990000000002</v>
      </c>
      <c r="H12" s="9">
        <v>13559.440000000002</v>
      </c>
      <c r="I12" s="9">
        <v>8113.5199999999895</v>
      </c>
      <c r="J12" s="9">
        <v>6162.7700000000041</v>
      </c>
      <c r="K12" s="9">
        <v>6162.4499999999971</v>
      </c>
      <c r="L12" s="9">
        <v>6162.4600000000064</v>
      </c>
      <c r="M12" s="9">
        <v>6162.4799999999959</v>
      </c>
      <c r="N12" s="9">
        <v>6162.4700000000012</v>
      </c>
      <c r="O12" s="9">
        <v>6162.4600000000064</v>
      </c>
      <c r="P12" s="9">
        <v>6162.4599999999919</v>
      </c>
      <c r="Q12" s="10">
        <f t="shared" si="1"/>
        <v>113113.48</v>
      </c>
      <c r="R12" s="11">
        <v>113113.48</v>
      </c>
      <c r="S12" s="12">
        <f t="shared" si="2"/>
        <v>0</v>
      </c>
    </row>
    <row r="13" spans="1:19" x14ac:dyDescent="0.3">
      <c r="A13" s="5" t="s">
        <v>19</v>
      </c>
      <c r="B13" s="14">
        <v>58502000</v>
      </c>
      <c r="C13" s="7" t="s">
        <v>20</v>
      </c>
      <c r="D13" s="8" t="s">
        <v>8</v>
      </c>
      <c r="E13" s="9">
        <v>4570.88</v>
      </c>
      <c r="F13" s="9">
        <v>4099.71</v>
      </c>
      <c r="G13" s="9">
        <v>4862.369999999999</v>
      </c>
      <c r="H13" s="9">
        <v>4987.16</v>
      </c>
      <c r="I13" s="9">
        <v>4558.32</v>
      </c>
      <c r="J13" s="9">
        <v>4744.18</v>
      </c>
      <c r="K13" s="9">
        <v>8241.3600000000042</v>
      </c>
      <c r="L13" s="9">
        <v>5397.1099999999933</v>
      </c>
      <c r="M13" s="9">
        <v>5554.3700000000026</v>
      </c>
      <c r="N13" s="9">
        <v>4288.7099999999991</v>
      </c>
      <c r="O13" s="9">
        <v>5699.5299999999988</v>
      </c>
      <c r="P13" s="9">
        <v>5270.5500000000029</v>
      </c>
      <c r="Q13" s="10">
        <f t="shared" si="1"/>
        <v>62274.25</v>
      </c>
      <c r="R13" s="11">
        <v>62274.25</v>
      </c>
      <c r="S13" s="12">
        <f t="shared" si="2"/>
        <v>0</v>
      </c>
    </row>
    <row r="14" spans="1:19" x14ac:dyDescent="0.3">
      <c r="A14" s="5" t="s">
        <v>19</v>
      </c>
      <c r="B14" s="14">
        <v>58502001</v>
      </c>
      <c r="C14" s="7" t="s">
        <v>21</v>
      </c>
      <c r="D14" s="8" t="s">
        <v>8</v>
      </c>
      <c r="E14" s="9">
        <v>928.32</v>
      </c>
      <c r="F14" s="9">
        <v>1511.1599999999999</v>
      </c>
      <c r="G14" s="9">
        <v>1199.06</v>
      </c>
      <c r="H14" s="9">
        <v>1726</v>
      </c>
      <c r="I14" s="9">
        <v>844.52000000000044</v>
      </c>
      <c r="J14" s="9">
        <v>966.36999999999989</v>
      </c>
      <c r="K14" s="9">
        <v>-148.65999999999985</v>
      </c>
      <c r="L14" s="9">
        <v>1216.8199999999997</v>
      </c>
      <c r="M14" s="9">
        <v>1255.33</v>
      </c>
      <c r="N14" s="9">
        <v>1280.2000000000007</v>
      </c>
      <c r="O14" s="9">
        <v>814.71999999999935</v>
      </c>
      <c r="P14" s="9">
        <v>1139.1800000000003</v>
      </c>
      <c r="Q14" s="10">
        <f t="shared" si="1"/>
        <v>12733.02</v>
      </c>
      <c r="R14" s="11">
        <v>12733.02</v>
      </c>
      <c r="S14" s="12">
        <f t="shared" si="2"/>
        <v>0</v>
      </c>
    </row>
    <row r="15" spans="1:19" x14ac:dyDescent="0.3">
      <c r="A15" s="5" t="s">
        <v>19</v>
      </c>
      <c r="B15" s="14">
        <v>58502002</v>
      </c>
      <c r="C15" s="7" t="s">
        <v>22</v>
      </c>
      <c r="D15" s="8" t="s">
        <v>8</v>
      </c>
      <c r="E15" s="9">
        <v>872.32</v>
      </c>
      <c r="F15" s="9">
        <v>5284.06</v>
      </c>
      <c r="G15" s="9">
        <v>2746.1099999999997</v>
      </c>
      <c r="H15" s="9">
        <v>10086.230000000001</v>
      </c>
      <c r="I15" s="9">
        <v>4947.5799999999981</v>
      </c>
      <c r="J15" s="9">
        <v>1981.7900000000009</v>
      </c>
      <c r="K15" s="9">
        <v>7500.2000000000007</v>
      </c>
      <c r="L15" s="9">
        <v>4769.1999999999971</v>
      </c>
      <c r="M15" s="9">
        <v>5214.3600000000006</v>
      </c>
      <c r="N15" s="9">
        <v>4125.6300000000047</v>
      </c>
      <c r="O15" s="9">
        <v>5412.4399999999951</v>
      </c>
      <c r="P15" s="9">
        <v>4570.4100000000035</v>
      </c>
      <c r="Q15" s="10">
        <f t="shared" si="1"/>
        <v>57510.33</v>
      </c>
      <c r="R15" s="11">
        <v>57510.33</v>
      </c>
      <c r="S15" s="12">
        <f t="shared" si="2"/>
        <v>0</v>
      </c>
    </row>
    <row r="16" spans="1:19" x14ac:dyDescent="0.3">
      <c r="A16" s="5" t="s">
        <v>19</v>
      </c>
      <c r="B16" s="14">
        <v>58508000</v>
      </c>
      <c r="C16" s="7" t="s">
        <v>23</v>
      </c>
      <c r="D16" s="8" t="s">
        <v>8</v>
      </c>
      <c r="E16" s="9">
        <v>3888.21</v>
      </c>
      <c r="F16" s="9">
        <v>8046.53</v>
      </c>
      <c r="G16" s="9">
        <v>5925.51</v>
      </c>
      <c r="H16" s="9">
        <v>10591.79</v>
      </c>
      <c r="I16" s="9">
        <v>3481.3299999999981</v>
      </c>
      <c r="J16" s="9">
        <v>5980.0600000000013</v>
      </c>
      <c r="K16" s="9">
        <v>5804.8000000000029</v>
      </c>
      <c r="L16" s="9">
        <v>2975.6199999999953</v>
      </c>
      <c r="M16" s="9">
        <v>28115.140000000007</v>
      </c>
      <c r="N16" s="9">
        <v>3405.8099999999977</v>
      </c>
      <c r="O16" s="9">
        <v>26075.619999999995</v>
      </c>
      <c r="P16" s="9">
        <v>5416.4600000000064</v>
      </c>
      <c r="Q16" s="10">
        <f t="shared" si="1"/>
        <v>109706.88</v>
      </c>
      <c r="R16" s="11">
        <v>109706.88</v>
      </c>
      <c r="S16" s="12">
        <f t="shared" si="2"/>
        <v>0</v>
      </c>
    </row>
    <row r="17" spans="1:19" x14ac:dyDescent="0.3">
      <c r="A17" s="5" t="s">
        <v>19</v>
      </c>
      <c r="B17" s="14">
        <v>58552002</v>
      </c>
      <c r="C17" s="7" t="s">
        <v>24</v>
      </c>
      <c r="D17" s="8" t="s">
        <v>8</v>
      </c>
      <c r="E17" s="9">
        <v>0</v>
      </c>
      <c r="F17" s="9">
        <v>13424.82</v>
      </c>
      <c r="G17" s="9">
        <v>13326.330000000002</v>
      </c>
      <c r="H17" s="9">
        <v>7673.3799999999974</v>
      </c>
      <c r="I17" s="9">
        <v>3423.1399999999994</v>
      </c>
      <c r="J17" s="9">
        <v>6973.5999999999985</v>
      </c>
      <c r="K17" s="9">
        <v>9473.0200000000041</v>
      </c>
      <c r="L17" s="9">
        <v>6485.6500000000015</v>
      </c>
      <c r="M17" s="9">
        <v>11046.429999999993</v>
      </c>
      <c r="N17" s="9">
        <v>8643.36</v>
      </c>
      <c r="O17" s="9">
        <v>13399.64</v>
      </c>
      <c r="P17" s="9">
        <v>6568.6500000000087</v>
      </c>
      <c r="Q17" s="10">
        <f t="shared" si="1"/>
        <v>100438.02</v>
      </c>
      <c r="R17" s="11">
        <v>100438.02</v>
      </c>
      <c r="S17" s="12">
        <f t="shared" si="2"/>
        <v>0</v>
      </c>
    </row>
    <row r="18" spans="1:19" x14ac:dyDescent="0.3">
      <c r="A18" s="5" t="s">
        <v>19</v>
      </c>
      <c r="B18" s="14">
        <v>58552003</v>
      </c>
      <c r="C18" s="7" t="s">
        <v>25</v>
      </c>
      <c r="D18" s="8" t="s">
        <v>8</v>
      </c>
      <c r="E18" s="9">
        <v>0</v>
      </c>
      <c r="F18" s="9">
        <v>4474.9399999999996</v>
      </c>
      <c r="G18" s="9">
        <v>4442.1099999999997</v>
      </c>
      <c r="H18" s="9">
        <v>2557.7900000000009</v>
      </c>
      <c r="I18" s="9">
        <v>1141.0399999999991</v>
      </c>
      <c r="J18" s="9">
        <v>2324.5200000000004</v>
      </c>
      <c r="K18" s="9">
        <v>3157.6499999999996</v>
      </c>
      <c r="L18" s="9">
        <v>2161.8899999999994</v>
      </c>
      <c r="M18" s="9">
        <v>3701.6400000000031</v>
      </c>
      <c r="N18" s="9">
        <v>2861.5599999999977</v>
      </c>
      <c r="O18" s="9">
        <v>4466.5299999999988</v>
      </c>
      <c r="P18" s="9">
        <v>2189.5400000000009</v>
      </c>
      <c r="Q18" s="10">
        <f t="shared" si="1"/>
        <v>33479.21</v>
      </c>
      <c r="R18" s="11">
        <v>33479.21</v>
      </c>
      <c r="S18" s="12">
        <f t="shared" si="2"/>
        <v>0</v>
      </c>
    </row>
    <row r="19" spans="1:19" x14ac:dyDescent="0.3">
      <c r="A19" s="5" t="s">
        <v>19</v>
      </c>
      <c r="B19" s="14">
        <v>58552005</v>
      </c>
      <c r="C19" s="7" t="s">
        <v>26</v>
      </c>
      <c r="D19" s="8" t="s">
        <v>8</v>
      </c>
      <c r="E19" s="9">
        <v>6578.88</v>
      </c>
      <c r="F19" s="9">
        <v>7894.13</v>
      </c>
      <c r="G19" s="9">
        <v>4979.2499999999982</v>
      </c>
      <c r="H19" s="9">
        <v>5105.1900000000023</v>
      </c>
      <c r="I19" s="9">
        <v>7660.3499999999985</v>
      </c>
      <c r="J19" s="9">
        <v>7622.119999999999</v>
      </c>
      <c r="K19" s="9">
        <v>6784.3300000000017</v>
      </c>
      <c r="L19" s="9">
        <v>3820.2699999999968</v>
      </c>
      <c r="M19" s="9">
        <v>4466.2300000000032</v>
      </c>
      <c r="N19" s="9">
        <v>13632.850000000006</v>
      </c>
      <c r="O19" s="9">
        <v>6401.2599999999948</v>
      </c>
      <c r="P19" s="9">
        <v>9230.7200000000012</v>
      </c>
      <c r="Q19" s="10">
        <f t="shared" si="1"/>
        <v>84175.58</v>
      </c>
      <c r="R19" s="11">
        <v>84175.58</v>
      </c>
      <c r="S19" s="12">
        <f t="shared" si="2"/>
        <v>0</v>
      </c>
    </row>
    <row r="20" spans="1:19" x14ac:dyDescent="0.3">
      <c r="A20" s="5" t="s">
        <v>19</v>
      </c>
      <c r="B20" s="14">
        <v>58552025</v>
      </c>
      <c r="C20" s="7" t="s">
        <v>27</v>
      </c>
      <c r="D20" s="8" t="s">
        <v>8</v>
      </c>
      <c r="E20" s="9">
        <v>2138.84</v>
      </c>
      <c r="F20" s="9">
        <v>2975.96</v>
      </c>
      <c r="G20" s="9">
        <v>1659.7200000000003</v>
      </c>
      <c r="H20" s="9">
        <v>1701.7399999999998</v>
      </c>
      <c r="I20" s="9">
        <v>2563.4300000000003</v>
      </c>
      <c r="J20" s="9">
        <v>2740.6999999999989</v>
      </c>
      <c r="K20" s="9">
        <v>2261.41</v>
      </c>
      <c r="L20" s="9">
        <v>1273.4099999999999</v>
      </c>
      <c r="M20" s="9">
        <v>1554.2299999999996</v>
      </c>
      <c r="N20" s="9">
        <v>4895.93</v>
      </c>
      <c r="O20" s="9">
        <v>2133.7100000000028</v>
      </c>
      <c r="P20" s="9">
        <v>3138.3399999999965</v>
      </c>
      <c r="Q20" s="10">
        <f t="shared" si="1"/>
        <v>29037.42</v>
      </c>
      <c r="R20" s="11">
        <v>29037.42</v>
      </c>
      <c r="S20" s="12">
        <f t="shared" si="2"/>
        <v>0</v>
      </c>
    </row>
    <row r="21" spans="1:19" x14ac:dyDescent="0.3">
      <c r="A21" s="5" t="s">
        <v>28</v>
      </c>
      <c r="B21" s="14">
        <v>53080000</v>
      </c>
      <c r="C21" s="7" t="s">
        <v>29</v>
      </c>
      <c r="D21" s="8" t="s">
        <v>8</v>
      </c>
      <c r="E21" s="9">
        <v>22.83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10">
        <f t="shared" si="1"/>
        <v>22.83</v>
      </c>
      <c r="R21" s="11">
        <v>22.83</v>
      </c>
      <c r="S21" s="12">
        <f t="shared" si="2"/>
        <v>0</v>
      </c>
    </row>
    <row r="22" spans="1:19" x14ac:dyDescent="0.3">
      <c r="A22" s="5" t="s">
        <v>28</v>
      </c>
      <c r="B22" s="14">
        <v>58500000</v>
      </c>
      <c r="C22" s="7" t="s">
        <v>30</v>
      </c>
      <c r="D22" s="8" t="s">
        <v>8</v>
      </c>
      <c r="E22" s="9">
        <v>43618.17</v>
      </c>
      <c r="F22" s="9">
        <v>6220.0900000000038</v>
      </c>
      <c r="G22" s="9">
        <v>65139.98</v>
      </c>
      <c r="H22" s="9">
        <v>37383.83</v>
      </c>
      <c r="I22" s="9">
        <v>37738.789999999979</v>
      </c>
      <c r="J22" s="9">
        <v>36686.810000000027</v>
      </c>
      <c r="K22" s="9">
        <v>36794.100000000006</v>
      </c>
      <c r="L22" s="9">
        <v>36392.289999999979</v>
      </c>
      <c r="M22" s="9">
        <v>36321.900000000023</v>
      </c>
      <c r="N22" s="9">
        <v>37209.570000000007</v>
      </c>
      <c r="O22" s="9">
        <v>37838.259999999951</v>
      </c>
      <c r="P22" s="9">
        <v>36875.410000000033</v>
      </c>
      <c r="Q22" s="10">
        <f t="shared" si="1"/>
        <v>448219.2</v>
      </c>
      <c r="R22" s="11">
        <v>448219.2</v>
      </c>
      <c r="S22" s="12">
        <f t="shared" si="2"/>
        <v>0</v>
      </c>
    </row>
    <row r="23" spans="1:19" x14ac:dyDescent="0.3">
      <c r="A23" s="5" t="s">
        <v>28</v>
      </c>
      <c r="B23" s="14">
        <v>58500010</v>
      </c>
      <c r="C23" s="7" t="s">
        <v>31</v>
      </c>
      <c r="D23" s="8" t="s">
        <v>8</v>
      </c>
      <c r="E23" s="9">
        <v>8194.9699999999993</v>
      </c>
      <c r="F23" s="9">
        <v>2573.17</v>
      </c>
      <c r="G23" s="9">
        <v>11589.29</v>
      </c>
      <c r="H23" s="9">
        <v>9158.130000000001</v>
      </c>
      <c r="I23" s="9">
        <v>9058.4900000000016</v>
      </c>
      <c r="J23" s="9">
        <v>7898.7699999999968</v>
      </c>
      <c r="K23" s="9">
        <v>8730.43</v>
      </c>
      <c r="L23" s="9">
        <v>8932.14</v>
      </c>
      <c r="M23" s="9">
        <v>8810.9700000000012</v>
      </c>
      <c r="N23" s="9">
        <v>8314.8199999999924</v>
      </c>
      <c r="O23" s="9">
        <v>9074.4900000000052</v>
      </c>
      <c r="P23" s="9">
        <v>8581.9600000000064</v>
      </c>
      <c r="Q23" s="10">
        <f t="shared" si="1"/>
        <v>100917.63</v>
      </c>
      <c r="R23" s="11">
        <v>100917.63</v>
      </c>
      <c r="S23" s="12">
        <f t="shared" si="2"/>
        <v>0</v>
      </c>
    </row>
    <row r="24" spans="1:19" x14ac:dyDescent="0.3">
      <c r="A24" s="5" t="s">
        <v>28</v>
      </c>
      <c r="B24" s="14">
        <v>58502003</v>
      </c>
      <c r="C24" s="7" t="s">
        <v>32</v>
      </c>
      <c r="D24" s="8" t="s">
        <v>8</v>
      </c>
      <c r="E24" s="9">
        <v>1876.68</v>
      </c>
      <c r="F24" s="9">
        <v>1894.43</v>
      </c>
      <c r="G24" s="9">
        <v>1894.4299999999998</v>
      </c>
      <c r="H24" s="9">
        <v>2340.5</v>
      </c>
      <c r="I24" s="9">
        <v>2102.4900000000007</v>
      </c>
      <c r="J24" s="9">
        <v>2102.4899999999998</v>
      </c>
      <c r="K24" s="9">
        <v>2102.4899999999998</v>
      </c>
      <c r="L24" s="9">
        <v>2102.4899999999998</v>
      </c>
      <c r="M24" s="9">
        <v>2102.4900000000016</v>
      </c>
      <c r="N24" s="9">
        <v>2102.489999999998</v>
      </c>
      <c r="O24" s="9">
        <v>2102.4900000000016</v>
      </c>
      <c r="P24" s="9">
        <v>2102.489999999998</v>
      </c>
      <c r="Q24" s="10">
        <f t="shared" si="1"/>
        <v>24825.96</v>
      </c>
      <c r="R24" s="11">
        <v>24825.96</v>
      </c>
      <c r="S24" s="12">
        <f t="shared" si="2"/>
        <v>0</v>
      </c>
    </row>
    <row r="25" spans="1:19" x14ac:dyDescent="0.3">
      <c r="A25" s="5" t="s">
        <v>28</v>
      </c>
      <c r="B25" s="14">
        <v>58504000</v>
      </c>
      <c r="C25" s="7" t="s">
        <v>33</v>
      </c>
      <c r="D25" s="8" t="s">
        <v>8</v>
      </c>
      <c r="E25" s="9">
        <v>2588.6799999999998</v>
      </c>
      <c r="F25" s="9">
        <v>1438.6800000000003</v>
      </c>
      <c r="G25" s="9">
        <v>1438.6799999999998</v>
      </c>
      <c r="H25" s="9">
        <v>1984.9800000000005</v>
      </c>
      <c r="I25" s="9">
        <v>2770.2099999999991</v>
      </c>
      <c r="J25" s="9">
        <v>3070.2100000000009</v>
      </c>
      <c r="K25" s="9">
        <v>1570.2099999999991</v>
      </c>
      <c r="L25" s="9">
        <v>1570.2100000000009</v>
      </c>
      <c r="M25" s="9">
        <v>1570.2099999999991</v>
      </c>
      <c r="N25" s="9">
        <v>1570.2099999999991</v>
      </c>
      <c r="O25" s="9">
        <v>1570.2100000000028</v>
      </c>
      <c r="P25" s="9">
        <v>1570.2099999999991</v>
      </c>
      <c r="Q25" s="10">
        <f t="shared" si="1"/>
        <v>22712.7</v>
      </c>
      <c r="R25" s="11">
        <v>22712.7</v>
      </c>
      <c r="S25" s="12">
        <f t="shared" si="2"/>
        <v>0</v>
      </c>
    </row>
    <row r="26" spans="1:19" x14ac:dyDescent="0.3">
      <c r="A26" s="5" t="s">
        <v>28</v>
      </c>
      <c r="B26" s="14">
        <v>58504001</v>
      </c>
      <c r="C26" s="7" t="s">
        <v>34</v>
      </c>
      <c r="D26" s="8" t="s">
        <v>8</v>
      </c>
      <c r="E26" s="9">
        <v>14370.53</v>
      </c>
      <c r="F26" s="9">
        <v>3620.9600000000009</v>
      </c>
      <c r="G26" s="9">
        <v>18678.359999999997</v>
      </c>
      <c r="H26" s="9">
        <v>11848.599999999999</v>
      </c>
      <c r="I26" s="9">
        <v>20305.130000000005</v>
      </c>
      <c r="J26" s="9">
        <v>10875.580000000002</v>
      </c>
      <c r="K26" s="9">
        <v>14371.050000000003</v>
      </c>
      <c r="L26" s="9">
        <v>10492.939999999988</v>
      </c>
      <c r="M26" s="9">
        <v>13155.200000000012</v>
      </c>
      <c r="N26" s="9">
        <v>14632.729999999981</v>
      </c>
      <c r="O26" s="9">
        <v>12723.920000000013</v>
      </c>
      <c r="P26" s="9">
        <v>12812.350000000006</v>
      </c>
      <c r="Q26" s="10">
        <f t="shared" si="1"/>
        <v>157887.35</v>
      </c>
      <c r="R26" s="11">
        <v>157887.35</v>
      </c>
      <c r="S26" s="12">
        <f t="shared" si="2"/>
        <v>0</v>
      </c>
    </row>
    <row r="27" spans="1:19" x14ac:dyDescent="0.3">
      <c r="A27" s="5" t="s">
        <v>28</v>
      </c>
      <c r="B27" s="14">
        <v>58504002</v>
      </c>
      <c r="C27" s="7" t="s">
        <v>35</v>
      </c>
      <c r="D27" s="8" t="s">
        <v>8</v>
      </c>
      <c r="E27" s="9">
        <v>8520.75</v>
      </c>
      <c r="F27" s="9">
        <v>1218.8600000000006</v>
      </c>
      <c r="G27" s="9">
        <v>8818.86</v>
      </c>
      <c r="H27" s="9">
        <v>8292.6999999999971</v>
      </c>
      <c r="I27" s="9">
        <v>6702.4199999999983</v>
      </c>
      <c r="J27" s="9">
        <v>8542.4200000000055</v>
      </c>
      <c r="K27" s="9">
        <v>9100.5299999999988</v>
      </c>
      <c r="L27" s="9">
        <v>8504.3099999999977</v>
      </c>
      <c r="M27" s="9">
        <v>9100.5300000000061</v>
      </c>
      <c r="N27" s="9">
        <v>8504.3099999999977</v>
      </c>
      <c r="O27" s="9">
        <v>8802.4199999999983</v>
      </c>
      <c r="P27" s="9">
        <v>16700.53</v>
      </c>
      <c r="Q27" s="10">
        <f t="shared" si="1"/>
        <v>102808.64</v>
      </c>
      <c r="R27" s="11">
        <v>102808.64</v>
      </c>
      <c r="S27" s="12">
        <f t="shared" si="2"/>
        <v>0</v>
      </c>
    </row>
    <row r="28" spans="1:19" x14ac:dyDescent="0.3">
      <c r="A28" s="5" t="s">
        <v>28</v>
      </c>
      <c r="B28" s="14">
        <v>58506000</v>
      </c>
      <c r="C28" s="7" t="s">
        <v>36</v>
      </c>
      <c r="D28" s="8" t="s">
        <v>8</v>
      </c>
      <c r="E28" s="9">
        <v>0</v>
      </c>
      <c r="F28" s="9">
        <v>33385</v>
      </c>
      <c r="G28" s="9">
        <v>1</v>
      </c>
      <c r="H28" s="9">
        <v>0</v>
      </c>
      <c r="I28" s="9">
        <v>0</v>
      </c>
      <c r="J28" s="9">
        <v>3</v>
      </c>
      <c r="K28" s="9">
        <v>350</v>
      </c>
      <c r="L28" s="9">
        <v>1</v>
      </c>
      <c r="M28" s="9">
        <v>192</v>
      </c>
      <c r="N28" s="9">
        <v>900</v>
      </c>
      <c r="O28" s="9">
        <v>-900</v>
      </c>
      <c r="P28" s="9">
        <v>0</v>
      </c>
      <c r="Q28" s="10">
        <f t="shared" si="1"/>
        <v>33932</v>
      </c>
      <c r="R28" s="11">
        <v>33932</v>
      </c>
      <c r="S28" s="12">
        <f t="shared" si="2"/>
        <v>0</v>
      </c>
    </row>
    <row r="29" spans="1:19" x14ac:dyDescent="0.3">
      <c r="A29" s="5" t="s">
        <v>28</v>
      </c>
      <c r="B29" s="14">
        <v>58506001</v>
      </c>
      <c r="C29" s="7" t="s">
        <v>37</v>
      </c>
      <c r="D29" s="8" t="s">
        <v>8</v>
      </c>
      <c r="E29" s="9">
        <v>28945.74</v>
      </c>
      <c r="F29" s="9">
        <v>4579.9999999999964</v>
      </c>
      <c r="G29" s="9">
        <v>9520</v>
      </c>
      <c r="H29" s="9">
        <v>4100</v>
      </c>
      <c r="I29" s="9">
        <v>3500</v>
      </c>
      <c r="J29" s="9">
        <v>3500</v>
      </c>
      <c r="K29" s="9">
        <v>3980</v>
      </c>
      <c r="L29" s="9">
        <v>3500</v>
      </c>
      <c r="M29" s="9">
        <v>3500</v>
      </c>
      <c r="N29" s="9">
        <v>3500.0000000000073</v>
      </c>
      <c r="O29" s="9">
        <v>4160</v>
      </c>
      <c r="P29" s="9">
        <v>3740</v>
      </c>
      <c r="Q29" s="10">
        <f t="shared" si="1"/>
        <v>76525.740000000005</v>
      </c>
      <c r="R29" s="11">
        <v>76525.740000000005</v>
      </c>
      <c r="S29" s="12">
        <f t="shared" si="2"/>
        <v>0</v>
      </c>
    </row>
    <row r="30" spans="1:19" x14ac:dyDescent="0.3">
      <c r="A30" s="5" t="s">
        <v>28</v>
      </c>
      <c r="B30" s="14">
        <v>58506003</v>
      </c>
      <c r="C30" s="7" t="s">
        <v>38</v>
      </c>
      <c r="D30" s="8" t="s">
        <v>8</v>
      </c>
      <c r="E30" s="9">
        <v>0</v>
      </c>
      <c r="F30" s="9">
        <v>12267.4</v>
      </c>
      <c r="G30" s="9">
        <v>12302.38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5020</v>
      </c>
      <c r="N30" s="9">
        <v>0</v>
      </c>
      <c r="O30" s="9">
        <v>0</v>
      </c>
      <c r="P30" s="9">
        <v>24800</v>
      </c>
      <c r="Q30" s="10">
        <f t="shared" si="1"/>
        <v>54389.78</v>
      </c>
      <c r="R30" s="11">
        <v>54389.78</v>
      </c>
      <c r="S30" s="12">
        <f t="shared" si="2"/>
        <v>0</v>
      </c>
    </row>
    <row r="31" spans="1:19" x14ac:dyDescent="0.3">
      <c r="A31" s="5" t="s">
        <v>28</v>
      </c>
      <c r="B31" s="14">
        <v>58506004</v>
      </c>
      <c r="C31" s="7" t="s">
        <v>39</v>
      </c>
      <c r="D31" s="8" t="s">
        <v>8</v>
      </c>
      <c r="E31" s="9">
        <v>0</v>
      </c>
      <c r="F31" s="9">
        <v>0</v>
      </c>
      <c r="G31" s="9">
        <v>0</v>
      </c>
      <c r="H31" s="9">
        <v>41544.949999999997</v>
      </c>
      <c r="I31" s="9">
        <v>0</v>
      </c>
      <c r="J31" s="9">
        <v>0</v>
      </c>
      <c r="K31" s="9">
        <v>80044.84</v>
      </c>
      <c r="L31" s="9">
        <v>0</v>
      </c>
      <c r="M31" s="9">
        <v>24470.60000000002</v>
      </c>
      <c r="N31" s="9">
        <v>0</v>
      </c>
      <c r="O31" s="9">
        <v>22658.129999999976</v>
      </c>
      <c r="P31" s="9">
        <v>15496.600000000006</v>
      </c>
      <c r="Q31" s="10">
        <f t="shared" si="1"/>
        <v>184215.12</v>
      </c>
      <c r="R31" s="11">
        <v>184215.12</v>
      </c>
      <c r="S31" s="12">
        <f t="shared" si="2"/>
        <v>0</v>
      </c>
    </row>
    <row r="32" spans="1:19" x14ac:dyDescent="0.3">
      <c r="A32" s="5" t="s">
        <v>28</v>
      </c>
      <c r="B32" s="14">
        <v>58506006</v>
      </c>
      <c r="C32" s="7" t="s">
        <v>40</v>
      </c>
      <c r="D32" s="8" t="s">
        <v>8</v>
      </c>
      <c r="E32" s="9">
        <v>6232.2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499</v>
      </c>
      <c r="M32" s="9">
        <v>0</v>
      </c>
      <c r="N32" s="9">
        <v>0</v>
      </c>
      <c r="O32" s="9">
        <v>0</v>
      </c>
      <c r="P32" s="9">
        <v>0</v>
      </c>
      <c r="Q32" s="10">
        <f t="shared" si="1"/>
        <v>6731.2</v>
      </c>
      <c r="R32" s="11">
        <v>6731.2</v>
      </c>
      <c r="S32" s="12">
        <f t="shared" si="2"/>
        <v>0</v>
      </c>
    </row>
    <row r="33" spans="1:19" x14ac:dyDescent="0.3">
      <c r="A33" s="5" t="s">
        <v>28</v>
      </c>
      <c r="B33" s="14">
        <v>58507000</v>
      </c>
      <c r="C33" s="7" t="s">
        <v>41</v>
      </c>
      <c r="D33" s="8" t="s">
        <v>8</v>
      </c>
      <c r="E33" s="9">
        <v>2011</v>
      </c>
      <c r="F33" s="9">
        <v>1985.88</v>
      </c>
      <c r="G33" s="9">
        <v>1529.17</v>
      </c>
      <c r="H33" s="9">
        <v>1038.8000000000002</v>
      </c>
      <c r="I33" s="9">
        <v>6022.7999999999993</v>
      </c>
      <c r="J33" s="9">
        <v>4702.3999999999996</v>
      </c>
      <c r="K33" s="9">
        <v>25.950000000000728</v>
      </c>
      <c r="L33" s="9">
        <v>866.40000000000146</v>
      </c>
      <c r="M33" s="9">
        <v>3533.7999999999993</v>
      </c>
      <c r="N33" s="9">
        <v>1863.8499999999985</v>
      </c>
      <c r="O33" s="9">
        <v>312.45999999999913</v>
      </c>
      <c r="P33" s="9">
        <v>2305.9000000000015</v>
      </c>
      <c r="Q33" s="10">
        <f t="shared" si="1"/>
        <v>26198.41</v>
      </c>
      <c r="R33" s="11">
        <v>26198.41</v>
      </c>
      <c r="S33" s="12">
        <f t="shared" si="2"/>
        <v>0</v>
      </c>
    </row>
    <row r="34" spans="1:19" x14ac:dyDescent="0.3">
      <c r="A34" s="5" t="s">
        <v>28</v>
      </c>
      <c r="B34" s="14">
        <v>58507001</v>
      </c>
      <c r="C34" s="7" t="s">
        <v>42</v>
      </c>
      <c r="D34" s="8" t="s">
        <v>8</v>
      </c>
      <c r="E34" s="9">
        <v>0</v>
      </c>
      <c r="F34" s="9">
        <v>0</v>
      </c>
      <c r="G34" s="9">
        <v>1755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147</v>
      </c>
      <c r="O34" s="9">
        <v>0</v>
      </c>
      <c r="P34" s="9">
        <v>0</v>
      </c>
      <c r="Q34" s="10">
        <f t="shared" si="1"/>
        <v>1902</v>
      </c>
      <c r="R34" s="11">
        <v>1902</v>
      </c>
      <c r="S34" s="12">
        <f t="shared" si="2"/>
        <v>0</v>
      </c>
    </row>
    <row r="35" spans="1:19" x14ac:dyDescent="0.3">
      <c r="A35" s="5" t="s">
        <v>28</v>
      </c>
      <c r="B35" s="14">
        <v>58521000</v>
      </c>
      <c r="C35" s="7" t="s">
        <v>43</v>
      </c>
      <c r="D35" s="8" t="s">
        <v>8</v>
      </c>
      <c r="E35" s="9">
        <v>5551.22</v>
      </c>
      <c r="F35" s="9">
        <v>4237.8399999999992</v>
      </c>
      <c r="G35" s="9">
        <v>4189.3700000000008</v>
      </c>
      <c r="H35" s="9">
        <v>4301.6899999999987</v>
      </c>
      <c r="I35" s="9">
        <v>4306.5</v>
      </c>
      <c r="J35" s="9">
        <v>4199.25</v>
      </c>
      <c r="K35" s="9">
        <v>4188.0800000000017</v>
      </c>
      <c r="L35" s="9">
        <v>4320.84</v>
      </c>
      <c r="M35" s="9">
        <v>4167.2900000000009</v>
      </c>
      <c r="N35" s="9">
        <v>4213.2699999999968</v>
      </c>
      <c r="O35" s="9">
        <v>4302.2200000000012</v>
      </c>
      <c r="P35" s="9">
        <v>4548.9599999999991</v>
      </c>
      <c r="Q35" s="10">
        <f t="shared" si="1"/>
        <v>52526.53</v>
      </c>
      <c r="R35" s="11">
        <v>52526.53</v>
      </c>
      <c r="S35" s="12">
        <f t="shared" si="2"/>
        <v>0</v>
      </c>
    </row>
    <row r="36" spans="1:19" x14ac:dyDescent="0.3">
      <c r="A36" s="5" t="s">
        <v>28</v>
      </c>
      <c r="B36" s="14">
        <v>58522000</v>
      </c>
      <c r="C36" s="7" t="s">
        <v>44</v>
      </c>
      <c r="D36" s="8" t="s">
        <v>8</v>
      </c>
      <c r="E36" s="9">
        <v>1882.58</v>
      </c>
      <c r="F36" s="9">
        <v>3244.0200000000004</v>
      </c>
      <c r="G36" s="9">
        <v>1787.7799999999997</v>
      </c>
      <c r="H36" s="9">
        <v>1568.1799999999994</v>
      </c>
      <c r="I36" s="9">
        <v>1232.58</v>
      </c>
      <c r="J36" s="9">
        <v>1224.0200000000004</v>
      </c>
      <c r="K36" s="9">
        <v>360.21999999999935</v>
      </c>
      <c r="L36" s="9">
        <v>2063.5500000000011</v>
      </c>
      <c r="M36" s="9">
        <v>1459.83</v>
      </c>
      <c r="N36" s="9">
        <v>1478.3999999999996</v>
      </c>
      <c r="O36" s="9">
        <v>1142.8199999999997</v>
      </c>
      <c r="P36" s="9">
        <v>1147.7900000000009</v>
      </c>
      <c r="Q36" s="10">
        <f t="shared" si="1"/>
        <v>18591.77</v>
      </c>
      <c r="R36" s="11">
        <v>18591.77</v>
      </c>
      <c r="S36" s="12">
        <f t="shared" si="2"/>
        <v>0</v>
      </c>
    </row>
    <row r="37" spans="1:19" x14ac:dyDescent="0.3">
      <c r="A37" s="5" t="s">
        <v>28</v>
      </c>
      <c r="B37" s="14">
        <v>58525000</v>
      </c>
      <c r="C37" s="7" t="s">
        <v>45</v>
      </c>
      <c r="D37" s="8" t="s">
        <v>8</v>
      </c>
      <c r="E37" s="9">
        <v>1950</v>
      </c>
      <c r="F37" s="9">
        <v>0</v>
      </c>
      <c r="G37" s="9">
        <v>4519.99</v>
      </c>
      <c r="H37" s="9">
        <v>2329.9899999999998</v>
      </c>
      <c r="I37" s="9">
        <v>2329.9899999999998</v>
      </c>
      <c r="J37" s="9">
        <v>2190</v>
      </c>
      <c r="K37" s="9">
        <v>2190</v>
      </c>
      <c r="L37" s="9">
        <v>2190.0000000000018</v>
      </c>
      <c r="M37" s="9">
        <v>2190</v>
      </c>
      <c r="N37" s="9">
        <v>2190</v>
      </c>
      <c r="O37" s="9">
        <v>2190</v>
      </c>
      <c r="P37" s="9">
        <v>2430</v>
      </c>
      <c r="Q37" s="10">
        <f t="shared" si="1"/>
        <v>26699.97</v>
      </c>
      <c r="R37" s="11">
        <v>26699.97</v>
      </c>
      <c r="S37" s="12">
        <f t="shared" si="2"/>
        <v>0</v>
      </c>
    </row>
    <row r="38" spans="1:19" x14ac:dyDescent="0.3">
      <c r="A38" s="5" t="s">
        <v>28</v>
      </c>
      <c r="B38" s="14">
        <v>58527000</v>
      </c>
      <c r="C38" s="7" t="s">
        <v>46</v>
      </c>
      <c r="D38" s="8" t="s">
        <v>8</v>
      </c>
      <c r="E38" s="9">
        <v>1483.23</v>
      </c>
      <c r="F38" s="9">
        <v>2603.4299999999998</v>
      </c>
      <c r="G38" s="9">
        <v>-1191.9699999999998</v>
      </c>
      <c r="H38" s="9">
        <v>1153.83</v>
      </c>
      <c r="I38" s="9">
        <v>1127.3300000000004</v>
      </c>
      <c r="J38" s="9">
        <v>1485.0499999999993</v>
      </c>
      <c r="K38" s="9">
        <v>2146.3999999999996</v>
      </c>
      <c r="L38" s="9">
        <v>1513.8500000000004</v>
      </c>
      <c r="M38" s="9">
        <v>1259.5599999999995</v>
      </c>
      <c r="N38" s="9">
        <v>1010.2200000000012</v>
      </c>
      <c r="O38" s="9">
        <v>1281.6800000000003</v>
      </c>
      <c r="P38" s="9">
        <v>5077.3099999999977</v>
      </c>
      <c r="Q38" s="10">
        <f t="shared" si="1"/>
        <v>18949.919999999998</v>
      </c>
      <c r="R38" s="11">
        <v>18949.919999999998</v>
      </c>
      <c r="S38" s="12">
        <f t="shared" si="2"/>
        <v>0</v>
      </c>
    </row>
    <row r="39" spans="1:19" x14ac:dyDescent="0.3">
      <c r="A39" s="5" t="s">
        <v>28</v>
      </c>
      <c r="B39" s="14">
        <v>58530200</v>
      </c>
      <c r="C39" s="7" t="s">
        <v>47</v>
      </c>
      <c r="D39" s="8" t="s">
        <v>8</v>
      </c>
      <c r="E39" s="9">
        <v>11019.62</v>
      </c>
      <c r="F39" s="9">
        <v>8006.1</v>
      </c>
      <c r="G39" s="9">
        <v>7596.0999999999985</v>
      </c>
      <c r="H39" s="9">
        <v>13813.099999999999</v>
      </c>
      <c r="I39" s="9">
        <v>7546.0999999999985</v>
      </c>
      <c r="J39" s="9">
        <v>7776.1000000000058</v>
      </c>
      <c r="K39" s="9">
        <v>7643.0999999999985</v>
      </c>
      <c r="L39" s="9">
        <v>6511.1000000000058</v>
      </c>
      <c r="M39" s="9">
        <v>6971.0999999999913</v>
      </c>
      <c r="N39" s="9">
        <v>10946.100000000006</v>
      </c>
      <c r="O39" s="9">
        <v>8639.0999999999913</v>
      </c>
      <c r="P39" s="9">
        <v>3006</v>
      </c>
      <c r="Q39" s="10">
        <f t="shared" si="1"/>
        <v>99473.62</v>
      </c>
      <c r="R39" s="11">
        <v>99473.62</v>
      </c>
      <c r="S39" s="12">
        <f t="shared" si="2"/>
        <v>0</v>
      </c>
    </row>
    <row r="40" spans="1:19" x14ac:dyDescent="0.3">
      <c r="A40" s="5" t="s">
        <v>28</v>
      </c>
      <c r="B40" s="14">
        <v>58530500</v>
      </c>
      <c r="C40" s="7" t="s">
        <v>48</v>
      </c>
      <c r="D40" s="8" t="s">
        <v>8</v>
      </c>
      <c r="E40" s="9">
        <v>3390</v>
      </c>
      <c r="F40" s="9">
        <v>4580</v>
      </c>
      <c r="G40" s="9">
        <v>4050</v>
      </c>
      <c r="H40" s="9">
        <v>5530</v>
      </c>
      <c r="I40" s="9">
        <v>4170</v>
      </c>
      <c r="J40" s="9">
        <v>3690</v>
      </c>
      <c r="K40" s="9">
        <v>4340</v>
      </c>
      <c r="L40" s="9">
        <v>2140</v>
      </c>
      <c r="M40" s="9">
        <v>4060</v>
      </c>
      <c r="N40" s="9">
        <v>5730</v>
      </c>
      <c r="O40" s="9">
        <v>10320.199999999997</v>
      </c>
      <c r="P40" s="9">
        <v>5600</v>
      </c>
      <c r="Q40" s="10">
        <f t="shared" si="1"/>
        <v>57600.2</v>
      </c>
      <c r="R40" s="11">
        <v>57600.2</v>
      </c>
      <c r="S40" s="12">
        <f t="shared" si="2"/>
        <v>0</v>
      </c>
    </row>
    <row r="41" spans="1:19" x14ac:dyDescent="0.3">
      <c r="A41" s="5" t="s">
        <v>28</v>
      </c>
      <c r="B41" s="14">
        <v>58530700</v>
      </c>
      <c r="C41" s="7" t="s">
        <v>49</v>
      </c>
      <c r="D41" s="8" t="s">
        <v>8</v>
      </c>
      <c r="E41" s="9">
        <v>207.45</v>
      </c>
      <c r="F41" s="9">
        <v>0</v>
      </c>
      <c r="G41" s="9">
        <v>0</v>
      </c>
      <c r="H41" s="9">
        <v>1179.2</v>
      </c>
      <c r="I41" s="9">
        <v>14.699999999999818</v>
      </c>
      <c r="J41" s="9">
        <v>3210.27</v>
      </c>
      <c r="K41" s="9">
        <v>1121.4300000000003</v>
      </c>
      <c r="L41" s="9">
        <v>0</v>
      </c>
      <c r="M41" s="9">
        <v>0</v>
      </c>
      <c r="N41" s="9">
        <v>868.34000000000015</v>
      </c>
      <c r="O41" s="9">
        <v>926.85999999999967</v>
      </c>
      <c r="P41" s="9">
        <v>0</v>
      </c>
      <c r="Q41" s="10">
        <f t="shared" si="1"/>
        <v>7528.25</v>
      </c>
      <c r="R41" s="11">
        <v>7528.25</v>
      </c>
      <c r="S41" s="12">
        <f t="shared" si="2"/>
        <v>0</v>
      </c>
    </row>
    <row r="42" spans="1:19" x14ac:dyDescent="0.3">
      <c r="A42" s="5" t="s">
        <v>28</v>
      </c>
      <c r="B42" s="14">
        <v>58550000</v>
      </c>
      <c r="C42" s="7" t="s">
        <v>50</v>
      </c>
      <c r="D42" s="8" t="s">
        <v>8</v>
      </c>
      <c r="E42" s="9">
        <v>1397.57</v>
      </c>
      <c r="F42" s="9">
        <v>1497.57</v>
      </c>
      <c r="G42" s="9">
        <v>1497.5700000000002</v>
      </c>
      <c r="H42" s="9">
        <v>1395.1599999999999</v>
      </c>
      <c r="I42" s="9">
        <v>1028.9700000000003</v>
      </c>
      <c r="J42" s="9">
        <v>1128.9700000000003</v>
      </c>
      <c r="K42" s="9">
        <v>928.97000000000025</v>
      </c>
      <c r="L42" s="9">
        <v>1028.9699999999993</v>
      </c>
      <c r="M42" s="9">
        <v>1028.9699999999993</v>
      </c>
      <c r="N42" s="9">
        <v>1028.9700000000012</v>
      </c>
      <c r="O42" s="9">
        <v>1028.9699999999993</v>
      </c>
      <c r="P42" s="9">
        <v>1128.9699999999993</v>
      </c>
      <c r="Q42" s="10">
        <f t="shared" si="1"/>
        <v>14119.63</v>
      </c>
      <c r="R42" s="11">
        <v>14119.63</v>
      </c>
      <c r="S42" s="12">
        <f t="shared" si="2"/>
        <v>0</v>
      </c>
    </row>
    <row r="43" spans="1:19" x14ac:dyDescent="0.3">
      <c r="A43" s="5" t="s">
        <v>28</v>
      </c>
      <c r="B43" s="14">
        <v>58552001</v>
      </c>
      <c r="C43" s="7" t="s">
        <v>51</v>
      </c>
      <c r="D43" s="8" t="s">
        <v>8</v>
      </c>
      <c r="E43" s="9">
        <v>18877.650000000001</v>
      </c>
      <c r="F43" s="9">
        <v>19680.739999999998</v>
      </c>
      <c r="G43" s="9">
        <v>19279.29</v>
      </c>
      <c r="H43" s="9">
        <v>24313.439999999995</v>
      </c>
      <c r="I43" s="9">
        <v>21698.340000000011</v>
      </c>
      <c r="J43" s="9">
        <v>21695.119999999995</v>
      </c>
      <c r="K43" s="9">
        <v>21660.199999999997</v>
      </c>
      <c r="L43" s="9">
        <v>19965.01999999999</v>
      </c>
      <c r="M43" s="9">
        <v>19963.660000000003</v>
      </c>
      <c r="N43" s="9">
        <v>21851.800000000017</v>
      </c>
      <c r="O43" s="9">
        <v>23424.190000000002</v>
      </c>
      <c r="P43" s="9">
        <v>20279.789999999979</v>
      </c>
      <c r="Q43" s="10">
        <f t="shared" si="1"/>
        <v>252689.24</v>
      </c>
      <c r="R43" s="11">
        <v>252689.24</v>
      </c>
      <c r="S43" s="12">
        <f t="shared" si="2"/>
        <v>0</v>
      </c>
    </row>
    <row r="44" spans="1:19" x14ac:dyDescent="0.3">
      <c r="A44" s="5" t="s">
        <v>28</v>
      </c>
      <c r="B44" s="14">
        <v>58552004</v>
      </c>
      <c r="C44" s="7" t="s">
        <v>52</v>
      </c>
      <c r="D44" s="8" t="s">
        <v>8</v>
      </c>
      <c r="E44" s="9">
        <v>9351.02</v>
      </c>
      <c r="F44" s="9">
        <v>8281.119999999999</v>
      </c>
      <c r="G44" s="9">
        <v>8805.39</v>
      </c>
      <c r="H44" s="9">
        <v>8246.9000000000015</v>
      </c>
      <c r="I44" s="9">
        <v>8218.9800000000032</v>
      </c>
      <c r="J44" s="9">
        <v>8065.8999999999942</v>
      </c>
      <c r="K44" s="9">
        <v>8252.4000000000015</v>
      </c>
      <c r="L44" s="9">
        <v>7792.8400000000038</v>
      </c>
      <c r="M44" s="9">
        <v>7792.3399999999965</v>
      </c>
      <c r="N44" s="9">
        <v>8138.7700000000041</v>
      </c>
      <c r="O44" s="9">
        <v>8561.5199999999895</v>
      </c>
      <c r="P44" s="9">
        <v>7716.0200000000041</v>
      </c>
      <c r="Q44" s="10">
        <f t="shared" si="1"/>
        <v>99223.2</v>
      </c>
      <c r="R44" s="11">
        <v>99223.2</v>
      </c>
      <c r="S44" s="12">
        <f t="shared" si="2"/>
        <v>0</v>
      </c>
    </row>
    <row r="45" spans="1:19" x14ac:dyDescent="0.3">
      <c r="A45" s="5" t="s">
        <v>28</v>
      </c>
      <c r="B45" s="14">
        <v>58552026</v>
      </c>
      <c r="C45" s="7" t="s">
        <v>53</v>
      </c>
      <c r="D45" s="8" t="s">
        <v>8</v>
      </c>
      <c r="E45" s="9">
        <v>2454.41</v>
      </c>
      <c r="F45" s="9">
        <v>1651.3600000000006</v>
      </c>
      <c r="G45" s="9">
        <v>2052.9799999999996</v>
      </c>
      <c r="H45" s="9">
        <v>6897.2000000000007</v>
      </c>
      <c r="I45" s="9">
        <v>4357.8600000000006</v>
      </c>
      <c r="J45" s="9">
        <v>4354.0299999999988</v>
      </c>
      <c r="K45" s="9">
        <v>4312.2599999999984</v>
      </c>
      <c r="L45" s="9">
        <v>4307.510000000002</v>
      </c>
      <c r="M45" s="9">
        <v>4305.8799999999974</v>
      </c>
      <c r="N45" s="9">
        <v>4313.32</v>
      </c>
      <c r="O45" s="9">
        <v>6193.6700000000055</v>
      </c>
      <c r="P45" s="9">
        <v>2433.3899999999994</v>
      </c>
      <c r="Q45" s="10">
        <f t="shared" si="1"/>
        <v>47633.87</v>
      </c>
      <c r="R45" s="11">
        <v>47633.87</v>
      </c>
      <c r="S45" s="12">
        <f t="shared" si="2"/>
        <v>0</v>
      </c>
    </row>
    <row r="46" spans="1:19" x14ac:dyDescent="0.3">
      <c r="A46" s="5" t="s">
        <v>28</v>
      </c>
      <c r="B46" s="14">
        <v>58552027</v>
      </c>
      <c r="C46" s="7" t="s">
        <v>54</v>
      </c>
      <c r="D46" s="8" t="s">
        <v>8</v>
      </c>
      <c r="E46" s="9">
        <v>15.18</v>
      </c>
      <c r="F46" s="9">
        <v>997.08</v>
      </c>
      <c r="G46" s="9">
        <v>506.13000000000011</v>
      </c>
      <c r="H46" s="9">
        <v>1805.09</v>
      </c>
      <c r="I46" s="9">
        <v>506.13000000000011</v>
      </c>
      <c r="J46" s="9">
        <v>506.12999999999965</v>
      </c>
      <c r="K46" s="9">
        <v>506.13000000000011</v>
      </c>
      <c r="L46" s="9">
        <v>506.13000000000011</v>
      </c>
      <c r="M46" s="9">
        <v>506.13000000000011</v>
      </c>
      <c r="N46" s="9">
        <v>506.13000000000011</v>
      </c>
      <c r="O46" s="9">
        <v>1011.6799999999994</v>
      </c>
      <c r="P46" s="9">
        <v>0.58000000000083674</v>
      </c>
      <c r="Q46" s="10">
        <f t="shared" si="1"/>
        <v>7372.52</v>
      </c>
      <c r="R46" s="11">
        <v>7372.52</v>
      </c>
      <c r="S46" s="12">
        <f t="shared" si="2"/>
        <v>0</v>
      </c>
    </row>
    <row r="47" spans="1:19" x14ac:dyDescent="0.3">
      <c r="A47" s="5" t="s">
        <v>28</v>
      </c>
      <c r="B47" s="14">
        <v>58554000</v>
      </c>
      <c r="C47" s="7" t="s">
        <v>55</v>
      </c>
      <c r="D47" s="8" t="s">
        <v>8</v>
      </c>
      <c r="E47" s="9">
        <v>0</v>
      </c>
      <c r="F47" s="9">
        <v>561.09</v>
      </c>
      <c r="G47" s="9">
        <v>485.21999999999991</v>
      </c>
      <c r="H47" s="9">
        <v>251.34000000000015</v>
      </c>
      <c r="I47" s="9">
        <v>221.01</v>
      </c>
      <c r="J47" s="9">
        <v>0</v>
      </c>
      <c r="K47" s="9">
        <v>59.799999999999955</v>
      </c>
      <c r="L47" s="9">
        <v>155.05999999999995</v>
      </c>
      <c r="M47" s="9">
        <v>158.81999999999994</v>
      </c>
      <c r="N47" s="9">
        <v>83.600000000000136</v>
      </c>
      <c r="O47" s="9">
        <v>72.380000000000109</v>
      </c>
      <c r="P47" s="9">
        <v>108.64999999999964</v>
      </c>
      <c r="Q47" s="10">
        <f t="shared" si="1"/>
        <v>2156.9699999999998</v>
      </c>
      <c r="R47" s="11">
        <v>2156.9699999999998</v>
      </c>
      <c r="S47" s="12">
        <f t="shared" si="2"/>
        <v>0</v>
      </c>
    </row>
    <row r="48" spans="1:19" x14ac:dyDescent="0.3">
      <c r="A48" s="5" t="s">
        <v>28</v>
      </c>
      <c r="B48" s="14">
        <v>58568000</v>
      </c>
      <c r="C48" s="7" t="s">
        <v>56</v>
      </c>
      <c r="D48" s="8" t="s">
        <v>8</v>
      </c>
      <c r="E48" s="9">
        <v>455</v>
      </c>
      <c r="F48" s="9">
        <v>0</v>
      </c>
      <c r="G48" s="9">
        <v>0</v>
      </c>
      <c r="H48" s="9">
        <v>0</v>
      </c>
      <c r="I48" s="9">
        <v>375</v>
      </c>
      <c r="J48" s="9">
        <v>0</v>
      </c>
      <c r="K48" s="9">
        <v>318.75</v>
      </c>
      <c r="L48" s="9">
        <v>0</v>
      </c>
      <c r="M48" s="9">
        <v>0</v>
      </c>
      <c r="N48" s="9">
        <v>0</v>
      </c>
      <c r="O48" s="9">
        <v>0</v>
      </c>
      <c r="P48" s="9">
        <v>4185</v>
      </c>
      <c r="Q48" s="10">
        <f t="shared" si="1"/>
        <v>5333.75</v>
      </c>
      <c r="R48" s="11">
        <v>5333.75</v>
      </c>
      <c r="S48" s="12">
        <f t="shared" si="2"/>
        <v>0</v>
      </c>
    </row>
    <row r="49" spans="1:19" x14ac:dyDescent="0.3">
      <c r="A49" s="5" t="s">
        <v>28</v>
      </c>
      <c r="B49" s="14">
        <v>58570000</v>
      </c>
      <c r="C49" s="7" t="s">
        <v>57</v>
      </c>
      <c r="D49" s="8" t="s">
        <v>8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2465.0100000000002</v>
      </c>
      <c r="O49" s="9">
        <v>0</v>
      </c>
      <c r="P49" s="9">
        <v>662.04</v>
      </c>
      <c r="Q49" s="10">
        <f t="shared" si="1"/>
        <v>3127.05</v>
      </c>
      <c r="R49" s="11">
        <v>3127.05</v>
      </c>
      <c r="S49" s="12">
        <f t="shared" si="2"/>
        <v>0</v>
      </c>
    </row>
    <row r="50" spans="1:19" x14ac:dyDescent="0.3">
      <c r="A50" s="5" t="s">
        <v>28</v>
      </c>
      <c r="B50" s="14">
        <v>58590000</v>
      </c>
      <c r="C50" s="7" t="s">
        <v>58</v>
      </c>
      <c r="D50" s="8" t="s">
        <v>8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975</v>
      </c>
      <c r="M50" s="9">
        <v>567.16000000000008</v>
      </c>
      <c r="N50" s="9">
        <v>2944.3100000000004</v>
      </c>
      <c r="O50" s="9">
        <v>489.03999999999996</v>
      </c>
      <c r="P50" s="9">
        <v>1846.8099999999995</v>
      </c>
      <c r="Q50" s="10">
        <f t="shared" si="1"/>
        <v>6822.32</v>
      </c>
      <c r="R50" s="11">
        <v>6822.32</v>
      </c>
      <c r="S50" s="12">
        <f t="shared" si="2"/>
        <v>0</v>
      </c>
    </row>
    <row r="51" spans="1:19" x14ac:dyDescent="0.3">
      <c r="A51" s="5" t="s">
        <v>28</v>
      </c>
      <c r="B51" s="14">
        <v>59080000</v>
      </c>
      <c r="C51" s="7" t="s">
        <v>59</v>
      </c>
      <c r="D51" s="8" t="s">
        <v>8</v>
      </c>
      <c r="E51" s="9">
        <v>0</v>
      </c>
      <c r="F51" s="9">
        <v>9505.77</v>
      </c>
      <c r="G51" s="9">
        <v>9304.18</v>
      </c>
      <c r="H51" s="9">
        <v>6741.0299999999988</v>
      </c>
      <c r="I51" s="9">
        <v>3010.6000000000022</v>
      </c>
      <c r="J51" s="9">
        <v>3789.66</v>
      </c>
      <c r="K51" s="9">
        <v>10725.920000000002</v>
      </c>
      <c r="L51" s="9">
        <v>4167.4799999999959</v>
      </c>
      <c r="M51" s="9">
        <v>5261.7799999999988</v>
      </c>
      <c r="N51" s="9">
        <v>5056.6399999999994</v>
      </c>
      <c r="O51" s="9">
        <v>5493.0800000000017</v>
      </c>
      <c r="P51" s="9">
        <v>10405.059999999998</v>
      </c>
      <c r="Q51" s="10">
        <f t="shared" si="1"/>
        <v>73461.2</v>
      </c>
      <c r="R51" s="11">
        <v>73461.2</v>
      </c>
      <c r="S51" s="12">
        <f t="shared" si="2"/>
        <v>0</v>
      </c>
    </row>
    <row r="52" spans="1:19" x14ac:dyDescent="0.3">
      <c r="A52" s="5" t="s">
        <v>28</v>
      </c>
      <c r="B52" s="14">
        <v>59504050</v>
      </c>
      <c r="C52" s="7" t="s">
        <v>60</v>
      </c>
      <c r="D52" s="8" t="s">
        <v>8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10">
        <f t="shared" si="1"/>
        <v>0</v>
      </c>
      <c r="R52" s="11">
        <v>0</v>
      </c>
      <c r="S52" s="12">
        <f t="shared" si="2"/>
        <v>0</v>
      </c>
    </row>
    <row r="53" spans="1:19" x14ac:dyDescent="0.3">
      <c r="A53" s="5" t="s">
        <v>28</v>
      </c>
      <c r="B53" s="14">
        <v>65518000</v>
      </c>
      <c r="C53" s="7" t="s">
        <v>61</v>
      </c>
      <c r="D53" s="8" t="s">
        <v>8</v>
      </c>
      <c r="E53" s="9">
        <v>1839.17</v>
      </c>
      <c r="F53" s="9">
        <v>1610.73</v>
      </c>
      <c r="G53" s="9">
        <v>1491.7599999999998</v>
      </c>
      <c r="H53" s="9">
        <v>1092.5</v>
      </c>
      <c r="I53" s="9">
        <v>1059.6400000000003</v>
      </c>
      <c r="J53" s="9">
        <v>2080.9499999999998</v>
      </c>
      <c r="K53" s="9">
        <v>2692.84</v>
      </c>
      <c r="L53" s="9">
        <v>940.01000000000022</v>
      </c>
      <c r="M53" s="9">
        <v>1459.2399999999998</v>
      </c>
      <c r="N53" s="9">
        <v>1356.7600000000002</v>
      </c>
      <c r="O53" s="9">
        <v>2192.3799999999992</v>
      </c>
      <c r="P53" s="9">
        <v>895.4900000000016</v>
      </c>
      <c r="Q53" s="10">
        <f t="shared" si="1"/>
        <v>18711.47</v>
      </c>
      <c r="R53" s="11">
        <v>18711.47</v>
      </c>
      <c r="S53" s="12">
        <f t="shared" si="2"/>
        <v>0</v>
      </c>
    </row>
    <row r="54" spans="1:19" x14ac:dyDescent="0.3">
      <c r="A54" s="5" t="s">
        <v>62</v>
      </c>
      <c r="B54" s="14">
        <v>59080040</v>
      </c>
      <c r="C54" s="7" t="s">
        <v>63</v>
      </c>
      <c r="D54" s="8" t="s">
        <v>8</v>
      </c>
      <c r="E54" s="9">
        <v>11977</v>
      </c>
      <c r="F54" s="9">
        <v>11654</v>
      </c>
      <c r="G54" s="9">
        <v>0</v>
      </c>
      <c r="H54" s="9">
        <v>24681</v>
      </c>
      <c r="I54" s="9">
        <v>12213</v>
      </c>
      <c r="J54" s="9">
        <v>0</v>
      </c>
      <c r="K54" s="9">
        <v>24954</v>
      </c>
      <c r="L54" s="9">
        <v>12672</v>
      </c>
      <c r="M54" s="9">
        <v>9702</v>
      </c>
      <c r="N54" s="9">
        <v>9640</v>
      </c>
      <c r="O54" s="9">
        <v>9660</v>
      </c>
      <c r="P54" s="9">
        <v>10065</v>
      </c>
      <c r="Q54" s="10">
        <f t="shared" si="1"/>
        <v>137218</v>
      </c>
      <c r="R54" s="11">
        <v>137218</v>
      </c>
      <c r="S54" s="12">
        <f t="shared" si="2"/>
        <v>0</v>
      </c>
    </row>
    <row r="55" spans="1:19" x14ac:dyDescent="0.3">
      <c r="A55" s="5" t="s">
        <v>62</v>
      </c>
      <c r="B55" s="14">
        <v>59500040</v>
      </c>
      <c r="C55" s="7" t="s">
        <v>64</v>
      </c>
      <c r="D55" s="8" t="s">
        <v>8</v>
      </c>
      <c r="E55" s="9">
        <v>2191.5500000000002</v>
      </c>
      <c r="F55" s="9">
        <v>2191.5500000000002</v>
      </c>
      <c r="G55" s="9">
        <v>2191.5499999999993</v>
      </c>
      <c r="H55" s="9">
        <v>2267.6800000000003</v>
      </c>
      <c r="I55" s="9">
        <v>2224.4300000000003</v>
      </c>
      <c r="J55" s="9">
        <v>2224.4300000000003</v>
      </c>
      <c r="K55" s="9">
        <v>2224.4300000000003</v>
      </c>
      <c r="L55" s="9">
        <v>2224.4299999999985</v>
      </c>
      <c r="M55" s="9">
        <v>2224.4300000000003</v>
      </c>
      <c r="N55" s="9">
        <v>2224.4300000000003</v>
      </c>
      <c r="O55" s="9">
        <v>2224.4300000000003</v>
      </c>
      <c r="P55" s="9">
        <v>2227.4300000000003</v>
      </c>
      <c r="Q55" s="10">
        <f t="shared" si="1"/>
        <v>26640.77</v>
      </c>
      <c r="R55" s="11">
        <v>26640.77</v>
      </c>
      <c r="S55" s="12">
        <f t="shared" si="2"/>
        <v>0</v>
      </c>
    </row>
    <row r="56" spans="1:19" x14ac:dyDescent="0.3">
      <c r="A56" s="5" t="s">
        <v>62</v>
      </c>
      <c r="B56" s="14">
        <v>59500050</v>
      </c>
      <c r="C56" s="7" t="s">
        <v>65</v>
      </c>
      <c r="D56" s="8" t="s">
        <v>8</v>
      </c>
      <c r="E56" s="9">
        <v>5209.71</v>
      </c>
      <c r="F56" s="9">
        <v>5352.19</v>
      </c>
      <c r="G56" s="9">
        <v>4832.4700000000012</v>
      </c>
      <c r="H56" s="9">
        <v>4774.4600000000009</v>
      </c>
      <c r="I56" s="9">
        <v>4283.239999999998</v>
      </c>
      <c r="J56" s="9">
        <v>4688.010000000002</v>
      </c>
      <c r="K56" s="9">
        <v>4874.4799999999959</v>
      </c>
      <c r="L56" s="9">
        <v>3914.9400000000023</v>
      </c>
      <c r="M56" s="9">
        <v>4540.8300000000017</v>
      </c>
      <c r="N56" s="9">
        <v>5433.43</v>
      </c>
      <c r="O56" s="9">
        <v>5472.9499999999971</v>
      </c>
      <c r="P56" s="9">
        <v>4650.4000000000015</v>
      </c>
      <c r="Q56" s="10">
        <f t="shared" si="1"/>
        <v>58027.11</v>
      </c>
      <c r="R56" s="11">
        <v>58027.11</v>
      </c>
      <c r="S56" s="12">
        <f t="shared" si="2"/>
        <v>0</v>
      </c>
    </row>
    <row r="57" spans="1:19" x14ac:dyDescent="0.3">
      <c r="A57" s="5" t="s">
        <v>62</v>
      </c>
      <c r="B57" s="14">
        <v>59500051</v>
      </c>
      <c r="C57" s="7" t="s">
        <v>66</v>
      </c>
      <c r="D57" s="8" t="s">
        <v>8</v>
      </c>
      <c r="E57" s="9">
        <v>1510.99</v>
      </c>
      <c r="F57" s="9">
        <v>756.58999999999992</v>
      </c>
      <c r="G57" s="9">
        <v>936.36999999999989</v>
      </c>
      <c r="H57" s="9">
        <v>1281.04</v>
      </c>
      <c r="I57" s="9">
        <v>925.61000000000058</v>
      </c>
      <c r="J57" s="9">
        <v>1060.2199999999993</v>
      </c>
      <c r="K57" s="9">
        <v>1118.9300000000003</v>
      </c>
      <c r="L57" s="9">
        <v>454.85999999999967</v>
      </c>
      <c r="M57" s="9">
        <v>1094.0800000000008</v>
      </c>
      <c r="N57" s="9">
        <v>1297.8099999999995</v>
      </c>
      <c r="O57" s="9">
        <v>1471.4099999999999</v>
      </c>
      <c r="P57" s="9">
        <v>885.32999999999993</v>
      </c>
      <c r="Q57" s="10">
        <f t="shared" si="1"/>
        <v>12793.24</v>
      </c>
      <c r="R57" s="11">
        <v>12793.24</v>
      </c>
      <c r="S57" s="12">
        <f t="shared" si="2"/>
        <v>0</v>
      </c>
    </row>
    <row r="58" spans="1:19" x14ac:dyDescent="0.3">
      <c r="A58" s="5" t="s">
        <v>67</v>
      </c>
      <c r="B58" s="14">
        <v>59000000</v>
      </c>
      <c r="C58" s="7" t="s">
        <v>68</v>
      </c>
      <c r="D58" s="8" t="s">
        <v>8</v>
      </c>
      <c r="E58" s="9">
        <v>1107101.93</v>
      </c>
      <c r="F58" s="9">
        <v>1089088.72</v>
      </c>
      <c r="G58" s="9">
        <v>1091297.8200000003</v>
      </c>
      <c r="H58" s="9">
        <v>1092961.2399999998</v>
      </c>
      <c r="I58" s="9">
        <v>1071577.2700000005</v>
      </c>
      <c r="J58" s="9">
        <v>1060328.3499999996</v>
      </c>
      <c r="K58" s="9">
        <v>1058152.5099999998</v>
      </c>
      <c r="L58" s="9">
        <v>1086590.2100000009</v>
      </c>
      <c r="M58" s="9">
        <v>1078871.1099999994</v>
      </c>
      <c r="N58" s="9">
        <v>1085071.1099999994</v>
      </c>
      <c r="O58" s="9">
        <v>1091726.67</v>
      </c>
      <c r="P58" s="9">
        <v>1102354.8200000003</v>
      </c>
      <c r="Q58" s="10">
        <f t="shared" si="1"/>
        <v>13015121.76</v>
      </c>
      <c r="R58" s="11">
        <v>13015121.76</v>
      </c>
      <c r="S58" s="12">
        <f t="shared" si="2"/>
        <v>0</v>
      </c>
    </row>
    <row r="59" spans="1:19" x14ac:dyDescent="0.3">
      <c r="A59" s="5" t="s">
        <v>67</v>
      </c>
      <c r="B59" s="14">
        <v>59002000</v>
      </c>
      <c r="C59" s="7" t="s">
        <v>69</v>
      </c>
      <c r="D59" s="8" t="s">
        <v>8</v>
      </c>
      <c r="E59" s="9">
        <v>0</v>
      </c>
      <c r="F59" s="9">
        <v>0</v>
      </c>
      <c r="G59" s="9">
        <v>0</v>
      </c>
      <c r="H59" s="9">
        <v>-44723</v>
      </c>
      <c r="I59" s="9">
        <v>0</v>
      </c>
      <c r="J59" s="9">
        <v>214871.88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1212000</v>
      </c>
      <c r="Q59" s="10">
        <f t="shared" si="1"/>
        <v>1382148.88</v>
      </c>
      <c r="R59" s="11">
        <v>1382148.88</v>
      </c>
      <c r="S59" s="12">
        <f t="shared" si="2"/>
        <v>0</v>
      </c>
    </row>
    <row r="60" spans="1:19" x14ac:dyDescent="0.3">
      <c r="A60" s="5" t="s">
        <v>67</v>
      </c>
      <c r="B60" s="14">
        <v>59002200</v>
      </c>
      <c r="C60" s="7" t="s">
        <v>70</v>
      </c>
      <c r="D60" s="8" t="s">
        <v>8</v>
      </c>
      <c r="E60" s="9">
        <v>0</v>
      </c>
      <c r="F60" s="9">
        <v>0</v>
      </c>
      <c r="G60" s="9">
        <v>0</v>
      </c>
      <c r="H60" s="9">
        <v>1471.54</v>
      </c>
      <c r="I60" s="9">
        <v>0</v>
      </c>
      <c r="J60" s="9">
        <v>0</v>
      </c>
      <c r="K60" s="9">
        <v>579.46</v>
      </c>
      <c r="L60" s="9">
        <v>118.32999999999993</v>
      </c>
      <c r="M60" s="9">
        <v>201.01000000000022</v>
      </c>
      <c r="N60" s="9">
        <v>589.17000000000007</v>
      </c>
      <c r="O60" s="9">
        <v>0</v>
      </c>
      <c r="P60" s="9">
        <v>1120.6899999999996</v>
      </c>
      <c r="Q60" s="10">
        <f t="shared" si="1"/>
        <v>4080.2</v>
      </c>
      <c r="R60" s="11">
        <v>4080.2</v>
      </c>
      <c r="S60" s="12">
        <f t="shared" si="2"/>
        <v>0</v>
      </c>
    </row>
    <row r="61" spans="1:19" x14ac:dyDescent="0.3">
      <c r="A61" s="5" t="s">
        <v>67</v>
      </c>
      <c r="B61" s="14">
        <v>59018300</v>
      </c>
      <c r="C61" s="7" t="s">
        <v>71</v>
      </c>
      <c r="D61" s="8" t="s">
        <v>8</v>
      </c>
      <c r="E61" s="9">
        <v>0</v>
      </c>
      <c r="F61" s="9">
        <v>-2375</v>
      </c>
      <c r="G61" s="9">
        <v>30575</v>
      </c>
      <c r="H61" s="9">
        <v>0</v>
      </c>
      <c r="I61" s="9">
        <v>45000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7639.1699999999983</v>
      </c>
      <c r="P61" s="9">
        <v>-9219.0699999999924</v>
      </c>
      <c r="Q61" s="10">
        <f t="shared" si="1"/>
        <v>71620.100000000006</v>
      </c>
      <c r="R61" s="11">
        <v>71620.100000000006</v>
      </c>
      <c r="S61" s="12">
        <f t="shared" si="2"/>
        <v>0</v>
      </c>
    </row>
    <row r="62" spans="1:19" x14ac:dyDescent="0.3">
      <c r="A62" s="5" t="s">
        <v>67</v>
      </c>
      <c r="B62" s="14">
        <v>59040000</v>
      </c>
      <c r="C62" s="7" t="s">
        <v>72</v>
      </c>
      <c r="D62" s="8" t="s">
        <v>8</v>
      </c>
      <c r="E62" s="9">
        <v>17114.62</v>
      </c>
      <c r="F62" s="9">
        <v>-5987.0099999999984</v>
      </c>
      <c r="G62" s="9">
        <v>-15628.310000000001</v>
      </c>
      <c r="H62" s="9">
        <v>0</v>
      </c>
      <c r="I62" s="9">
        <v>0</v>
      </c>
      <c r="J62" s="9">
        <v>2232.4199999999996</v>
      </c>
      <c r="K62" s="9">
        <v>2678.7200000000003</v>
      </c>
      <c r="L62" s="9">
        <v>2776.87</v>
      </c>
      <c r="M62" s="9">
        <v>2985.4</v>
      </c>
      <c r="N62" s="9">
        <v>3493.5700000000006</v>
      </c>
      <c r="O62" s="9">
        <v>863.51999999999862</v>
      </c>
      <c r="P62" s="9">
        <v>1028.3400000000001</v>
      </c>
      <c r="Q62" s="10">
        <f t="shared" si="1"/>
        <v>11558.139999999998</v>
      </c>
      <c r="R62" s="11">
        <v>11558.14</v>
      </c>
      <c r="S62" s="12">
        <f t="shared" si="2"/>
        <v>0</v>
      </c>
    </row>
    <row r="63" spans="1:19" x14ac:dyDescent="0.3">
      <c r="A63" s="5" t="s">
        <v>67</v>
      </c>
      <c r="B63" s="14">
        <v>59070000</v>
      </c>
      <c r="C63" s="7" t="s">
        <v>73</v>
      </c>
      <c r="D63" s="8" t="s">
        <v>8</v>
      </c>
      <c r="E63" s="9">
        <v>25990</v>
      </c>
      <c r="F63" s="9">
        <v>25150</v>
      </c>
      <c r="G63" s="9">
        <v>29415</v>
      </c>
      <c r="H63" s="9">
        <v>33680</v>
      </c>
      <c r="I63" s="9">
        <v>29400</v>
      </c>
      <c r="J63" s="9">
        <v>30460</v>
      </c>
      <c r="K63" s="9">
        <v>35830</v>
      </c>
      <c r="L63" s="9">
        <v>40960</v>
      </c>
      <c r="M63" s="9">
        <v>38926</v>
      </c>
      <c r="N63" s="9">
        <v>36376</v>
      </c>
      <c r="O63" s="9">
        <v>36685</v>
      </c>
      <c r="P63" s="9">
        <v>33980</v>
      </c>
      <c r="Q63" s="10">
        <f t="shared" si="1"/>
        <v>396852</v>
      </c>
      <c r="R63" s="11">
        <v>396852</v>
      </c>
      <c r="S63" s="12">
        <f t="shared" si="2"/>
        <v>0</v>
      </c>
    </row>
    <row r="64" spans="1:19" x14ac:dyDescent="0.3">
      <c r="A64" s="5" t="s">
        <v>67</v>
      </c>
      <c r="B64" s="13">
        <v>59004000</v>
      </c>
      <c r="C64" s="7" t="s">
        <v>74</v>
      </c>
      <c r="D64" s="8" t="s">
        <v>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262148.3</v>
      </c>
      <c r="Q64" s="10">
        <f t="shared" si="1"/>
        <v>262148.3</v>
      </c>
      <c r="R64" s="11">
        <v>262148.3</v>
      </c>
      <c r="S64" s="12">
        <f t="shared" si="2"/>
        <v>0</v>
      </c>
    </row>
    <row r="65" spans="1:19" x14ac:dyDescent="0.3">
      <c r="A65" s="5" t="s">
        <v>75</v>
      </c>
      <c r="B65" s="14">
        <v>58507002</v>
      </c>
      <c r="C65" s="7" t="s">
        <v>76</v>
      </c>
      <c r="D65" s="8" t="s">
        <v>8</v>
      </c>
      <c r="E65" s="9">
        <v>21220.58</v>
      </c>
      <c r="F65" s="9">
        <v>7029.16</v>
      </c>
      <c r="G65" s="9">
        <v>11903.499999999996</v>
      </c>
      <c r="H65" s="9">
        <v>8527.0400000000009</v>
      </c>
      <c r="I65" s="9">
        <v>1374.8800000000047</v>
      </c>
      <c r="J65" s="9">
        <v>5674.8799999999974</v>
      </c>
      <c r="K65" s="9">
        <v>9601.989999999998</v>
      </c>
      <c r="L65" s="9">
        <v>474.88000000000466</v>
      </c>
      <c r="M65" s="9">
        <v>14393.599999999991</v>
      </c>
      <c r="N65" s="9">
        <v>51698.410000000018</v>
      </c>
      <c r="O65" s="9">
        <v>960</v>
      </c>
      <c r="P65" s="9">
        <v>240</v>
      </c>
      <c r="Q65" s="10">
        <f t="shared" si="1"/>
        <v>133098.92000000001</v>
      </c>
      <c r="R65" s="11">
        <v>133098.92000000001</v>
      </c>
      <c r="S65" s="12">
        <f t="shared" si="2"/>
        <v>0</v>
      </c>
    </row>
    <row r="66" spans="1:19" x14ac:dyDescent="0.3">
      <c r="A66" s="5" t="s">
        <v>75</v>
      </c>
      <c r="B66" s="14">
        <v>58507006</v>
      </c>
      <c r="C66" s="7" t="s">
        <v>77</v>
      </c>
      <c r="D66" s="8" t="s">
        <v>8</v>
      </c>
      <c r="E66" s="9">
        <v>1980</v>
      </c>
      <c r="F66" s="9">
        <v>3020</v>
      </c>
      <c r="G66" s="9">
        <v>0</v>
      </c>
      <c r="H66" s="9">
        <v>500</v>
      </c>
      <c r="I66" s="9">
        <v>500</v>
      </c>
      <c r="J66" s="9">
        <v>2440</v>
      </c>
      <c r="K66" s="9">
        <v>2968</v>
      </c>
      <c r="L66" s="9">
        <v>500</v>
      </c>
      <c r="M66" s="9">
        <v>2000</v>
      </c>
      <c r="N66" s="9">
        <v>3100</v>
      </c>
      <c r="O66" s="9">
        <v>3494</v>
      </c>
      <c r="P66" s="9">
        <v>1496</v>
      </c>
      <c r="Q66" s="10">
        <f t="shared" si="1"/>
        <v>21998</v>
      </c>
      <c r="R66" s="11">
        <v>21998</v>
      </c>
      <c r="S66" s="12">
        <f t="shared" si="2"/>
        <v>0</v>
      </c>
    </row>
    <row r="67" spans="1:19" x14ac:dyDescent="0.3">
      <c r="A67" s="5" t="s">
        <v>75</v>
      </c>
      <c r="B67" s="14">
        <v>59004001</v>
      </c>
      <c r="C67" s="7" t="s">
        <v>78</v>
      </c>
      <c r="D67" s="8" t="s">
        <v>8</v>
      </c>
      <c r="E67" s="9">
        <v>0</v>
      </c>
      <c r="F67" s="9">
        <v>0</v>
      </c>
      <c r="G67" s="9">
        <v>0</v>
      </c>
      <c r="H67" s="9">
        <v>-241383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481843.8</v>
      </c>
      <c r="Q67" s="10">
        <f t="shared" si="1"/>
        <v>240460.79999999999</v>
      </c>
      <c r="R67" s="11">
        <v>240460.79999999999</v>
      </c>
      <c r="S67" s="12">
        <f t="shared" si="2"/>
        <v>0</v>
      </c>
    </row>
    <row r="68" spans="1:19" x14ac:dyDescent="0.3">
      <c r="A68" s="5" t="s">
        <v>75</v>
      </c>
      <c r="B68" s="14">
        <v>59016000</v>
      </c>
      <c r="C68" s="7" t="s">
        <v>79</v>
      </c>
      <c r="D68" s="8" t="s">
        <v>8</v>
      </c>
      <c r="E68" s="9">
        <v>219109.5</v>
      </c>
      <c r="F68" s="9">
        <v>215264.16999999998</v>
      </c>
      <c r="G68" s="9">
        <v>214357.06</v>
      </c>
      <c r="H68" s="9">
        <v>422721.10000000009</v>
      </c>
      <c r="I68" s="9">
        <v>192860.25</v>
      </c>
      <c r="J68" s="9">
        <v>229520.07999999984</v>
      </c>
      <c r="K68" s="9">
        <v>189010.01</v>
      </c>
      <c r="L68" s="9">
        <v>185913.06000000006</v>
      </c>
      <c r="M68" s="9">
        <v>178428.41999999993</v>
      </c>
      <c r="N68" s="9">
        <v>173144.49000000022</v>
      </c>
      <c r="O68" s="9">
        <v>157969.96999999974</v>
      </c>
      <c r="P68" s="9">
        <v>-94923</v>
      </c>
      <c r="Q68" s="10">
        <f t="shared" ref="Q68:Q129" si="3">SUM(E68:P68)</f>
        <v>2283375.11</v>
      </c>
      <c r="R68" s="11">
        <v>2283375.11</v>
      </c>
      <c r="S68" s="12">
        <f t="shared" ref="S68:S129" si="4">Q68-R68</f>
        <v>0</v>
      </c>
    </row>
    <row r="69" spans="1:19" x14ac:dyDescent="0.3">
      <c r="A69" s="5" t="s">
        <v>75</v>
      </c>
      <c r="B69" s="14">
        <v>59026000</v>
      </c>
      <c r="C69" s="7" t="s">
        <v>80</v>
      </c>
      <c r="D69" s="8" t="s">
        <v>8</v>
      </c>
      <c r="E69" s="9">
        <v>0</v>
      </c>
      <c r="F69" s="9">
        <v>0</v>
      </c>
      <c r="G69" s="9">
        <v>6372</v>
      </c>
      <c r="H69" s="9">
        <v>6490</v>
      </c>
      <c r="I69" s="9">
        <v>6490</v>
      </c>
      <c r="J69" s="9">
        <v>6490</v>
      </c>
      <c r="K69" s="9">
        <v>6490</v>
      </c>
      <c r="L69" s="9">
        <v>6549</v>
      </c>
      <c r="M69" s="9">
        <v>6490</v>
      </c>
      <c r="N69" s="9">
        <v>6549</v>
      </c>
      <c r="O69" s="9">
        <v>15193.5</v>
      </c>
      <c r="P69" s="9">
        <v>-2095.5</v>
      </c>
      <c r="Q69" s="10">
        <f t="shared" si="3"/>
        <v>65018</v>
      </c>
      <c r="R69" s="11">
        <v>65018</v>
      </c>
      <c r="S69" s="12">
        <f t="shared" si="4"/>
        <v>0</v>
      </c>
    </row>
    <row r="70" spans="1:19" x14ac:dyDescent="0.3">
      <c r="A70" s="5" t="s">
        <v>75</v>
      </c>
      <c r="B70" s="14">
        <v>59028000</v>
      </c>
      <c r="C70" s="7" t="s">
        <v>81</v>
      </c>
      <c r="D70" s="8" t="s">
        <v>8</v>
      </c>
      <c r="E70" s="9">
        <v>12508.95</v>
      </c>
      <c r="F70" s="9">
        <v>12363.61</v>
      </c>
      <c r="G70" s="9">
        <v>12435.929999999997</v>
      </c>
      <c r="H70" s="9">
        <v>12493.029999999999</v>
      </c>
      <c r="I70" s="9">
        <v>12402.440000000002</v>
      </c>
      <c r="J70" s="9">
        <v>12453.939999999995</v>
      </c>
      <c r="K70" s="9">
        <v>12403.450000000012</v>
      </c>
      <c r="L70" s="9">
        <v>12467.159999999989</v>
      </c>
      <c r="M70" s="9">
        <v>12630.270000000004</v>
      </c>
      <c r="N70" s="9">
        <v>13610.960000000006</v>
      </c>
      <c r="O70" s="9">
        <v>13414.319999999992</v>
      </c>
      <c r="P70" s="9">
        <v>13373.190000000002</v>
      </c>
      <c r="Q70" s="10">
        <f t="shared" si="3"/>
        <v>152557.25</v>
      </c>
      <c r="R70" s="11">
        <v>152557.25</v>
      </c>
      <c r="S70" s="12">
        <f t="shared" si="4"/>
        <v>0</v>
      </c>
    </row>
    <row r="71" spans="1:19" x14ac:dyDescent="0.3">
      <c r="A71" s="5" t="s">
        <v>75</v>
      </c>
      <c r="B71" s="14">
        <v>59036001</v>
      </c>
      <c r="C71" s="7" t="s">
        <v>82</v>
      </c>
      <c r="D71" s="8" t="s">
        <v>8</v>
      </c>
      <c r="E71" s="9">
        <v>21850</v>
      </c>
      <c r="F71" s="9">
        <v>21660</v>
      </c>
      <c r="G71" s="9">
        <v>21660</v>
      </c>
      <c r="H71" s="9">
        <v>21470</v>
      </c>
      <c r="I71" s="9">
        <v>21470</v>
      </c>
      <c r="J71" s="9">
        <v>42560</v>
      </c>
      <c r="K71" s="9">
        <v>0</v>
      </c>
      <c r="L71" s="9">
        <v>21660</v>
      </c>
      <c r="M71" s="9">
        <v>21470</v>
      </c>
      <c r="N71" s="9">
        <v>42940</v>
      </c>
      <c r="O71" s="9">
        <v>0</v>
      </c>
      <c r="P71" s="9">
        <v>43510</v>
      </c>
      <c r="Q71" s="10">
        <f t="shared" si="3"/>
        <v>280250</v>
      </c>
      <c r="R71" s="11">
        <v>280250</v>
      </c>
      <c r="S71" s="12">
        <f t="shared" si="4"/>
        <v>0</v>
      </c>
    </row>
    <row r="72" spans="1:19" x14ac:dyDescent="0.3">
      <c r="A72" s="5" t="s">
        <v>83</v>
      </c>
      <c r="B72" s="14">
        <v>58540000</v>
      </c>
      <c r="C72" s="7" t="s">
        <v>84</v>
      </c>
      <c r="D72" s="8" t="s">
        <v>8</v>
      </c>
      <c r="E72" s="9">
        <v>0</v>
      </c>
      <c r="F72" s="9">
        <v>280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10">
        <f t="shared" si="3"/>
        <v>280</v>
      </c>
      <c r="R72" s="11">
        <v>280</v>
      </c>
      <c r="S72" s="12">
        <f t="shared" si="4"/>
        <v>0</v>
      </c>
    </row>
    <row r="73" spans="1:19" x14ac:dyDescent="0.3">
      <c r="A73" s="5" t="s">
        <v>83</v>
      </c>
      <c r="B73" s="14">
        <v>58540100</v>
      </c>
      <c r="C73" s="7" t="s">
        <v>85</v>
      </c>
      <c r="D73" s="8" t="s">
        <v>8</v>
      </c>
      <c r="E73" s="9">
        <v>12586.41</v>
      </c>
      <c r="F73" s="9">
        <v>426.29000000000087</v>
      </c>
      <c r="G73" s="9">
        <v>-66.340000000000146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10">
        <f t="shared" si="3"/>
        <v>12946.36</v>
      </c>
      <c r="R73" s="11">
        <v>12946.36</v>
      </c>
      <c r="S73" s="12">
        <f t="shared" si="4"/>
        <v>0</v>
      </c>
    </row>
    <row r="74" spans="1:19" x14ac:dyDescent="0.3">
      <c r="A74" s="5" t="s">
        <v>83</v>
      </c>
      <c r="B74" s="14">
        <v>58540111</v>
      </c>
      <c r="C74" s="7" t="s">
        <v>86</v>
      </c>
      <c r="D74" s="8" t="s">
        <v>8</v>
      </c>
      <c r="E74" s="9">
        <v>4975.05</v>
      </c>
      <c r="F74" s="9">
        <v>63.630000000000109</v>
      </c>
      <c r="G74" s="9">
        <v>433.57999999999993</v>
      </c>
      <c r="H74" s="9">
        <v>15.679999999999382</v>
      </c>
      <c r="I74" s="9">
        <v>0</v>
      </c>
      <c r="J74" s="9">
        <v>266.6200000000008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10">
        <f t="shared" si="3"/>
        <v>5754.56</v>
      </c>
      <c r="R74" s="11">
        <v>5754.56</v>
      </c>
      <c r="S74" s="12">
        <f t="shared" si="4"/>
        <v>0</v>
      </c>
    </row>
    <row r="75" spans="1:19" x14ac:dyDescent="0.3">
      <c r="A75" s="5" t="s">
        <v>83</v>
      </c>
      <c r="B75" s="14">
        <v>58540200</v>
      </c>
      <c r="C75" s="7" t="s">
        <v>87</v>
      </c>
      <c r="D75" s="8" t="s">
        <v>8</v>
      </c>
      <c r="E75" s="9">
        <v>621.61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10">
        <f t="shared" si="3"/>
        <v>621.61</v>
      </c>
      <c r="R75" s="11">
        <v>621.61</v>
      </c>
      <c r="S75" s="12">
        <f t="shared" si="4"/>
        <v>0</v>
      </c>
    </row>
    <row r="76" spans="1:19" x14ac:dyDescent="0.3">
      <c r="A76" s="5" t="s">
        <v>83</v>
      </c>
      <c r="B76" s="14">
        <v>58540201</v>
      </c>
      <c r="C76" s="7" t="s">
        <v>88</v>
      </c>
      <c r="D76" s="8" t="s">
        <v>8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10">
        <f t="shared" si="3"/>
        <v>0</v>
      </c>
      <c r="R76" s="11">
        <v>0</v>
      </c>
      <c r="S76" s="12">
        <f t="shared" si="4"/>
        <v>0</v>
      </c>
    </row>
    <row r="77" spans="1:19" x14ac:dyDescent="0.3">
      <c r="A77" s="5" t="s">
        <v>83</v>
      </c>
      <c r="B77" s="14">
        <v>58540211</v>
      </c>
      <c r="C77" s="7" t="s">
        <v>89</v>
      </c>
      <c r="D77" s="8" t="s">
        <v>8</v>
      </c>
      <c r="E77" s="9">
        <v>1120.44</v>
      </c>
      <c r="F77" s="9">
        <v>-95.190000000000055</v>
      </c>
      <c r="G77" s="9">
        <v>674.07999999999993</v>
      </c>
      <c r="H77" s="9">
        <v>0</v>
      </c>
      <c r="I77" s="9">
        <v>0</v>
      </c>
      <c r="J77" s="9">
        <v>0</v>
      </c>
      <c r="K77" s="9">
        <v>0</v>
      </c>
      <c r="L77" s="9">
        <v>212.03999999999996</v>
      </c>
      <c r="M77" s="9">
        <v>0</v>
      </c>
      <c r="N77" s="9">
        <v>1010.8499999999999</v>
      </c>
      <c r="O77" s="9">
        <v>-89.549999999999727</v>
      </c>
      <c r="P77" s="9">
        <v>0</v>
      </c>
      <c r="Q77" s="10">
        <f t="shared" si="3"/>
        <v>2832.67</v>
      </c>
      <c r="R77" s="11">
        <v>2832.67</v>
      </c>
      <c r="S77" s="12">
        <f t="shared" si="4"/>
        <v>0</v>
      </c>
    </row>
    <row r="78" spans="1:19" x14ac:dyDescent="0.3">
      <c r="A78" s="5" t="s">
        <v>83</v>
      </c>
      <c r="B78" s="14">
        <v>58540300</v>
      </c>
      <c r="C78" s="7" t="s">
        <v>90</v>
      </c>
      <c r="D78" s="8" t="s">
        <v>8</v>
      </c>
      <c r="E78" s="9">
        <v>10962.29</v>
      </c>
      <c r="F78" s="9">
        <v>6420.0799999999981</v>
      </c>
      <c r="G78" s="9">
        <v>3113.1700000000019</v>
      </c>
      <c r="H78" s="9">
        <v>4855.0599999999977</v>
      </c>
      <c r="I78" s="9">
        <v>600</v>
      </c>
      <c r="J78" s="9">
        <v>3723.84</v>
      </c>
      <c r="K78" s="9">
        <v>0</v>
      </c>
      <c r="L78" s="9">
        <v>1110</v>
      </c>
      <c r="M78" s="9">
        <v>2137.2999999999993</v>
      </c>
      <c r="N78" s="9">
        <v>5490</v>
      </c>
      <c r="O78" s="9">
        <v>1890</v>
      </c>
      <c r="P78" s="9">
        <v>300</v>
      </c>
      <c r="Q78" s="10">
        <f t="shared" si="3"/>
        <v>40601.74</v>
      </c>
      <c r="R78" s="11">
        <v>40601.74</v>
      </c>
      <c r="S78" s="12">
        <f t="shared" si="4"/>
        <v>0</v>
      </c>
    </row>
    <row r="79" spans="1:19" x14ac:dyDescent="0.3">
      <c r="A79" s="5" t="s">
        <v>83</v>
      </c>
      <c r="B79" s="14">
        <v>58540800</v>
      </c>
      <c r="C79" s="7" t="s">
        <v>91</v>
      </c>
      <c r="D79" s="8" t="s">
        <v>8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10">
        <f t="shared" si="3"/>
        <v>0</v>
      </c>
      <c r="R79" s="11">
        <v>0</v>
      </c>
      <c r="S79" s="12">
        <f t="shared" si="4"/>
        <v>0</v>
      </c>
    </row>
    <row r="80" spans="1:19" x14ac:dyDescent="0.3">
      <c r="A80" s="5" t="s">
        <v>83</v>
      </c>
      <c r="B80" s="14">
        <v>58560000</v>
      </c>
      <c r="C80" s="7" t="s">
        <v>92</v>
      </c>
      <c r="D80" s="8" t="s">
        <v>8</v>
      </c>
      <c r="E80" s="9">
        <v>0</v>
      </c>
      <c r="F80" s="9">
        <v>4050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10">
        <f t="shared" si="3"/>
        <v>4050</v>
      </c>
      <c r="R80" s="11">
        <v>4050</v>
      </c>
      <c r="S80" s="12">
        <f t="shared" si="4"/>
        <v>0</v>
      </c>
    </row>
    <row r="81" spans="1:19" x14ac:dyDescent="0.3">
      <c r="A81" s="5" t="s">
        <v>83</v>
      </c>
      <c r="B81" s="14">
        <v>58562000</v>
      </c>
      <c r="C81" s="7" t="s">
        <v>93</v>
      </c>
      <c r="D81" s="8" t="s">
        <v>8</v>
      </c>
      <c r="E81" s="9">
        <v>0</v>
      </c>
      <c r="F81" s="9">
        <v>4550.46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12872.41</v>
      </c>
      <c r="Q81" s="10">
        <f t="shared" si="3"/>
        <v>17422.87</v>
      </c>
      <c r="R81" s="11">
        <v>17422.87</v>
      </c>
      <c r="S81" s="12">
        <f t="shared" si="4"/>
        <v>0</v>
      </c>
    </row>
    <row r="82" spans="1:19" x14ac:dyDescent="0.3">
      <c r="A82" s="5" t="s">
        <v>83</v>
      </c>
      <c r="B82" s="14">
        <v>58564000</v>
      </c>
      <c r="C82" s="7" t="s">
        <v>94</v>
      </c>
      <c r="D82" s="8" t="s">
        <v>8</v>
      </c>
      <c r="E82" s="9">
        <v>3409.93</v>
      </c>
      <c r="F82" s="9">
        <v>5900.57</v>
      </c>
      <c r="G82" s="9">
        <v>2854.2999999999993</v>
      </c>
      <c r="H82" s="9">
        <v>4180.1000000000004</v>
      </c>
      <c r="I82" s="9">
        <v>1474.8999999999996</v>
      </c>
      <c r="J82" s="9">
        <v>2676.7800000000025</v>
      </c>
      <c r="K82" s="9">
        <v>3746.8999999999978</v>
      </c>
      <c r="L82" s="9">
        <v>2740.7000000000007</v>
      </c>
      <c r="M82" s="9">
        <v>4408.0999999999985</v>
      </c>
      <c r="N82" s="9">
        <v>7527.4100000000035</v>
      </c>
      <c r="O82" s="9">
        <v>44.5</v>
      </c>
      <c r="P82" s="9">
        <v>1245.6999999999971</v>
      </c>
      <c r="Q82" s="10">
        <f t="shared" si="3"/>
        <v>40209.89</v>
      </c>
      <c r="R82" s="11">
        <v>40209.89</v>
      </c>
      <c r="S82" s="12">
        <f t="shared" si="4"/>
        <v>0</v>
      </c>
    </row>
    <row r="83" spans="1:19" x14ac:dyDescent="0.3">
      <c r="A83" s="5" t="s">
        <v>83</v>
      </c>
      <c r="B83" s="14">
        <v>58564010</v>
      </c>
      <c r="C83" s="7" t="s">
        <v>95</v>
      </c>
      <c r="D83" s="8" t="s">
        <v>8</v>
      </c>
      <c r="E83" s="9">
        <v>2421.67</v>
      </c>
      <c r="F83" s="9">
        <v>1254.4000000000001</v>
      </c>
      <c r="G83" s="9">
        <v>0</v>
      </c>
      <c r="H83" s="9">
        <v>265.59999999999991</v>
      </c>
      <c r="I83" s="9">
        <v>396</v>
      </c>
      <c r="J83" s="9">
        <v>1454.58</v>
      </c>
      <c r="K83" s="9">
        <v>0</v>
      </c>
      <c r="L83" s="9">
        <v>3779.9400000000005</v>
      </c>
      <c r="M83" s="9">
        <v>111.69999999999891</v>
      </c>
      <c r="N83" s="9">
        <v>909.51000000000022</v>
      </c>
      <c r="O83" s="9">
        <v>218.05000000000109</v>
      </c>
      <c r="P83" s="9">
        <v>1088.7999999999993</v>
      </c>
      <c r="Q83" s="10">
        <f t="shared" si="3"/>
        <v>11900.25</v>
      </c>
      <c r="R83" s="11">
        <v>11900.25</v>
      </c>
      <c r="S83" s="12">
        <f t="shared" si="4"/>
        <v>0</v>
      </c>
    </row>
    <row r="84" spans="1:19" x14ac:dyDescent="0.3">
      <c r="A84" s="5" t="s">
        <v>83</v>
      </c>
      <c r="B84" s="14">
        <v>58564020</v>
      </c>
      <c r="C84" s="7" t="s">
        <v>96</v>
      </c>
      <c r="D84" s="8" t="s">
        <v>8</v>
      </c>
      <c r="E84" s="9">
        <v>-35000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-4000</v>
      </c>
      <c r="M84" s="9">
        <v>0</v>
      </c>
      <c r="N84" s="9">
        <v>0</v>
      </c>
      <c r="O84" s="9">
        <v>0</v>
      </c>
      <c r="P84" s="9">
        <v>0</v>
      </c>
      <c r="Q84" s="10">
        <f t="shared" si="3"/>
        <v>-39000</v>
      </c>
      <c r="R84" s="11">
        <v>-39000</v>
      </c>
      <c r="S84" s="12">
        <f t="shared" si="4"/>
        <v>0</v>
      </c>
    </row>
    <row r="85" spans="1:19" x14ac:dyDescent="0.3">
      <c r="A85" s="5" t="s">
        <v>83</v>
      </c>
      <c r="B85" s="14">
        <v>58566000</v>
      </c>
      <c r="C85" s="7" t="s">
        <v>97</v>
      </c>
      <c r="D85" s="8" t="s">
        <v>8</v>
      </c>
      <c r="E85" s="9">
        <v>2301.39</v>
      </c>
      <c r="F85" s="9">
        <v>4048.6600000000003</v>
      </c>
      <c r="G85" s="9">
        <v>14173.369999999999</v>
      </c>
      <c r="H85" s="9">
        <v>0</v>
      </c>
      <c r="I85" s="9">
        <v>2531.4600000000028</v>
      </c>
      <c r="J85" s="9">
        <v>3135.2999999999993</v>
      </c>
      <c r="K85" s="9">
        <v>36.790000000000873</v>
      </c>
      <c r="L85" s="9">
        <v>1061.5</v>
      </c>
      <c r="M85" s="9">
        <v>0</v>
      </c>
      <c r="N85" s="9">
        <v>0</v>
      </c>
      <c r="O85" s="9">
        <v>0</v>
      </c>
      <c r="P85" s="9">
        <v>-4670.5300000000025</v>
      </c>
      <c r="Q85" s="10">
        <f t="shared" si="3"/>
        <v>22617.94</v>
      </c>
      <c r="R85" s="11">
        <v>22617.94</v>
      </c>
      <c r="S85" s="12">
        <f t="shared" si="4"/>
        <v>0</v>
      </c>
    </row>
    <row r="86" spans="1:19" x14ac:dyDescent="0.3">
      <c r="A86" s="5" t="s">
        <v>83</v>
      </c>
      <c r="B86" s="14">
        <v>58566010</v>
      </c>
      <c r="C86" s="7" t="s">
        <v>98</v>
      </c>
      <c r="D86" s="8" t="s">
        <v>8</v>
      </c>
      <c r="E86" s="9">
        <v>0</v>
      </c>
      <c r="F86" s="9">
        <v>1450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2710</v>
      </c>
      <c r="Q86" s="10">
        <f t="shared" si="3"/>
        <v>4160</v>
      </c>
      <c r="R86" s="11">
        <v>4160</v>
      </c>
      <c r="S86" s="12">
        <f t="shared" si="4"/>
        <v>0</v>
      </c>
    </row>
    <row r="87" spans="1:19" x14ac:dyDescent="0.3">
      <c r="A87" s="5" t="s">
        <v>83</v>
      </c>
      <c r="B87" s="14">
        <v>58568002</v>
      </c>
      <c r="C87" s="7" t="s">
        <v>99</v>
      </c>
      <c r="D87" s="8" t="s">
        <v>8</v>
      </c>
      <c r="E87" s="9">
        <v>1667.89</v>
      </c>
      <c r="F87" s="9">
        <v>273</v>
      </c>
      <c r="G87" s="9">
        <v>37339.03</v>
      </c>
      <c r="H87" s="9">
        <v>2730</v>
      </c>
      <c r="I87" s="9">
        <v>-1000</v>
      </c>
      <c r="J87" s="9">
        <v>0</v>
      </c>
      <c r="K87" s="9">
        <v>357.93000000000029</v>
      </c>
      <c r="L87" s="9">
        <v>9.9899999999979627</v>
      </c>
      <c r="M87" s="9">
        <v>0</v>
      </c>
      <c r="N87" s="9">
        <v>0</v>
      </c>
      <c r="O87" s="9">
        <v>0</v>
      </c>
      <c r="P87" s="9">
        <v>42364.19</v>
      </c>
      <c r="Q87" s="10">
        <f t="shared" si="3"/>
        <v>83742.03</v>
      </c>
      <c r="R87" s="11">
        <v>83742.03</v>
      </c>
      <c r="S87" s="12">
        <f t="shared" si="4"/>
        <v>0</v>
      </c>
    </row>
    <row r="88" spans="1:19" x14ac:dyDescent="0.3">
      <c r="A88" s="5" t="s">
        <v>83</v>
      </c>
      <c r="B88" s="14">
        <v>58568011</v>
      </c>
      <c r="C88" s="7" t="s">
        <v>100</v>
      </c>
      <c r="D88" s="8" t="s">
        <v>8</v>
      </c>
      <c r="E88" s="9">
        <v>1000</v>
      </c>
      <c r="F88" s="9">
        <v>0</v>
      </c>
      <c r="G88" s="9">
        <v>0</v>
      </c>
      <c r="H88" s="9">
        <v>0</v>
      </c>
      <c r="I88" s="9">
        <v>261.23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-1261.23</v>
      </c>
      <c r="Q88" s="10">
        <f t="shared" si="3"/>
        <v>0</v>
      </c>
      <c r="R88" s="11">
        <v>0</v>
      </c>
      <c r="S88" s="12">
        <f t="shared" si="4"/>
        <v>0</v>
      </c>
    </row>
    <row r="89" spans="1:19" hidden="1" x14ac:dyDescent="0.3">
      <c r="A89" s="5" t="s">
        <v>101</v>
      </c>
      <c r="B89" s="14">
        <v>11000100</v>
      </c>
      <c r="C89" s="7" t="s">
        <v>103</v>
      </c>
      <c r="D89" s="8" t="s">
        <v>102</v>
      </c>
      <c r="E89" s="9">
        <v>77463.009999999995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10">
        <f t="shared" si="3"/>
        <v>77463.009999999995</v>
      </c>
      <c r="R89" s="11">
        <v>77463.009999999995</v>
      </c>
      <c r="S89" s="12">
        <f t="shared" si="4"/>
        <v>0</v>
      </c>
    </row>
    <row r="90" spans="1:19" hidden="1" x14ac:dyDescent="0.3">
      <c r="A90" s="5" t="s">
        <v>101</v>
      </c>
      <c r="B90" s="14">
        <v>11000400</v>
      </c>
      <c r="C90" s="7" t="s">
        <v>104</v>
      </c>
      <c r="D90" s="8" t="s">
        <v>102</v>
      </c>
      <c r="E90" s="9">
        <v>-59859.51</v>
      </c>
      <c r="F90" s="9">
        <v>-926.5</v>
      </c>
      <c r="G90" s="9">
        <v>-926.5</v>
      </c>
      <c r="H90" s="9">
        <v>-926.5</v>
      </c>
      <c r="I90" s="9">
        <v>-926.5</v>
      </c>
      <c r="J90" s="9">
        <v>-926.5</v>
      </c>
      <c r="K90" s="9">
        <v>-926.5</v>
      </c>
      <c r="L90" s="9">
        <v>-926.49999999999272</v>
      </c>
      <c r="M90" s="9">
        <v>-926.5</v>
      </c>
      <c r="N90" s="9">
        <v>-926.5</v>
      </c>
      <c r="O90" s="9">
        <v>-926.5</v>
      </c>
      <c r="P90" s="9">
        <v>-926.5</v>
      </c>
      <c r="Q90" s="10">
        <f t="shared" si="3"/>
        <v>-70051.009999999995</v>
      </c>
      <c r="R90" s="11">
        <v>-70051.009999999995</v>
      </c>
      <c r="S90" s="12">
        <f t="shared" si="4"/>
        <v>0</v>
      </c>
    </row>
    <row r="91" spans="1:19" hidden="1" x14ac:dyDescent="0.3">
      <c r="A91" s="5" t="s">
        <v>101</v>
      </c>
      <c r="B91" s="14">
        <v>11502100</v>
      </c>
      <c r="C91" s="7" t="s">
        <v>105</v>
      </c>
      <c r="D91" s="8" t="s">
        <v>102</v>
      </c>
      <c r="E91" s="9">
        <v>8316576.9500000002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10">
        <f t="shared" si="3"/>
        <v>8316576.9500000002</v>
      </c>
      <c r="R91" s="11">
        <v>8316576.9500000002</v>
      </c>
      <c r="S91" s="12">
        <f t="shared" si="4"/>
        <v>0</v>
      </c>
    </row>
    <row r="92" spans="1:19" hidden="1" x14ac:dyDescent="0.3">
      <c r="A92" s="5" t="s">
        <v>101</v>
      </c>
      <c r="B92" s="14">
        <v>11502400</v>
      </c>
      <c r="C92" s="7" t="s">
        <v>106</v>
      </c>
      <c r="D92" s="8" t="s">
        <v>102</v>
      </c>
      <c r="E92" s="9">
        <v>-1679956.62</v>
      </c>
      <c r="F92" s="9">
        <v>-17326.199999999953</v>
      </c>
      <c r="G92" s="9">
        <v>-17326.209999999963</v>
      </c>
      <c r="H92" s="9">
        <v>-17326.199999999953</v>
      </c>
      <c r="I92" s="9">
        <v>-17326.199999999953</v>
      </c>
      <c r="J92" s="9">
        <v>-17326.199999999953</v>
      </c>
      <c r="K92" s="9">
        <v>-17326.200000000186</v>
      </c>
      <c r="L92" s="9">
        <v>-17326.199999999953</v>
      </c>
      <c r="M92" s="9">
        <v>-17326.209999999963</v>
      </c>
      <c r="N92" s="9">
        <v>-17326.199999999953</v>
      </c>
      <c r="O92" s="9">
        <v>-17326.199999999953</v>
      </c>
      <c r="P92" s="9">
        <v>-17326.200000000186</v>
      </c>
      <c r="Q92" s="10">
        <f t="shared" si="3"/>
        <v>-1870544.84</v>
      </c>
      <c r="R92" s="11">
        <v>-1870544.84</v>
      </c>
      <c r="S92" s="12">
        <f t="shared" si="4"/>
        <v>0</v>
      </c>
    </row>
    <row r="93" spans="1:19" hidden="1" x14ac:dyDescent="0.3">
      <c r="A93" s="5" t="s">
        <v>101</v>
      </c>
      <c r="B93" s="14">
        <v>11504100</v>
      </c>
      <c r="C93" s="7" t="s">
        <v>107</v>
      </c>
      <c r="D93" s="8" t="s">
        <v>102</v>
      </c>
      <c r="E93" s="9">
        <v>204102.98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10">
        <f t="shared" si="3"/>
        <v>204102.98</v>
      </c>
      <c r="R93" s="11">
        <v>204102.98</v>
      </c>
      <c r="S93" s="12">
        <f t="shared" si="4"/>
        <v>0</v>
      </c>
    </row>
    <row r="94" spans="1:19" hidden="1" x14ac:dyDescent="0.3">
      <c r="A94" s="5" t="s">
        <v>101</v>
      </c>
      <c r="B94" s="14">
        <v>11504400</v>
      </c>
      <c r="C94" s="7" t="s">
        <v>108</v>
      </c>
      <c r="D94" s="8" t="s">
        <v>102</v>
      </c>
      <c r="E94" s="9">
        <v>-43327.35</v>
      </c>
      <c r="F94" s="9">
        <v>-313.45000000000437</v>
      </c>
      <c r="G94" s="9">
        <v>-313.45999999999913</v>
      </c>
      <c r="H94" s="9">
        <v>-313.45999999999913</v>
      </c>
      <c r="I94" s="9">
        <v>-6769.3399999999965</v>
      </c>
      <c r="J94" s="9">
        <v>-1604.6399999999994</v>
      </c>
      <c r="K94" s="9">
        <v>-1604.6399999999994</v>
      </c>
      <c r="L94" s="9">
        <v>-1604.6300000000047</v>
      </c>
      <c r="M94" s="9">
        <v>-1604.6399999999994</v>
      </c>
      <c r="N94" s="9">
        <v>-1604.6299999999974</v>
      </c>
      <c r="O94" s="9">
        <v>-1604.6300000000047</v>
      </c>
      <c r="P94" s="9">
        <v>-1604.6399999999994</v>
      </c>
      <c r="Q94" s="10">
        <f t="shared" si="3"/>
        <v>-62269.51</v>
      </c>
      <c r="R94" s="11">
        <v>-62269.51</v>
      </c>
      <c r="S94" s="12">
        <f t="shared" si="4"/>
        <v>0</v>
      </c>
    </row>
    <row r="95" spans="1:19" hidden="1" x14ac:dyDescent="0.3">
      <c r="A95" s="5" t="s">
        <v>101</v>
      </c>
      <c r="B95" s="14">
        <v>11508100</v>
      </c>
      <c r="C95" s="7" t="s">
        <v>109</v>
      </c>
      <c r="D95" s="8" t="s">
        <v>102</v>
      </c>
      <c r="E95" s="9">
        <v>1021948.24</v>
      </c>
      <c r="F95" s="9">
        <v>6806.5100000000093</v>
      </c>
      <c r="G95" s="9">
        <v>-2240.0699999999488</v>
      </c>
      <c r="H95" s="9">
        <v>22451.589999999967</v>
      </c>
      <c r="I95" s="9">
        <v>459</v>
      </c>
      <c r="J95" s="9">
        <v>0</v>
      </c>
      <c r="K95" s="9">
        <v>13387.330000000075</v>
      </c>
      <c r="L95" s="9">
        <v>-1499.0600000000559</v>
      </c>
      <c r="M95" s="9">
        <v>157.43999999994412</v>
      </c>
      <c r="N95" s="9">
        <v>9879.5400000000373</v>
      </c>
      <c r="O95" s="9">
        <v>2065.0400000000373</v>
      </c>
      <c r="P95" s="9">
        <v>6725.9299999999348</v>
      </c>
      <c r="Q95" s="10">
        <f t="shared" si="3"/>
        <v>1080141.49</v>
      </c>
      <c r="R95" s="11">
        <v>1080141.49</v>
      </c>
      <c r="S95" s="12">
        <f t="shared" si="4"/>
        <v>0</v>
      </c>
    </row>
    <row r="96" spans="1:19" hidden="1" x14ac:dyDescent="0.3">
      <c r="A96" s="5" t="s">
        <v>101</v>
      </c>
      <c r="B96" s="14">
        <v>11508400</v>
      </c>
      <c r="C96" s="7" t="s">
        <v>110</v>
      </c>
      <c r="D96" s="8" t="s">
        <v>102</v>
      </c>
      <c r="E96" s="9">
        <v>-1009268.7</v>
      </c>
      <c r="F96" s="9">
        <v>-3437.1500000000233</v>
      </c>
      <c r="G96" s="9">
        <v>-3035.4200000000419</v>
      </c>
      <c r="H96" s="9">
        <v>-22451.589999999967</v>
      </c>
      <c r="I96" s="9">
        <v>-459</v>
      </c>
      <c r="J96" s="9">
        <v>0</v>
      </c>
      <c r="K96" s="9">
        <v>-13387.329999999958</v>
      </c>
      <c r="L96" s="9">
        <v>920.06000000005588</v>
      </c>
      <c r="M96" s="9">
        <v>421.55999999982305</v>
      </c>
      <c r="N96" s="9">
        <v>-9879.5400000000373</v>
      </c>
      <c r="O96" s="9">
        <v>-2065.0399999998044</v>
      </c>
      <c r="P96" s="9">
        <v>-6725.9300000001676</v>
      </c>
      <c r="Q96" s="10">
        <f t="shared" si="3"/>
        <v>-1069368.08</v>
      </c>
      <c r="R96" s="11">
        <v>-1069368.08</v>
      </c>
      <c r="S96" s="12">
        <f t="shared" si="4"/>
        <v>0</v>
      </c>
    </row>
    <row r="97" spans="1:19" hidden="1" x14ac:dyDescent="0.3">
      <c r="A97" s="5" t="s">
        <v>101</v>
      </c>
      <c r="B97" s="14">
        <v>11514100</v>
      </c>
      <c r="C97" s="7" t="s">
        <v>111</v>
      </c>
      <c r="D97" s="8" t="s">
        <v>102</v>
      </c>
      <c r="E97" s="9">
        <v>1071105.06</v>
      </c>
      <c r="F97" s="9">
        <v>343.89999999990687</v>
      </c>
      <c r="G97" s="9">
        <v>0</v>
      </c>
      <c r="H97" s="9">
        <v>16465.40000000014</v>
      </c>
      <c r="I97" s="9">
        <v>0</v>
      </c>
      <c r="J97" s="9">
        <v>0</v>
      </c>
      <c r="K97" s="9">
        <v>1998.7199999999721</v>
      </c>
      <c r="L97" s="9">
        <v>0</v>
      </c>
      <c r="M97" s="9">
        <v>0</v>
      </c>
      <c r="N97" s="9">
        <v>2900</v>
      </c>
      <c r="O97" s="9">
        <v>0</v>
      </c>
      <c r="P97" s="9">
        <v>0</v>
      </c>
      <c r="Q97" s="10">
        <f t="shared" si="3"/>
        <v>1092813.08</v>
      </c>
      <c r="R97" s="11">
        <v>1092813.08</v>
      </c>
      <c r="S97" s="12">
        <f t="shared" si="4"/>
        <v>0</v>
      </c>
    </row>
    <row r="98" spans="1:19" hidden="1" x14ac:dyDescent="0.3">
      <c r="A98" s="5" t="s">
        <v>101</v>
      </c>
      <c r="B98" s="14">
        <v>11514400</v>
      </c>
      <c r="C98" s="7" t="s">
        <v>112</v>
      </c>
      <c r="D98" s="8" t="s">
        <v>102</v>
      </c>
      <c r="E98" s="9">
        <v>-985003.34</v>
      </c>
      <c r="F98" s="9">
        <v>-579</v>
      </c>
      <c r="G98" s="9">
        <v>-3421.140000000014</v>
      </c>
      <c r="H98" s="9">
        <v>-18409.020000000019</v>
      </c>
      <c r="I98" s="9">
        <v>-1749.8100000000559</v>
      </c>
      <c r="J98" s="9">
        <v>-1749.7999999999302</v>
      </c>
      <c r="K98" s="9">
        <v>-3748.5100000000093</v>
      </c>
      <c r="L98" s="9">
        <v>-1749.8100000000559</v>
      </c>
      <c r="M98" s="9">
        <v>-1749.7999999999302</v>
      </c>
      <c r="N98" s="9">
        <v>-4649.8000000000466</v>
      </c>
      <c r="O98" s="9">
        <v>-1749.7999999999302</v>
      </c>
      <c r="P98" s="9">
        <v>-816.98000000009779</v>
      </c>
      <c r="Q98" s="10">
        <f t="shared" si="3"/>
        <v>-1025376.81</v>
      </c>
      <c r="R98" s="11">
        <v>-1025376.81</v>
      </c>
      <c r="S98" s="12">
        <f t="shared" si="4"/>
        <v>0</v>
      </c>
    </row>
    <row r="99" spans="1:19" hidden="1" x14ac:dyDescent="0.3">
      <c r="A99" s="5" t="s">
        <v>101</v>
      </c>
      <c r="B99" s="14">
        <v>11518100</v>
      </c>
      <c r="C99" s="7" t="s">
        <v>113</v>
      </c>
      <c r="D99" s="8" t="s">
        <v>102</v>
      </c>
      <c r="E99" s="9">
        <v>1042482.44</v>
      </c>
      <c r="F99" s="9">
        <v>0</v>
      </c>
      <c r="G99" s="9">
        <v>-152490.18999999994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10">
        <f t="shared" si="3"/>
        <v>889992.25</v>
      </c>
      <c r="R99" s="11">
        <v>889992.25</v>
      </c>
      <c r="S99" s="12">
        <f t="shared" si="4"/>
        <v>0</v>
      </c>
    </row>
    <row r="100" spans="1:19" hidden="1" x14ac:dyDescent="0.3">
      <c r="A100" s="5" t="s">
        <v>101</v>
      </c>
      <c r="B100" s="14">
        <v>11518400</v>
      </c>
      <c r="C100" s="7" t="s">
        <v>114</v>
      </c>
      <c r="D100" s="8" t="s">
        <v>102</v>
      </c>
      <c r="E100" s="9">
        <v>-881165.3</v>
      </c>
      <c r="F100" s="9">
        <v>-16101</v>
      </c>
      <c r="G100" s="9">
        <v>133847.71000000008</v>
      </c>
      <c r="H100" s="9">
        <v>-13559.440000000061</v>
      </c>
      <c r="I100" s="9">
        <v>-8113.5200000000186</v>
      </c>
      <c r="J100" s="9">
        <v>-6162.7699999999022</v>
      </c>
      <c r="K100" s="9">
        <v>-6162.4500000000698</v>
      </c>
      <c r="L100" s="9">
        <v>-6162.4599999999627</v>
      </c>
      <c r="M100" s="9">
        <v>-6162.4799999999814</v>
      </c>
      <c r="N100" s="9">
        <v>-6162.4700000000885</v>
      </c>
      <c r="O100" s="9">
        <v>-6162.4599999999627</v>
      </c>
      <c r="P100" s="9">
        <v>-6162.4599999999627</v>
      </c>
      <c r="Q100" s="10">
        <f t="shared" si="3"/>
        <v>-828229.1</v>
      </c>
      <c r="R100" s="11">
        <v>-828229.1</v>
      </c>
      <c r="S100" s="12">
        <f t="shared" si="4"/>
        <v>0</v>
      </c>
    </row>
    <row r="101" spans="1:19" hidden="1" x14ac:dyDescent="0.3">
      <c r="A101" s="5" t="s">
        <v>101</v>
      </c>
      <c r="B101" s="14">
        <v>13500000</v>
      </c>
      <c r="C101" s="7" t="s">
        <v>115</v>
      </c>
      <c r="D101" s="8" t="s">
        <v>102</v>
      </c>
      <c r="E101" s="9">
        <v>159228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10">
        <f t="shared" si="3"/>
        <v>159228</v>
      </c>
      <c r="R101" s="11">
        <v>159228</v>
      </c>
      <c r="S101" s="12">
        <f t="shared" si="4"/>
        <v>0</v>
      </c>
    </row>
    <row r="102" spans="1:19" hidden="1" x14ac:dyDescent="0.3">
      <c r="A102" s="5" t="s">
        <v>101</v>
      </c>
      <c r="B102" s="14">
        <v>15500000</v>
      </c>
      <c r="C102" s="7" t="s">
        <v>116</v>
      </c>
      <c r="D102" s="8" t="s">
        <v>102</v>
      </c>
      <c r="E102" s="9">
        <v>15147.43</v>
      </c>
      <c r="F102" s="9">
        <v>769.25</v>
      </c>
      <c r="G102" s="9">
        <v>-2600</v>
      </c>
      <c r="H102" s="9">
        <v>-2600</v>
      </c>
      <c r="I102" s="9">
        <v>-2600</v>
      </c>
      <c r="J102" s="9">
        <v>-2600</v>
      </c>
      <c r="K102" s="9">
        <v>-516.68000000000029</v>
      </c>
      <c r="L102" s="9">
        <v>173.75</v>
      </c>
      <c r="M102" s="9">
        <v>36.899999999999636</v>
      </c>
      <c r="N102" s="9">
        <v>19365.650000000001</v>
      </c>
      <c r="O102" s="9">
        <v>-5000</v>
      </c>
      <c r="P102" s="9">
        <v>26568.670000000002</v>
      </c>
      <c r="Q102" s="10">
        <f t="shared" si="3"/>
        <v>46144.97</v>
      </c>
      <c r="R102" s="11">
        <v>46144.97</v>
      </c>
      <c r="S102" s="12">
        <f t="shared" si="4"/>
        <v>0</v>
      </c>
    </row>
    <row r="103" spans="1:19" hidden="1" x14ac:dyDescent="0.3">
      <c r="A103" s="5" t="s">
        <v>101</v>
      </c>
      <c r="B103" s="14">
        <v>15500800</v>
      </c>
      <c r="C103" s="7" t="s">
        <v>117</v>
      </c>
      <c r="D103" s="8" t="s">
        <v>102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10">
        <f t="shared" si="3"/>
        <v>0</v>
      </c>
      <c r="R103" s="11">
        <v>0</v>
      </c>
      <c r="S103" s="12">
        <f t="shared" si="4"/>
        <v>0</v>
      </c>
    </row>
    <row r="104" spans="1:19" hidden="1" x14ac:dyDescent="0.3">
      <c r="A104" s="5" t="s">
        <v>101</v>
      </c>
      <c r="B104" s="14">
        <v>15500999</v>
      </c>
      <c r="C104" s="7" t="s">
        <v>118</v>
      </c>
      <c r="D104" s="8" t="s">
        <v>102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319.97000000000003</v>
      </c>
      <c r="Q104" s="10">
        <f t="shared" si="3"/>
        <v>319.97000000000003</v>
      </c>
      <c r="R104" s="11">
        <v>319.97000000000003</v>
      </c>
      <c r="S104" s="12">
        <f t="shared" si="4"/>
        <v>0</v>
      </c>
    </row>
    <row r="105" spans="1:19" hidden="1" x14ac:dyDescent="0.3">
      <c r="A105" s="5" t="s">
        <v>101</v>
      </c>
      <c r="B105" s="14">
        <v>15540000</v>
      </c>
      <c r="C105" s="7" t="s">
        <v>119</v>
      </c>
      <c r="D105" s="8" t="s">
        <v>102</v>
      </c>
      <c r="E105" s="9">
        <v>1206.04</v>
      </c>
      <c r="F105" s="9">
        <v>-5000</v>
      </c>
      <c r="G105" s="9">
        <v>799.5</v>
      </c>
      <c r="H105" s="9">
        <v>676.5</v>
      </c>
      <c r="I105" s="9">
        <v>753.5</v>
      </c>
      <c r="J105" s="9">
        <v>676.5</v>
      </c>
      <c r="K105" s="9">
        <v>676.5</v>
      </c>
      <c r="L105" s="9">
        <v>1722</v>
      </c>
      <c r="M105" s="9">
        <v>1275.1100000000001</v>
      </c>
      <c r="N105" s="9">
        <v>4097.3700000000008</v>
      </c>
      <c r="O105" s="9">
        <v>-7162.9800000000005</v>
      </c>
      <c r="P105" s="9">
        <v>3344.88</v>
      </c>
      <c r="Q105" s="10">
        <f t="shared" si="3"/>
        <v>3064.92</v>
      </c>
      <c r="R105" s="11">
        <v>3064.92</v>
      </c>
      <c r="S105" s="12">
        <f t="shared" si="4"/>
        <v>0</v>
      </c>
    </row>
    <row r="106" spans="1:19" hidden="1" x14ac:dyDescent="0.3">
      <c r="A106" s="5" t="s">
        <v>101</v>
      </c>
      <c r="B106" s="14">
        <v>15540999</v>
      </c>
      <c r="C106" s="7" t="s">
        <v>120</v>
      </c>
      <c r="D106" s="8" t="s">
        <v>102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-33.42</v>
      </c>
      <c r="Q106" s="10">
        <f t="shared" si="3"/>
        <v>-33.42</v>
      </c>
      <c r="R106" s="11">
        <v>-33.42</v>
      </c>
      <c r="S106" s="12">
        <f t="shared" si="4"/>
        <v>0</v>
      </c>
    </row>
    <row r="107" spans="1:19" hidden="1" x14ac:dyDescent="0.3">
      <c r="A107" s="5" t="s">
        <v>101</v>
      </c>
      <c r="B107" s="14">
        <v>15550368</v>
      </c>
      <c r="C107" s="7" t="s">
        <v>121</v>
      </c>
      <c r="D107" s="8" t="s">
        <v>102</v>
      </c>
      <c r="E107" s="9">
        <v>91020851.159999996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-4.3199999928474426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10">
        <f t="shared" si="3"/>
        <v>91020846.840000004</v>
      </c>
      <c r="R107" s="11">
        <v>91020846.840000004</v>
      </c>
      <c r="S107" s="12">
        <f t="shared" si="4"/>
        <v>0</v>
      </c>
    </row>
    <row r="108" spans="1:19" hidden="1" x14ac:dyDescent="0.3">
      <c r="A108" s="5" t="s">
        <v>101</v>
      </c>
      <c r="B108" s="14">
        <v>15552000</v>
      </c>
      <c r="C108" s="7" t="s">
        <v>122</v>
      </c>
      <c r="D108" s="8" t="s">
        <v>102</v>
      </c>
      <c r="E108" s="9">
        <v>-96008975.519999996</v>
      </c>
      <c r="F108" s="9">
        <v>1861827</v>
      </c>
      <c r="G108" s="9">
        <v>-1795000</v>
      </c>
      <c r="H108" s="9">
        <v>-407621</v>
      </c>
      <c r="I108" s="9">
        <v>-955819</v>
      </c>
      <c r="J108" s="9">
        <v>170817</v>
      </c>
      <c r="K108" s="9">
        <v>633951.25999999046</v>
      </c>
      <c r="L108" s="9">
        <v>88363</v>
      </c>
      <c r="M108" s="9">
        <v>70812</v>
      </c>
      <c r="N108" s="9">
        <v>129897.99000000954</v>
      </c>
      <c r="O108" s="9">
        <v>23495.09999999404</v>
      </c>
      <c r="P108" s="9">
        <v>-170886.92999999225</v>
      </c>
      <c r="Q108" s="10">
        <f t="shared" si="3"/>
        <v>-96359139.099999994</v>
      </c>
      <c r="R108" s="11">
        <v>-96359139.099999994</v>
      </c>
      <c r="S108" s="12">
        <f t="shared" si="4"/>
        <v>0</v>
      </c>
    </row>
    <row r="109" spans="1:19" hidden="1" x14ac:dyDescent="0.3">
      <c r="A109" s="5" t="s">
        <v>101</v>
      </c>
      <c r="B109" s="14">
        <v>15562000</v>
      </c>
      <c r="C109" s="7" t="s">
        <v>123</v>
      </c>
      <c r="D109" s="8" t="s">
        <v>102</v>
      </c>
      <c r="E109" s="9">
        <v>7065.52</v>
      </c>
      <c r="F109" s="9">
        <v>4799.41</v>
      </c>
      <c r="G109" s="9">
        <v>875.11999999999898</v>
      </c>
      <c r="H109" s="9">
        <v>988.93000000000029</v>
      </c>
      <c r="I109" s="9">
        <v>-324.45999999999913</v>
      </c>
      <c r="J109" s="9">
        <v>435.82999999999993</v>
      </c>
      <c r="K109" s="9">
        <v>1608.0900000000001</v>
      </c>
      <c r="L109" s="9">
        <v>-246</v>
      </c>
      <c r="M109" s="9">
        <v>9758.4</v>
      </c>
      <c r="N109" s="9">
        <v>-19799.13</v>
      </c>
      <c r="O109" s="9">
        <v>13981.350000000002</v>
      </c>
      <c r="P109" s="9">
        <v>-12687.910000000002</v>
      </c>
      <c r="Q109" s="10">
        <f t="shared" si="3"/>
        <v>6455.15</v>
      </c>
      <c r="R109" s="11">
        <v>6455.15</v>
      </c>
      <c r="S109" s="12">
        <f t="shared" si="4"/>
        <v>0</v>
      </c>
    </row>
    <row r="110" spans="1:19" hidden="1" x14ac:dyDescent="0.3">
      <c r="A110" s="5" t="s">
        <v>101</v>
      </c>
      <c r="B110" s="14">
        <v>16004000</v>
      </c>
      <c r="C110" s="7" t="s">
        <v>124</v>
      </c>
      <c r="D110" s="8" t="s">
        <v>102</v>
      </c>
      <c r="E110" s="9">
        <v>-368039</v>
      </c>
      <c r="F110" s="9">
        <v>-35064</v>
      </c>
      <c r="G110" s="9">
        <v>-86089</v>
      </c>
      <c r="H110" s="9">
        <v>-42215</v>
      </c>
      <c r="I110" s="9">
        <v>-27515</v>
      </c>
      <c r="J110" s="9">
        <v>-34074</v>
      </c>
      <c r="K110" s="9">
        <v>-52694</v>
      </c>
      <c r="L110" s="9">
        <v>-30222</v>
      </c>
      <c r="M110" s="9">
        <v>-29072</v>
      </c>
      <c r="N110" s="9">
        <v>-53572</v>
      </c>
      <c r="O110" s="9">
        <v>-28170</v>
      </c>
      <c r="P110" s="9">
        <v>-32801</v>
      </c>
      <c r="Q110" s="10">
        <f t="shared" si="3"/>
        <v>-819527</v>
      </c>
      <c r="R110" s="11">
        <v>-819527</v>
      </c>
      <c r="S110" s="12">
        <f t="shared" si="4"/>
        <v>0</v>
      </c>
    </row>
    <row r="111" spans="1:19" hidden="1" x14ac:dyDescent="0.3">
      <c r="A111" s="5" t="s">
        <v>101</v>
      </c>
      <c r="B111" s="14">
        <v>16004010</v>
      </c>
      <c r="C111" s="7" t="s">
        <v>125</v>
      </c>
      <c r="D111" s="8" t="s">
        <v>102</v>
      </c>
      <c r="E111" s="9">
        <v>621569.04</v>
      </c>
      <c r="F111" s="9">
        <v>25400.770000000019</v>
      </c>
      <c r="G111" s="9">
        <v>46832.219999999972</v>
      </c>
      <c r="H111" s="9">
        <v>52825.969999999972</v>
      </c>
      <c r="I111" s="9">
        <v>30515.75</v>
      </c>
      <c r="J111" s="9">
        <v>30174.689999999944</v>
      </c>
      <c r="K111" s="9">
        <v>55004.170000000042</v>
      </c>
      <c r="L111" s="9">
        <v>26251.760000000009</v>
      </c>
      <c r="M111" s="9">
        <v>36588.369999999995</v>
      </c>
      <c r="N111" s="9">
        <v>35269.570000000065</v>
      </c>
      <c r="O111" s="9">
        <v>37089.089999999967</v>
      </c>
      <c r="P111" s="9">
        <v>36210.020000000019</v>
      </c>
      <c r="Q111" s="10">
        <f t="shared" si="3"/>
        <v>1033731.42</v>
      </c>
      <c r="R111" s="11">
        <v>1033731.42</v>
      </c>
      <c r="S111" s="12">
        <f t="shared" si="4"/>
        <v>0</v>
      </c>
    </row>
    <row r="112" spans="1:19" hidden="1" x14ac:dyDescent="0.3">
      <c r="A112" s="5" t="s">
        <v>101</v>
      </c>
      <c r="B112" s="14">
        <v>16004080</v>
      </c>
      <c r="C112" s="7" t="s">
        <v>126</v>
      </c>
      <c r="D112" s="8" t="s">
        <v>102</v>
      </c>
      <c r="E112" s="9">
        <v>2135.36</v>
      </c>
      <c r="F112" s="9">
        <v>-678.77000000000021</v>
      </c>
      <c r="G112" s="9">
        <v>0</v>
      </c>
      <c r="H112" s="9">
        <v>-703.09999999999991</v>
      </c>
      <c r="I112" s="9">
        <v>0</v>
      </c>
      <c r="J112" s="9">
        <v>-97.539999999999964</v>
      </c>
      <c r="K112" s="9">
        <v>25.8599999999999</v>
      </c>
      <c r="L112" s="9">
        <v>0</v>
      </c>
      <c r="M112" s="9">
        <v>-56.579999999999927</v>
      </c>
      <c r="N112" s="9">
        <v>-100.61000000000001</v>
      </c>
      <c r="O112" s="9">
        <v>-66.699999999999989</v>
      </c>
      <c r="P112" s="9">
        <v>2814.63</v>
      </c>
      <c r="Q112" s="10">
        <f t="shared" si="3"/>
        <v>3272.55</v>
      </c>
      <c r="R112" s="11">
        <v>3272.55</v>
      </c>
      <c r="S112" s="12">
        <f t="shared" si="4"/>
        <v>0</v>
      </c>
    </row>
    <row r="113" spans="1:19" hidden="1" x14ac:dyDescent="0.3">
      <c r="A113" s="5" t="s">
        <v>101</v>
      </c>
      <c r="B113" s="14">
        <v>16008000</v>
      </c>
      <c r="C113" s="7" t="s">
        <v>127</v>
      </c>
      <c r="D113" s="8" t="s">
        <v>102</v>
      </c>
      <c r="E113" s="9">
        <v>-11714.43</v>
      </c>
      <c r="F113" s="9">
        <v>15089.74</v>
      </c>
      <c r="G113" s="9">
        <v>29514.709999999995</v>
      </c>
      <c r="H113" s="9">
        <v>797.4600000000064</v>
      </c>
      <c r="I113" s="9">
        <v>634.95999999999913</v>
      </c>
      <c r="J113" s="9">
        <v>-11740.310000000001</v>
      </c>
      <c r="K113" s="9">
        <v>-4282.4000000000015</v>
      </c>
      <c r="L113" s="9">
        <v>-1439.3299999999981</v>
      </c>
      <c r="M113" s="9">
        <v>3647.59</v>
      </c>
      <c r="N113" s="9">
        <v>-9211.8000000000011</v>
      </c>
      <c r="O113" s="9">
        <v>8169.7499999999982</v>
      </c>
      <c r="P113" s="9">
        <v>-12518.919999999998</v>
      </c>
      <c r="Q113" s="10">
        <f t="shared" si="3"/>
        <v>6947.02</v>
      </c>
      <c r="R113" s="11">
        <v>6947.02</v>
      </c>
      <c r="S113" s="12">
        <f t="shared" si="4"/>
        <v>0</v>
      </c>
    </row>
    <row r="114" spans="1:19" hidden="1" x14ac:dyDescent="0.3">
      <c r="A114" s="5" t="s">
        <v>101</v>
      </c>
      <c r="B114" s="14">
        <v>16008030</v>
      </c>
      <c r="C114" s="7" t="s">
        <v>128</v>
      </c>
      <c r="D114" s="8" t="s">
        <v>102</v>
      </c>
      <c r="E114" s="9">
        <v>0</v>
      </c>
      <c r="F114" s="9">
        <v>10000</v>
      </c>
      <c r="G114" s="9">
        <v>0</v>
      </c>
      <c r="H114" s="9">
        <v>0</v>
      </c>
      <c r="I114" s="9">
        <v>-10000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10">
        <f t="shared" si="3"/>
        <v>0</v>
      </c>
      <c r="R114" s="11">
        <v>0</v>
      </c>
      <c r="S114" s="12">
        <f t="shared" si="4"/>
        <v>0</v>
      </c>
    </row>
    <row r="115" spans="1:19" hidden="1" x14ac:dyDescent="0.3">
      <c r="A115" s="5" t="s">
        <v>101</v>
      </c>
      <c r="B115" s="14">
        <v>17000000</v>
      </c>
      <c r="C115" s="7" t="s">
        <v>129</v>
      </c>
      <c r="D115" s="8" t="s">
        <v>102</v>
      </c>
      <c r="E115" s="9">
        <v>62811.57</v>
      </c>
      <c r="F115" s="9">
        <v>-6281.0999999999985</v>
      </c>
      <c r="G115" s="9">
        <v>-6281.0999999999985</v>
      </c>
      <c r="H115" s="9">
        <v>-6281.1000000000058</v>
      </c>
      <c r="I115" s="9">
        <v>-6281.0999999999985</v>
      </c>
      <c r="J115" s="9">
        <v>-6281.0999999999985</v>
      </c>
      <c r="K115" s="9">
        <v>-6281.0999999999985</v>
      </c>
      <c r="L115" s="9">
        <v>-6281.1000000000022</v>
      </c>
      <c r="M115" s="9">
        <v>-6281.0999999999985</v>
      </c>
      <c r="N115" s="9">
        <v>-6281.1</v>
      </c>
      <c r="O115" s="9">
        <v>-6281.67</v>
      </c>
      <c r="P115" s="9">
        <v>0</v>
      </c>
      <c r="Q115" s="10">
        <f t="shared" si="3"/>
        <v>0</v>
      </c>
      <c r="R115" s="11">
        <v>0</v>
      </c>
      <c r="S115" s="12">
        <f t="shared" si="4"/>
        <v>0</v>
      </c>
    </row>
    <row r="116" spans="1:19" hidden="1" x14ac:dyDescent="0.3">
      <c r="A116" s="5" t="s">
        <v>101</v>
      </c>
      <c r="B116" s="14">
        <v>17000030</v>
      </c>
      <c r="C116" s="7" t="s">
        <v>130</v>
      </c>
      <c r="D116" s="8" t="s">
        <v>102</v>
      </c>
      <c r="E116" s="9">
        <v>17661.79</v>
      </c>
      <c r="F116" s="9">
        <v>-2812.4300000000003</v>
      </c>
      <c r="G116" s="9">
        <v>1370.2899999999991</v>
      </c>
      <c r="H116" s="9">
        <v>24187.9</v>
      </c>
      <c r="I116" s="9">
        <v>-5296.1100000000006</v>
      </c>
      <c r="J116" s="9">
        <v>8255.8299999999945</v>
      </c>
      <c r="K116" s="9">
        <v>2916.4500000000044</v>
      </c>
      <c r="L116" s="9">
        <v>-5329.6300000000047</v>
      </c>
      <c r="M116" s="9">
        <v>-3381.0899999999965</v>
      </c>
      <c r="N116" s="9">
        <v>-5329.09</v>
      </c>
      <c r="O116" s="9">
        <v>-5329.09</v>
      </c>
      <c r="P116" s="9">
        <v>-1444.2000000000007</v>
      </c>
      <c r="Q116" s="10">
        <f t="shared" si="3"/>
        <v>25470.62</v>
      </c>
      <c r="R116" s="11">
        <v>25470.62</v>
      </c>
      <c r="S116" s="12">
        <f t="shared" si="4"/>
        <v>0</v>
      </c>
    </row>
    <row r="117" spans="1:19" hidden="1" x14ac:dyDescent="0.3">
      <c r="A117" s="5" t="s">
        <v>101</v>
      </c>
      <c r="B117" s="14">
        <v>18579900</v>
      </c>
      <c r="C117" s="7" t="s">
        <v>131</v>
      </c>
      <c r="D117" s="8" t="s">
        <v>102</v>
      </c>
      <c r="E117" s="9">
        <v>73896.98</v>
      </c>
      <c r="F117" s="9">
        <v>179485.22000000003</v>
      </c>
      <c r="G117" s="9">
        <v>116172.51000000001</v>
      </c>
      <c r="H117" s="9">
        <v>-342155.16000000003</v>
      </c>
      <c r="I117" s="9">
        <v>140378.92000000001</v>
      </c>
      <c r="J117" s="9">
        <v>589860.22</v>
      </c>
      <c r="K117" s="9">
        <v>-655795.8899999999</v>
      </c>
      <c r="L117" s="9">
        <v>67057.490000000005</v>
      </c>
      <c r="M117" s="9">
        <v>-68231.48000000001</v>
      </c>
      <c r="N117" s="9">
        <v>15997.279999999999</v>
      </c>
      <c r="O117" s="9">
        <v>69099.47</v>
      </c>
      <c r="P117" s="9">
        <v>-91363.78</v>
      </c>
      <c r="Q117" s="10">
        <f t="shared" si="3"/>
        <v>94401.780000000028</v>
      </c>
      <c r="R117" s="11">
        <v>94401.78</v>
      </c>
      <c r="S117" s="12">
        <f t="shared" si="4"/>
        <v>0</v>
      </c>
    </row>
    <row r="118" spans="1:19" hidden="1" x14ac:dyDescent="0.3">
      <c r="A118" s="5" t="s">
        <v>101</v>
      </c>
      <c r="B118" s="14">
        <v>18580000</v>
      </c>
      <c r="C118" s="7" t="s">
        <v>132</v>
      </c>
      <c r="D118" s="8" t="s">
        <v>102</v>
      </c>
      <c r="E118" s="9">
        <v>7177.18</v>
      </c>
      <c r="F118" s="9">
        <v>-121.44000000000051</v>
      </c>
      <c r="G118" s="9">
        <v>34678.03</v>
      </c>
      <c r="H118" s="9">
        <v>-37467.629999999997</v>
      </c>
      <c r="I118" s="9">
        <v>0</v>
      </c>
      <c r="J118" s="9">
        <v>2883.2999999999993</v>
      </c>
      <c r="K118" s="9">
        <v>265.61000000000058</v>
      </c>
      <c r="L118" s="9">
        <v>88.960000000000036</v>
      </c>
      <c r="M118" s="9">
        <v>-972.0600000000004</v>
      </c>
      <c r="N118" s="9">
        <v>-7325.44</v>
      </c>
      <c r="O118" s="9">
        <v>-964.54</v>
      </c>
      <c r="P118" s="9">
        <v>1758.03</v>
      </c>
      <c r="Q118" s="10">
        <f t="shared" si="3"/>
        <v>0</v>
      </c>
      <c r="R118" s="11">
        <v>0</v>
      </c>
      <c r="S118" s="12">
        <f t="shared" si="4"/>
        <v>0</v>
      </c>
    </row>
    <row r="119" spans="1:19" hidden="1" x14ac:dyDescent="0.3">
      <c r="A119" s="5" t="s">
        <v>101</v>
      </c>
      <c r="B119" s="14">
        <v>18580100</v>
      </c>
      <c r="C119" s="7" t="s">
        <v>133</v>
      </c>
      <c r="D119" s="8" t="s">
        <v>102</v>
      </c>
      <c r="E119" s="9">
        <v>20275.14</v>
      </c>
      <c r="F119" s="9">
        <v>-1344.0299999999988</v>
      </c>
      <c r="G119" s="9">
        <v>-8823.61</v>
      </c>
      <c r="H119" s="9">
        <v>0</v>
      </c>
      <c r="I119" s="9">
        <v>0</v>
      </c>
      <c r="J119" s="9">
        <v>-145.95000000000073</v>
      </c>
      <c r="K119" s="9">
        <v>3288.4500000000007</v>
      </c>
      <c r="L119" s="9">
        <v>-0.19000000000050932</v>
      </c>
      <c r="M119" s="9">
        <v>0</v>
      </c>
      <c r="N119" s="9">
        <v>2496.6000000000004</v>
      </c>
      <c r="O119" s="9">
        <v>13199.93</v>
      </c>
      <c r="P119" s="9">
        <v>-28946.34</v>
      </c>
      <c r="Q119" s="10">
        <f t="shared" si="3"/>
        <v>0</v>
      </c>
      <c r="R119" s="11">
        <v>0</v>
      </c>
      <c r="S119" s="12">
        <f t="shared" si="4"/>
        <v>0</v>
      </c>
    </row>
    <row r="120" spans="1:19" hidden="1" x14ac:dyDescent="0.3">
      <c r="A120" s="5" t="s">
        <v>101</v>
      </c>
      <c r="B120" s="14">
        <v>18580200</v>
      </c>
      <c r="C120" s="7" t="s">
        <v>134</v>
      </c>
      <c r="D120" s="8" t="s">
        <v>102</v>
      </c>
      <c r="E120" s="9">
        <v>1038.47</v>
      </c>
      <c r="F120" s="9">
        <v>-525</v>
      </c>
      <c r="G120" s="9">
        <v>4487</v>
      </c>
      <c r="H120" s="9">
        <v>-10</v>
      </c>
      <c r="I120" s="9">
        <v>-10</v>
      </c>
      <c r="J120" s="9">
        <v>-10</v>
      </c>
      <c r="K120" s="9">
        <v>-16</v>
      </c>
      <c r="L120" s="9">
        <v>-10</v>
      </c>
      <c r="M120" s="9">
        <v>-1019.0000000000005</v>
      </c>
      <c r="N120" s="9">
        <v>973.36000000000013</v>
      </c>
      <c r="O120" s="9">
        <v>-10</v>
      </c>
      <c r="P120" s="9">
        <v>-10</v>
      </c>
      <c r="Q120" s="10">
        <f t="shared" si="3"/>
        <v>4878.83</v>
      </c>
      <c r="R120" s="11">
        <v>4878.83</v>
      </c>
      <c r="S120" s="12">
        <f t="shared" si="4"/>
        <v>0</v>
      </c>
    </row>
    <row r="121" spans="1:19" hidden="1" x14ac:dyDescent="0.3">
      <c r="A121" s="5" t="s">
        <v>101</v>
      </c>
      <c r="B121" s="14">
        <v>19000000</v>
      </c>
      <c r="C121" s="7" t="s">
        <v>135</v>
      </c>
      <c r="D121" s="8" t="s">
        <v>102</v>
      </c>
      <c r="E121" s="9">
        <v>4724.93</v>
      </c>
      <c r="F121" s="9">
        <v>-132.92000000000007</v>
      </c>
      <c r="G121" s="9">
        <v>322.96999999999935</v>
      </c>
      <c r="H121" s="9">
        <v>0</v>
      </c>
      <c r="I121" s="9">
        <v>-1133.9999999999995</v>
      </c>
      <c r="J121" s="9">
        <v>-500</v>
      </c>
      <c r="K121" s="9">
        <v>1031.9999999999995</v>
      </c>
      <c r="L121" s="9">
        <v>0</v>
      </c>
      <c r="M121" s="9">
        <v>-1258.0599999999995</v>
      </c>
      <c r="N121" s="9">
        <v>1056.6400000000003</v>
      </c>
      <c r="O121" s="9">
        <v>-998.70000000000027</v>
      </c>
      <c r="P121" s="9">
        <v>500</v>
      </c>
      <c r="Q121" s="10">
        <f t="shared" si="3"/>
        <v>3612.86</v>
      </c>
      <c r="R121" s="11">
        <v>3612.86</v>
      </c>
      <c r="S121" s="12">
        <f t="shared" si="4"/>
        <v>0</v>
      </c>
    </row>
    <row r="122" spans="1:19" hidden="1" x14ac:dyDescent="0.3">
      <c r="A122" s="5" t="s">
        <v>101</v>
      </c>
      <c r="B122" s="14">
        <v>19002000</v>
      </c>
      <c r="C122" s="7" t="s">
        <v>136</v>
      </c>
      <c r="D122" s="8" t="s">
        <v>102</v>
      </c>
      <c r="E122" s="9">
        <v>19532.080000000002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2000</v>
      </c>
      <c r="M122" s="9">
        <v>0</v>
      </c>
      <c r="N122" s="9">
        <v>-2000</v>
      </c>
      <c r="O122" s="9">
        <v>-20642.43</v>
      </c>
      <c r="P122" s="9">
        <v>1110.3499999999999</v>
      </c>
      <c r="Q122" s="10">
        <f t="shared" si="3"/>
        <v>0</v>
      </c>
      <c r="R122" s="11">
        <v>0</v>
      </c>
      <c r="S122" s="12">
        <f t="shared" si="4"/>
        <v>0</v>
      </c>
    </row>
    <row r="123" spans="1:19" hidden="1" x14ac:dyDescent="0.3">
      <c r="A123" s="5" t="s">
        <v>101</v>
      </c>
      <c r="B123" s="14">
        <v>20000000</v>
      </c>
      <c r="C123" s="7" t="s">
        <v>137</v>
      </c>
      <c r="D123" s="8" t="s">
        <v>102</v>
      </c>
      <c r="E123" s="9">
        <v>-50000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10">
        <f t="shared" si="3"/>
        <v>-50000</v>
      </c>
      <c r="R123" s="11">
        <v>-50000</v>
      </c>
      <c r="S123" s="12">
        <f t="shared" si="4"/>
        <v>0</v>
      </c>
    </row>
    <row r="124" spans="1:19" hidden="1" x14ac:dyDescent="0.3">
      <c r="A124" s="5" t="s">
        <v>101</v>
      </c>
      <c r="B124" s="14">
        <v>21000000</v>
      </c>
      <c r="C124" s="7" t="s">
        <v>138</v>
      </c>
      <c r="D124" s="8" t="s">
        <v>102</v>
      </c>
      <c r="E124" s="9">
        <v>-1892451.04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-321922.68999999994</v>
      </c>
      <c r="N124" s="9">
        <v>0</v>
      </c>
      <c r="O124" s="9">
        <v>0</v>
      </c>
      <c r="P124" s="9">
        <v>0</v>
      </c>
      <c r="Q124" s="10">
        <f t="shared" si="3"/>
        <v>-2214373.73</v>
      </c>
      <c r="R124" s="11">
        <v>-2214373.73</v>
      </c>
      <c r="S124" s="12">
        <f t="shared" si="4"/>
        <v>0</v>
      </c>
    </row>
    <row r="125" spans="1:19" hidden="1" x14ac:dyDescent="0.3">
      <c r="A125" s="5" t="s">
        <v>101</v>
      </c>
      <c r="B125" s="14">
        <v>21500000</v>
      </c>
      <c r="C125" s="7" t="s">
        <v>139</v>
      </c>
      <c r="D125" s="8" t="s">
        <v>102</v>
      </c>
      <c r="E125" s="9">
        <v>-337223.54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321922.69</v>
      </c>
      <c r="N125" s="9">
        <v>0</v>
      </c>
      <c r="O125" s="9">
        <v>0</v>
      </c>
      <c r="P125" s="9">
        <v>0</v>
      </c>
      <c r="Q125" s="10">
        <f t="shared" si="3"/>
        <v>-15300.849999999977</v>
      </c>
      <c r="R125" s="11">
        <v>-15300.85</v>
      </c>
      <c r="S125" s="12">
        <f t="shared" si="4"/>
        <v>2.3646862246096134E-11</v>
      </c>
    </row>
    <row r="126" spans="1:19" hidden="1" x14ac:dyDescent="0.3">
      <c r="A126" s="5" t="s">
        <v>101</v>
      </c>
      <c r="B126" s="14">
        <v>30500000</v>
      </c>
      <c r="C126" s="7" t="s">
        <v>140</v>
      </c>
      <c r="D126" s="8" t="s">
        <v>102</v>
      </c>
      <c r="E126" s="9">
        <v>-515308</v>
      </c>
      <c r="F126" s="9">
        <v>2375</v>
      </c>
      <c r="G126" s="9">
        <v>-2375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16985</v>
      </c>
      <c r="Q126" s="10">
        <f t="shared" si="3"/>
        <v>-498323</v>
      </c>
      <c r="R126" s="11">
        <v>-498323</v>
      </c>
      <c r="S126" s="12">
        <f t="shared" si="4"/>
        <v>0</v>
      </c>
    </row>
    <row r="127" spans="1:19" hidden="1" x14ac:dyDescent="0.3">
      <c r="A127" s="5" t="s">
        <v>101</v>
      </c>
      <c r="B127" s="14">
        <v>33506033</v>
      </c>
      <c r="C127" s="7" t="s">
        <v>141</v>
      </c>
      <c r="D127" s="8" t="s">
        <v>102</v>
      </c>
      <c r="E127" s="9">
        <v>-1458033</v>
      </c>
      <c r="F127" s="9">
        <v>0</v>
      </c>
      <c r="G127" s="9">
        <v>0</v>
      </c>
      <c r="H127" s="9">
        <v>1458033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-1452460.8</v>
      </c>
      <c r="Q127" s="10">
        <f t="shared" si="3"/>
        <v>-1452460.8</v>
      </c>
      <c r="R127" s="11">
        <v>-1452460.8</v>
      </c>
      <c r="S127" s="12">
        <f t="shared" si="4"/>
        <v>0</v>
      </c>
    </row>
    <row r="128" spans="1:19" hidden="1" x14ac:dyDescent="0.3">
      <c r="A128" s="5" t="s">
        <v>101</v>
      </c>
      <c r="B128" s="14">
        <v>33506050</v>
      </c>
      <c r="C128" s="7" t="s">
        <v>142</v>
      </c>
      <c r="D128" s="8" t="s">
        <v>102</v>
      </c>
      <c r="E128" s="9">
        <v>-740835.59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-262148.30000000005</v>
      </c>
      <c r="Q128" s="10">
        <f t="shared" si="3"/>
        <v>-1002983.89</v>
      </c>
      <c r="R128" s="11">
        <v>-1002983.89</v>
      </c>
      <c r="S128" s="12">
        <f t="shared" si="4"/>
        <v>0</v>
      </c>
    </row>
    <row r="129" spans="1:19" hidden="1" x14ac:dyDescent="0.3">
      <c r="A129" s="5" t="s">
        <v>101</v>
      </c>
      <c r="B129" s="14">
        <v>34014000</v>
      </c>
      <c r="C129" s="7" t="s">
        <v>143</v>
      </c>
      <c r="D129" s="8" t="s">
        <v>102</v>
      </c>
      <c r="E129" s="9">
        <v>-27350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-24800</v>
      </c>
      <c r="Q129" s="10">
        <f t="shared" si="3"/>
        <v>-52150</v>
      </c>
      <c r="R129" s="11">
        <v>-52150</v>
      </c>
      <c r="S129" s="12">
        <f t="shared" si="4"/>
        <v>0</v>
      </c>
    </row>
    <row r="130" spans="1:19" hidden="1" x14ac:dyDescent="0.3">
      <c r="A130" s="5" t="s">
        <v>101</v>
      </c>
      <c r="B130" s="14">
        <v>34500000</v>
      </c>
      <c r="C130" s="7" t="s">
        <v>144</v>
      </c>
      <c r="D130" s="8" t="s">
        <v>102</v>
      </c>
      <c r="E130" s="9">
        <v>-24764.080000000002</v>
      </c>
      <c r="F130" s="9">
        <v>11201.760000000002</v>
      </c>
      <c r="G130" s="9">
        <v>21140.87</v>
      </c>
      <c r="H130" s="9">
        <v>-59545.15</v>
      </c>
      <c r="I130" s="9">
        <v>47164.52</v>
      </c>
      <c r="J130" s="9">
        <v>-28226.39</v>
      </c>
      <c r="K130" s="9">
        <v>-85949.16</v>
      </c>
      <c r="L130" s="9">
        <v>23709.11</v>
      </c>
      <c r="M130" s="9">
        <v>61043.140000000007</v>
      </c>
      <c r="N130" s="9">
        <v>-38598.830000000009</v>
      </c>
      <c r="O130" s="9">
        <v>8398.4500000000044</v>
      </c>
      <c r="P130" s="9">
        <v>18659.590000000004</v>
      </c>
      <c r="Q130" s="10">
        <f t="shared" ref="Q130:Q170" si="5">SUM(E130:P130)</f>
        <v>-45766.17</v>
      </c>
      <c r="R130" s="11">
        <v>-45766.17</v>
      </c>
      <c r="S130" s="12">
        <f t="shared" ref="S130:S170" si="6">Q130-R130</f>
        <v>0</v>
      </c>
    </row>
    <row r="131" spans="1:19" hidden="1" x14ac:dyDescent="0.3">
      <c r="A131" s="5" t="s">
        <v>101</v>
      </c>
      <c r="B131" s="14">
        <v>34550000</v>
      </c>
      <c r="C131" s="7" t="s">
        <v>145</v>
      </c>
      <c r="D131" s="8" t="s">
        <v>102</v>
      </c>
      <c r="E131" s="9">
        <v>1877205</v>
      </c>
      <c r="F131" s="9">
        <v>-1876903.45</v>
      </c>
      <c r="G131" s="9">
        <v>1765359.8599999999</v>
      </c>
      <c r="H131" s="9">
        <v>-335134.17999999993</v>
      </c>
      <c r="I131" s="9">
        <v>312205</v>
      </c>
      <c r="J131" s="9">
        <v>-56041.169999999925</v>
      </c>
      <c r="K131" s="9">
        <v>47587.169999999925</v>
      </c>
      <c r="L131" s="9">
        <v>246</v>
      </c>
      <c r="M131" s="9">
        <v>30.270000000018626</v>
      </c>
      <c r="N131" s="9">
        <v>-23112.629999999888</v>
      </c>
      <c r="O131" s="9">
        <v>-38893.130000000121</v>
      </c>
      <c r="P131" s="9">
        <v>1433122.26</v>
      </c>
      <c r="Q131" s="10">
        <f t="shared" si="5"/>
        <v>3105671</v>
      </c>
      <c r="R131" s="11">
        <v>3105671</v>
      </c>
      <c r="S131" s="12">
        <f t="shared" si="6"/>
        <v>0</v>
      </c>
    </row>
    <row r="132" spans="1:19" hidden="1" x14ac:dyDescent="0.3">
      <c r="A132" s="5" t="s">
        <v>101</v>
      </c>
      <c r="B132" s="14">
        <v>34550999</v>
      </c>
      <c r="C132" s="7" t="s">
        <v>146</v>
      </c>
      <c r="D132" s="8" t="s">
        <v>102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10">
        <f t="shared" si="5"/>
        <v>0</v>
      </c>
      <c r="R132" s="11">
        <v>0</v>
      </c>
      <c r="S132" s="12">
        <f t="shared" si="6"/>
        <v>0</v>
      </c>
    </row>
    <row r="133" spans="1:19" hidden="1" x14ac:dyDescent="0.3">
      <c r="A133" s="5" t="s">
        <v>101</v>
      </c>
      <c r="B133" s="14">
        <v>35002000</v>
      </c>
      <c r="C133" s="7" t="s">
        <v>147</v>
      </c>
      <c r="D133" s="8" t="s">
        <v>102</v>
      </c>
      <c r="E133" s="9">
        <v>584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10">
        <f t="shared" si="5"/>
        <v>584</v>
      </c>
      <c r="R133" s="11">
        <v>584</v>
      </c>
      <c r="S133" s="12">
        <f t="shared" si="6"/>
        <v>0</v>
      </c>
    </row>
    <row r="134" spans="1:19" hidden="1" x14ac:dyDescent="0.3">
      <c r="A134" s="5" t="s">
        <v>101</v>
      </c>
      <c r="B134" s="14">
        <v>35002010</v>
      </c>
      <c r="C134" s="7" t="s">
        <v>148</v>
      </c>
      <c r="D134" s="8" t="s">
        <v>102</v>
      </c>
      <c r="E134" s="9">
        <v>-87869.07</v>
      </c>
      <c r="F134" s="9">
        <v>412.01000000000931</v>
      </c>
      <c r="G134" s="9">
        <v>-12757.910000000003</v>
      </c>
      <c r="H134" s="9">
        <v>570.99000000000524</v>
      </c>
      <c r="I134" s="9">
        <v>-174.91000000000349</v>
      </c>
      <c r="J134" s="9">
        <v>-84.930000000007567</v>
      </c>
      <c r="K134" s="9">
        <v>-246.73999999999069</v>
      </c>
      <c r="L134" s="9">
        <v>-465.57000000000698</v>
      </c>
      <c r="M134" s="9">
        <v>-286.02999999999884</v>
      </c>
      <c r="N134" s="9">
        <v>-815.59999999999127</v>
      </c>
      <c r="O134" s="9">
        <v>-137.82000000000698</v>
      </c>
      <c r="P134" s="9">
        <v>-3169.6999999999971</v>
      </c>
      <c r="Q134" s="10">
        <f t="shared" si="5"/>
        <v>-105025.28</v>
      </c>
      <c r="R134" s="11">
        <v>-105025.28</v>
      </c>
      <c r="S134" s="12">
        <f t="shared" si="6"/>
        <v>0</v>
      </c>
    </row>
    <row r="135" spans="1:19" hidden="1" x14ac:dyDescent="0.3">
      <c r="A135" s="5" t="s">
        <v>101</v>
      </c>
      <c r="B135" s="14">
        <v>35002100</v>
      </c>
      <c r="C135" s="7" t="s">
        <v>149</v>
      </c>
      <c r="D135" s="8" t="s">
        <v>102</v>
      </c>
      <c r="E135" s="9">
        <v>-236.89</v>
      </c>
      <c r="F135" s="9">
        <v>0</v>
      </c>
      <c r="G135" s="9">
        <v>0</v>
      </c>
      <c r="H135" s="9">
        <v>0</v>
      </c>
      <c r="I135" s="9">
        <v>0</v>
      </c>
      <c r="J135" s="9">
        <v>-33.330000000000041</v>
      </c>
      <c r="K135" s="9">
        <v>-25.859999999999957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10">
        <f t="shared" si="5"/>
        <v>-296.08</v>
      </c>
      <c r="R135" s="11">
        <v>-296.08</v>
      </c>
      <c r="S135" s="12">
        <f t="shared" si="6"/>
        <v>0</v>
      </c>
    </row>
    <row r="136" spans="1:19" hidden="1" x14ac:dyDescent="0.3">
      <c r="A136" s="5" t="s">
        <v>101</v>
      </c>
      <c r="B136" s="14">
        <v>35004001</v>
      </c>
      <c r="C136" s="7" t="s">
        <v>150</v>
      </c>
      <c r="D136" s="8" t="s">
        <v>102</v>
      </c>
      <c r="E136" s="9">
        <v>-87880</v>
      </c>
      <c r="F136" s="9">
        <v>1028</v>
      </c>
      <c r="G136" s="9">
        <v>-9404</v>
      </c>
      <c r="H136" s="9">
        <v>-118272</v>
      </c>
      <c r="I136" s="9">
        <v>100726</v>
      </c>
      <c r="J136" s="9">
        <v>-14087</v>
      </c>
      <c r="K136" s="9">
        <v>6210</v>
      </c>
      <c r="L136" s="9">
        <v>-9539</v>
      </c>
      <c r="M136" s="9">
        <v>-3053</v>
      </c>
      <c r="N136" s="9">
        <v>-8988</v>
      </c>
      <c r="O136" s="9">
        <v>-13231</v>
      </c>
      <c r="P136" s="9">
        <v>-6853</v>
      </c>
      <c r="Q136" s="10">
        <f t="shared" si="5"/>
        <v>-163343</v>
      </c>
      <c r="R136" s="11">
        <v>-163343</v>
      </c>
      <c r="S136" s="12">
        <f t="shared" si="6"/>
        <v>0</v>
      </c>
    </row>
    <row r="137" spans="1:19" hidden="1" x14ac:dyDescent="0.3">
      <c r="A137" s="5" t="s">
        <v>101</v>
      </c>
      <c r="B137" s="14">
        <v>35006000</v>
      </c>
      <c r="C137" s="7" t="s">
        <v>151</v>
      </c>
      <c r="D137" s="8" t="s">
        <v>102</v>
      </c>
      <c r="E137" s="9">
        <v>-433622.1</v>
      </c>
      <c r="F137" s="9">
        <v>10204.509999999951</v>
      </c>
      <c r="G137" s="9">
        <v>1536.140000000014</v>
      </c>
      <c r="H137" s="9">
        <v>-450774.19</v>
      </c>
      <c r="I137" s="9">
        <v>492565.76000000001</v>
      </c>
      <c r="J137" s="9">
        <v>-76065.37</v>
      </c>
      <c r="K137" s="9">
        <v>90599.890000000014</v>
      </c>
      <c r="L137" s="9">
        <v>-3886.9400000000023</v>
      </c>
      <c r="M137" s="9">
        <v>7531.3999999999651</v>
      </c>
      <c r="N137" s="9">
        <v>2597.1900000000023</v>
      </c>
      <c r="O137" s="9">
        <v>1151.179999999993</v>
      </c>
      <c r="P137" s="9">
        <v>358162.53</v>
      </c>
      <c r="Q137" s="10">
        <f t="shared" si="5"/>
        <v>0</v>
      </c>
      <c r="R137" s="11">
        <v>0</v>
      </c>
      <c r="S137" s="12">
        <f t="shared" si="6"/>
        <v>0</v>
      </c>
    </row>
    <row r="138" spans="1:19" hidden="1" x14ac:dyDescent="0.3">
      <c r="A138" s="5" t="s">
        <v>101</v>
      </c>
      <c r="B138" s="14">
        <v>36500010</v>
      </c>
      <c r="C138" s="7" t="s">
        <v>152</v>
      </c>
      <c r="D138" s="8" t="s">
        <v>102</v>
      </c>
      <c r="E138" s="9">
        <v>121.1</v>
      </c>
      <c r="F138" s="9">
        <v>3.0000000000001137E-2</v>
      </c>
      <c r="G138" s="9">
        <v>0</v>
      </c>
      <c r="H138" s="9">
        <v>-9.9999999999909051E-3</v>
      </c>
      <c r="I138" s="9">
        <v>0</v>
      </c>
      <c r="J138" s="9">
        <v>3.0000000000001137E-2</v>
      </c>
      <c r="K138" s="9">
        <v>-2.0000000000010232E-2</v>
      </c>
      <c r="L138" s="9">
        <v>-9.9999999999909051E-3</v>
      </c>
      <c r="M138" s="9">
        <v>9.9999999999909051E-3</v>
      </c>
      <c r="N138" s="9">
        <v>0</v>
      </c>
      <c r="O138" s="9">
        <v>1</v>
      </c>
      <c r="P138" s="9">
        <v>2.3100000000000023</v>
      </c>
      <c r="Q138" s="10">
        <f t="shared" si="5"/>
        <v>124.44</v>
      </c>
      <c r="R138" s="11">
        <v>124.44</v>
      </c>
      <c r="S138" s="12">
        <f t="shared" si="6"/>
        <v>0</v>
      </c>
    </row>
    <row r="139" spans="1:19" hidden="1" x14ac:dyDescent="0.3">
      <c r="A139" s="5" t="s">
        <v>222</v>
      </c>
      <c r="B139" s="14">
        <v>46012000</v>
      </c>
      <c r="C139" s="7" t="s">
        <v>153</v>
      </c>
      <c r="D139" s="8" t="s">
        <v>8</v>
      </c>
      <c r="E139" s="9">
        <v>0</v>
      </c>
      <c r="F139" s="9">
        <v>0</v>
      </c>
      <c r="G139" s="9">
        <v>0</v>
      </c>
      <c r="H139" s="9">
        <v>150.34</v>
      </c>
      <c r="I139" s="9">
        <v>0</v>
      </c>
      <c r="J139" s="9">
        <v>0</v>
      </c>
      <c r="K139" s="9">
        <v>-1833.23</v>
      </c>
      <c r="L139" s="9">
        <v>0</v>
      </c>
      <c r="M139" s="9">
        <v>213.94000000000005</v>
      </c>
      <c r="N139" s="9">
        <v>128.84000000000015</v>
      </c>
      <c r="O139" s="9">
        <v>13164.900000000001</v>
      </c>
      <c r="P139" s="9">
        <v>-13164.900000000001</v>
      </c>
      <c r="Q139" s="10">
        <f t="shared" si="5"/>
        <v>-1340.1100000000006</v>
      </c>
      <c r="R139" s="11">
        <v>-1340.11</v>
      </c>
      <c r="S139" s="12">
        <f t="shared" si="6"/>
        <v>0</v>
      </c>
    </row>
    <row r="140" spans="1:19" hidden="1" x14ac:dyDescent="0.3">
      <c r="A140" s="5" t="s">
        <v>222</v>
      </c>
      <c r="B140" s="14">
        <v>46050000</v>
      </c>
      <c r="C140" s="7" t="s">
        <v>154</v>
      </c>
      <c r="D140" s="8" t="s">
        <v>8</v>
      </c>
      <c r="E140" s="9">
        <v>-5245.76</v>
      </c>
      <c r="F140" s="9">
        <v>-3478.6299999999992</v>
      </c>
      <c r="G140" s="9">
        <v>-4157.630000000001</v>
      </c>
      <c r="H140" s="9">
        <v>-2017.3999999999996</v>
      </c>
      <c r="I140" s="9">
        <v>-1102.4599999999991</v>
      </c>
      <c r="J140" s="9">
        <v>-2051.2100000000009</v>
      </c>
      <c r="K140" s="9">
        <v>-2255.3600000000006</v>
      </c>
      <c r="L140" s="9">
        <v>-3308.4300000000003</v>
      </c>
      <c r="M140" s="9">
        <v>-3064.2299999999996</v>
      </c>
      <c r="N140" s="9">
        <v>-42153.759999999995</v>
      </c>
      <c r="O140" s="9">
        <v>-1761.7799999999988</v>
      </c>
      <c r="P140" s="9">
        <v>-2551.0900000000111</v>
      </c>
      <c r="Q140" s="10">
        <f t="shared" si="5"/>
        <v>-73147.740000000005</v>
      </c>
      <c r="R140" s="11">
        <v>-73147.740000000005</v>
      </c>
      <c r="S140" s="12">
        <f t="shared" si="6"/>
        <v>0</v>
      </c>
    </row>
    <row r="141" spans="1:19" x14ac:dyDescent="0.3">
      <c r="A141" s="5" t="s">
        <v>223</v>
      </c>
      <c r="B141" s="14">
        <v>58556000</v>
      </c>
      <c r="C141" s="7" t="s">
        <v>155</v>
      </c>
      <c r="D141" s="8" t="s">
        <v>8</v>
      </c>
      <c r="E141" s="9">
        <v>0</v>
      </c>
      <c r="F141" s="9">
        <v>0</v>
      </c>
      <c r="G141" s="9">
        <v>0</v>
      </c>
      <c r="H141" s="9">
        <v>10000</v>
      </c>
      <c r="I141" s="9">
        <v>0</v>
      </c>
      <c r="J141" s="9">
        <v>500</v>
      </c>
      <c r="K141" s="9">
        <v>0</v>
      </c>
      <c r="L141" s="9">
        <v>0</v>
      </c>
      <c r="M141" s="9">
        <v>0</v>
      </c>
      <c r="N141" s="9">
        <v>0</v>
      </c>
      <c r="O141" s="9">
        <v>4000</v>
      </c>
      <c r="P141" s="9">
        <v>3485.5</v>
      </c>
      <c r="Q141" s="10">
        <f t="shared" si="5"/>
        <v>17985.5</v>
      </c>
      <c r="R141" s="11">
        <v>17985.5</v>
      </c>
      <c r="S141" s="12">
        <f t="shared" si="6"/>
        <v>0</v>
      </c>
    </row>
    <row r="142" spans="1:19" hidden="1" x14ac:dyDescent="0.3">
      <c r="A142" s="5" t="s">
        <v>222</v>
      </c>
      <c r="B142" s="14">
        <v>60000010</v>
      </c>
      <c r="C142" s="7" t="s">
        <v>156</v>
      </c>
      <c r="D142" s="8" t="s">
        <v>8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10">
        <f t="shared" si="5"/>
        <v>0</v>
      </c>
      <c r="R142" s="11">
        <v>0</v>
      </c>
      <c r="S142" s="12">
        <f t="shared" si="6"/>
        <v>0</v>
      </c>
    </row>
    <row r="143" spans="1:19" x14ac:dyDescent="0.3">
      <c r="A143" s="5" t="s">
        <v>223</v>
      </c>
      <c r="B143" s="14">
        <v>60002000</v>
      </c>
      <c r="C143" s="7" t="s">
        <v>157</v>
      </c>
      <c r="D143" s="8" t="s">
        <v>8</v>
      </c>
      <c r="E143" s="9">
        <v>929.04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10">
        <f t="shared" si="5"/>
        <v>929.04</v>
      </c>
      <c r="R143" s="11">
        <v>929.04</v>
      </c>
      <c r="S143" s="12">
        <f t="shared" si="6"/>
        <v>0</v>
      </c>
    </row>
    <row r="144" spans="1:19" hidden="1" x14ac:dyDescent="0.3">
      <c r="A144" s="5" t="s">
        <v>224</v>
      </c>
      <c r="B144" s="14">
        <v>60502010</v>
      </c>
      <c r="C144" s="7" t="s">
        <v>158</v>
      </c>
      <c r="D144" s="8" t="s">
        <v>8</v>
      </c>
      <c r="E144" s="9">
        <v>-2.08</v>
      </c>
      <c r="F144" s="9">
        <v>0</v>
      </c>
      <c r="G144" s="9">
        <v>-4.0000000000000036E-2</v>
      </c>
      <c r="H144" s="9">
        <v>0</v>
      </c>
      <c r="I144" s="9">
        <v>-6.0000000000000053E-2</v>
      </c>
      <c r="J144" s="9">
        <v>0</v>
      </c>
      <c r="K144" s="9">
        <v>-4.0000000000000036E-2</v>
      </c>
      <c r="L144" s="9">
        <v>0</v>
      </c>
      <c r="M144" s="9">
        <v>0</v>
      </c>
      <c r="N144" s="9">
        <v>0</v>
      </c>
      <c r="O144" s="9">
        <v>0</v>
      </c>
      <c r="P144" s="9">
        <v>136.82</v>
      </c>
      <c r="Q144" s="10">
        <f t="shared" si="5"/>
        <v>134.6</v>
      </c>
      <c r="R144" s="11">
        <v>134.6</v>
      </c>
      <c r="S144" s="12">
        <f t="shared" si="6"/>
        <v>0</v>
      </c>
    </row>
    <row r="145" spans="1:19" hidden="1" x14ac:dyDescent="0.3">
      <c r="A145" s="5" t="s">
        <v>224</v>
      </c>
      <c r="B145" s="14">
        <v>60502211</v>
      </c>
      <c r="C145" s="7" t="s">
        <v>159</v>
      </c>
      <c r="D145" s="8" t="s">
        <v>8</v>
      </c>
      <c r="E145" s="9">
        <v>-271.12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-5041.0200000000004</v>
      </c>
      <c r="O145" s="9">
        <v>-44.059999999999491</v>
      </c>
      <c r="P145" s="9">
        <v>-1236.2700000000004</v>
      </c>
      <c r="Q145" s="10">
        <f t="shared" si="5"/>
        <v>-6592.47</v>
      </c>
      <c r="R145" s="11">
        <v>-6592.47</v>
      </c>
      <c r="S145" s="12">
        <f t="shared" si="6"/>
        <v>0</v>
      </c>
    </row>
    <row r="146" spans="1:19" hidden="1" x14ac:dyDescent="0.3">
      <c r="A146" s="5" t="s">
        <v>224</v>
      </c>
      <c r="B146" s="14">
        <v>60503010</v>
      </c>
      <c r="C146" s="7" t="s">
        <v>160</v>
      </c>
      <c r="D146" s="8" t="s">
        <v>8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0.08</v>
      </c>
      <c r="K146" s="9">
        <v>0</v>
      </c>
      <c r="L146" s="9">
        <v>3.9999999999999994E-2</v>
      </c>
      <c r="M146" s="9">
        <v>0</v>
      </c>
      <c r="N146" s="9">
        <v>0</v>
      </c>
      <c r="O146" s="9">
        <v>0.56999999999999995</v>
      </c>
      <c r="P146" s="9">
        <v>0</v>
      </c>
      <c r="Q146" s="10">
        <f t="shared" si="5"/>
        <v>0.69</v>
      </c>
      <c r="R146" s="11">
        <v>0.69</v>
      </c>
      <c r="S146" s="12">
        <f t="shared" si="6"/>
        <v>0</v>
      </c>
    </row>
    <row r="147" spans="1:19" hidden="1" x14ac:dyDescent="0.3">
      <c r="A147" s="5" t="s">
        <v>224</v>
      </c>
      <c r="B147" s="14">
        <v>60508010</v>
      </c>
      <c r="C147" s="7" t="s">
        <v>161</v>
      </c>
      <c r="D147" s="8" t="s">
        <v>8</v>
      </c>
      <c r="E147" s="9">
        <v>-0.01</v>
      </c>
      <c r="F147" s="9">
        <v>0</v>
      </c>
      <c r="G147" s="9">
        <v>0</v>
      </c>
      <c r="H147" s="9">
        <v>0</v>
      </c>
      <c r="I147" s="9">
        <v>0</v>
      </c>
      <c r="J147" s="9">
        <v>-3111.1699999999996</v>
      </c>
      <c r="K147" s="9">
        <v>-653.32000000000016</v>
      </c>
      <c r="L147" s="9">
        <v>-134.2800000000002</v>
      </c>
      <c r="M147" s="9">
        <v>-1267.0499999999997</v>
      </c>
      <c r="N147" s="9">
        <v>-41.109999999999673</v>
      </c>
      <c r="O147" s="9">
        <v>-2244.2400000000007</v>
      </c>
      <c r="P147" s="9">
        <v>-1562.1900000000005</v>
      </c>
      <c r="Q147" s="10">
        <f t="shared" si="5"/>
        <v>-9013.3700000000008</v>
      </c>
      <c r="R147" s="11">
        <v>-9013.3700000000008</v>
      </c>
      <c r="S147" s="12">
        <f t="shared" si="6"/>
        <v>0</v>
      </c>
    </row>
    <row r="148" spans="1:19" hidden="1" x14ac:dyDescent="0.3">
      <c r="A148" s="5" t="s">
        <v>224</v>
      </c>
      <c r="B148" s="14">
        <v>60509010</v>
      </c>
      <c r="C148" s="7" t="s">
        <v>162</v>
      </c>
      <c r="D148" s="8" t="s">
        <v>8</v>
      </c>
      <c r="E148" s="9">
        <v>0</v>
      </c>
      <c r="F148" s="9">
        <v>77.19</v>
      </c>
      <c r="G148" s="9">
        <v>5409.21</v>
      </c>
      <c r="H148" s="9">
        <v>360.15000000000055</v>
      </c>
      <c r="I148" s="9">
        <v>0</v>
      </c>
      <c r="J148" s="9">
        <v>434.97000000000025</v>
      </c>
      <c r="K148" s="9">
        <v>1.3699999999998909</v>
      </c>
      <c r="L148" s="9">
        <v>0</v>
      </c>
      <c r="M148" s="9">
        <v>1892.1999999999998</v>
      </c>
      <c r="N148" s="9">
        <v>560.11999999999898</v>
      </c>
      <c r="O148" s="9">
        <v>0</v>
      </c>
      <c r="P148" s="9">
        <v>0</v>
      </c>
      <c r="Q148" s="10">
        <f t="shared" si="5"/>
        <v>8735.2099999999991</v>
      </c>
      <c r="R148" s="11">
        <v>8735.2099999999991</v>
      </c>
      <c r="S148" s="12">
        <f t="shared" si="6"/>
        <v>0</v>
      </c>
    </row>
    <row r="149" spans="1:19" hidden="1" x14ac:dyDescent="0.3">
      <c r="A149" s="5" t="s">
        <v>224</v>
      </c>
      <c r="B149" s="14">
        <v>60509211</v>
      </c>
      <c r="C149" s="7" t="s">
        <v>163</v>
      </c>
      <c r="D149" s="8" t="s">
        <v>8</v>
      </c>
      <c r="E149" s="9">
        <v>5744.06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-290.74000000000069</v>
      </c>
      <c r="N149" s="9">
        <v>15996.48</v>
      </c>
      <c r="O149" s="9">
        <v>-10813.17</v>
      </c>
      <c r="P149" s="9">
        <v>850.86000000000058</v>
      </c>
      <c r="Q149" s="10">
        <f t="shared" si="5"/>
        <v>11487.49</v>
      </c>
      <c r="R149" s="11">
        <v>11487.49</v>
      </c>
      <c r="S149" s="12">
        <f t="shared" si="6"/>
        <v>0</v>
      </c>
    </row>
    <row r="150" spans="1:19" hidden="1" x14ac:dyDescent="0.3">
      <c r="A150" s="5" t="s">
        <v>222</v>
      </c>
      <c r="B150" s="14">
        <v>62502000</v>
      </c>
      <c r="C150" s="7" t="s">
        <v>164</v>
      </c>
      <c r="D150" s="8" t="s">
        <v>8</v>
      </c>
      <c r="E150" s="9">
        <v>-383.73</v>
      </c>
      <c r="F150" s="9">
        <v>-40.649999999999977</v>
      </c>
      <c r="G150" s="9">
        <v>-53700</v>
      </c>
      <c r="H150" s="9">
        <v>-24.389999999999418</v>
      </c>
      <c r="I150" s="9">
        <v>0</v>
      </c>
      <c r="J150" s="9">
        <v>0</v>
      </c>
      <c r="K150" s="9">
        <v>-56.910000000003492</v>
      </c>
      <c r="L150" s="9">
        <v>-16.260000000002037</v>
      </c>
      <c r="M150" s="9">
        <v>-105.68999999999505</v>
      </c>
      <c r="N150" s="9">
        <v>-1.6200000000026193</v>
      </c>
      <c r="O150" s="9">
        <v>0</v>
      </c>
      <c r="P150" s="9">
        <v>0</v>
      </c>
      <c r="Q150" s="10">
        <f t="shared" si="5"/>
        <v>-54329.25</v>
      </c>
      <c r="R150" s="11">
        <v>-54329.25</v>
      </c>
      <c r="S150" s="12">
        <f t="shared" si="6"/>
        <v>0</v>
      </c>
    </row>
    <row r="151" spans="1:19" hidden="1" x14ac:dyDescent="0.3">
      <c r="A151" s="5" t="s">
        <v>222</v>
      </c>
      <c r="B151" s="14">
        <v>62503000</v>
      </c>
      <c r="C151" s="7" t="s">
        <v>165</v>
      </c>
      <c r="D151" s="8" t="s">
        <v>8</v>
      </c>
      <c r="E151" s="9">
        <v>0</v>
      </c>
      <c r="F151" s="9">
        <v>0</v>
      </c>
      <c r="G151" s="9">
        <v>2541.4899999999998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10">
        <f t="shared" si="5"/>
        <v>2541.4899999999998</v>
      </c>
      <c r="R151" s="11">
        <v>2541.4899999999998</v>
      </c>
      <c r="S151" s="12">
        <f t="shared" si="6"/>
        <v>0</v>
      </c>
    </row>
    <row r="152" spans="1:19" hidden="1" x14ac:dyDescent="0.3">
      <c r="A152" s="5" t="s">
        <v>224</v>
      </c>
      <c r="B152" s="14">
        <v>64510000</v>
      </c>
      <c r="C152" s="7" t="s">
        <v>166</v>
      </c>
      <c r="D152" s="8" t="s">
        <v>8</v>
      </c>
      <c r="E152" s="9">
        <v>-11.41</v>
      </c>
      <c r="F152" s="9">
        <v>0</v>
      </c>
      <c r="G152" s="9">
        <v>-6.879999999999999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10">
        <f t="shared" si="5"/>
        <v>-18.29</v>
      </c>
      <c r="R152" s="11">
        <v>-18.29</v>
      </c>
      <c r="S152" s="12">
        <f t="shared" si="6"/>
        <v>0</v>
      </c>
    </row>
    <row r="153" spans="1:19" x14ac:dyDescent="0.3">
      <c r="A153" s="5" t="s">
        <v>225</v>
      </c>
      <c r="B153" s="14">
        <v>65016000</v>
      </c>
      <c r="C153" s="7" t="s">
        <v>167</v>
      </c>
      <c r="D153" s="8" t="s">
        <v>8</v>
      </c>
      <c r="E153" s="9">
        <v>-0.31</v>
      </c>
      <c r="F153" s="9">
        <v>260.31</v>
      </c>
      <c r="G153" s="9">
        <v>50.120000000000005</v>
      </c>
      <c r="H153" s="9">
        <v>43.46999999999997</v>
      </c>
      <c r="I153" s="9">
        <v>0.21000000000003638</v>
      </c>
      <c r="J153" s="9">
        <v>100.21999999999997</v>
      </c>
      <c r="K153" s="9">
        <v>112.92000000000007</v>
      </c>
      <c r="L153" s="9">
        <v>-29.960000000000036</v>
      </c>
      <c r="M153" s="9">
        <v>3.4399999999999409</v>
      </c>
      <c r="N153" s="9">
        <v>0</v>
      </c>
      <c r="O153" s="9">
        <v>0.16000000000008185</v>
      </c>
      <c r="P153" s="9">
        <v>131</v>
      </c>
      <c r="Q153" s="10">
        <f t="shared" si="5"/>
        <v>671.58</v>
      </c>
      <c r="R153" s="11">
        <v>671.58</v>
      </c>
      <c r="S153" s="12">
        <f t="shared" si="6"/>
        <v>0</v>
      </c>
    </row>
    <row r="154" spans="1:19" hidden="1" x14ac:dyDescent="0.3">
      <c r="A154" s="5" t="s">
        <v>224</v>
      </c>
      <c r="B154" s="14">
        <v>65528010</v>
      </c>
      <c r="C154" s="7" t="s">
        <v>168</v>
      </c>
      <c r="D154" s="8" t="s">
        <v>8</v>
      </c>
      <c r="E154" s="9">
        <v>0</v>
      </c>
      <c r="F154" s="9">
        <v>-0.01</v>
      </c>
      <c r="G154" s="9">
        <v>-1.9999999999999997E-2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10">
        <f t="shared" si="5"/>
        <v>-0.03</v>
      </c>
      <c r="R154" s="11">
        <v>-0.03</v>
      </c>
      <c r="S154" s="12">
        <f t="shared" si="6"/>
        <v>0</v>
      </c>
    </row>
    <row r="155" spans="1:19" hidden="1" x14ac:dyDescent="0.3">
      <c r="A155" s="5" t="s">
        <v>224</v>
      </c>
      <c r="B155" s="14">
        <v>65528110</v>
      </c>
      <c r="C155" s="7" t="s">
        <v>169</v>
      </c>
      <c r="D155" s="8" t="s">
        <v>8</v>
      </c>
      <c r="E155" s="9">
        <v>15.15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10">
        <f t="shared" si="5"/>
        <v>15.15</v>
      </c>
      <c r="R155" s="11">
        <v>15.15</v>
      </c>
      <c r="S155" s="12">
        <f t="shared" si="6"/>
        <v>0</v>
      </c>
    </row>
    <row r="156" spans="1:19" x14ac:dyDescent="0.3">
      <c r="A156" s="5" t="s">
        <v>240</v>
      </c>
      <c r="B156" s="14">
        <v>70000000</v>
      </c>
      <c r="C156" s="7" t="s">
        <v>170</v>
      </c>
      <c r="D156" s="8" t="s">
        <v>8</v>
      </c>
      <c r="E156" s="9">
        <v>0</v>
      </c>
      <c r="F156" s="9">
        <v>44113.25</v>
      </c>
      <c r="G156" s="9">
        <v>43210.75</v>
      </c>
      <c r="H156" s="9">
        <v>320688.27</v>
      </c>
      <c r="I156" s="9">
        <v>43662</v>
      </c>
      <c r="J156" s="9">
        <v>43662</v>
      </c>
      <c r="K156" s="9">
        <v>43662</v>
      </c>
      <c r="L156" s="9">
        <v>43662</v>
      </c>
      <c r="M156" s="9">
        <v>287538.99</v>
      </c>
      <c r="N156" s="9">
        <v>43662</v>
      </c>
      <c r="O156" s="9">
        <v>43662</v>
      </c>
      <c r="P156" s="9">
        <v>-798771.91</v>
      </c>
      <c r="Q156" s="10">
        <f t="shared" si="5"/>
        <v>158751.34999999998</v>
      </c>
      <c r="R156" s="11">
        <v>158751.35</v>
      </c>
      <c r="S156" s="12">
        <f t="shared" si="6"/>
        <v>0</v>
      </c>
    </row>
    <row r="157" spans="1:19" hidden="1" x14ac:dyDescent="0.3">
      <c r="A157" s="5" t="s">
        <v>101</v>
      </c>
      <c r="B157" s="14">
        <v>14502000</v>
      </c>
      <c r="C157" s="7" t="s">
        <v>171</v>
      </c>
      <c r="D157" s="8" t="s">
        <v>102</v>
      </c>
      <c r="E157" s="9">
        <v>520903.26</v>
      </c>
      <c r="F157" s="9">
        <v>-451.25</v>
      </c>
      <c r="G157" s="9">
        <v>451.25</v>
      </c>
      <c r="H157" s="9">
        <v>-277026.27</v>
      </c>
      <c r="I157" s="9">
        <v>0</v>
      </c>
      <c r="J157" s="9">
        <v>0</v>
      </c>
      <c r="K157" s="9">
        <v>0</v>
      </c>
      <c r="L157" s="9">
        <v>0</v>
      </c>
      <c r="M157" s="9">
        <v>-243876.99</v>
      </c>
      <c r="N157" s="9">
        <v>0</v>
      </c>
      <c r="O157" s="9">
        <v>0</v>
      </c>
      <c r="P157" s="9">
        <v>571149.07999999996</v>
      </c>
      <c r="Q157" s="10">
        <f t="shared" si="5"/>
        <v>571149.07999999996</v>
      </c>
      <c r="R157" s="11">
        <v>571149.07999999996</v>
      </c>
      <c r="S157" s="12">
        <f t="shared" si="6"/>
        <v>0</v>
      </c>
    </row>
    <row r="158" spans="1:19" hidden="1" x14ac:dyDescent="0.3">
      <c r="A158" s="5" t="s">
        <v>101</v>
      </c>
      <c r="B158" s="14">
        <v>16500000</v>
      </c>
      <c r="C158" s="7" t="s">
        <v>172</v>
      </c>
      <c r="D158" s="8" t="s">
        <v>102</v>
      </c>
      <c r="E158" s="9">
        <v>717622</v>
      </c>
      <c r="F158" s="9">
        <v>0</v>
      </c>
      <c r="G158" s="9">
        <v>0</v>
      </c>
      <c r="H158" s="9">
        <v>0</v>
      </c>
      <c r="I158" s="9">
        <v>0</v>
      </c>
      <c r="J158" s="9">
        <v>-728950</v>
      </c>
      <c r="K158" s="9">
        <v>11328</v>
      </c>
      <c r="L158" s="9">
        <v>0</v>
      </c>
      <c r="M158" s="9">
        <v>0</v>
      </c>
      <c r="N158" s="9">
        <v>0</v>
      </c>
      <c r="O158" s="9">
        <v>0</v>
      </c>
      <c r="P158" s="9">
        <v>315026</v>
      </c>
      <c r="Q158" s="10">
        <f t="shared" si="5"/>
        <v>315026</v>
      </c>
      <c r="R158" s="11">
        <v>315026</v>
      </c>
      <c r="S158" s="12">
        <f t="shared" si="6"/>
        <v>0</v>
      </c>
    </row>
    <row r="159" spans="1:19" hidden="1" x14ac:dyDescent="0.3">
      <c r="A159" s="5" t="s">
        <v>101</v>
      </c>
      <c r="B159" s="14">
        <v>33506000</v>
      </c>
      <c r="C159" s="7" t="s">
        <v>173</v>
      </c>
      <c r="D159" s="8" t="s">
        <v>102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730.43</v>
      </c>
      <c r="L159" s="9">
        <v>-730.43</v>
      </c>
      <c r="M159" s="9">
        <v>29.56</v>
      </c>
      <c r="N159" s="9">
        <v>-29.56</v>
      </c>
      <c r="O159" s="9">
        <v>0</v>
      </c>
      <c r="P159" s="9">
        <v>0</v>
      </c>
      <c r="Q159" s="10">
        <f t="shared" si="5"/>
        <v>0</v>
      </c>
      <c r="R159" s="11">
        <v>0</v>
      </c>
      <c r="S159" s="12">
        <f t="shared" si="6"/>
        <v>0</v>
      </c>
    </row>
    <row r="160" spans="1:19" hidden="1" x14ac:dyDescent="0.3">
      <c r="A160" s="5" t="s">
        <v>101</v>
      </c>
      <c r="B160" s="14">
        <v>17006000</v>
      </c>
      <c r="C160" s="7" t="s">
        <v>174</v>
      </c>
      <c r="D160" s="8" t="s">
        <v>102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10">
        <f t="shared" si="5"/>
        <v>0</v>
      </c>
      <c r="R160" s="11">
        <v>0</v>
      </c>
      <c r="S160" s="12">
        <f t="shared" si="6"/>
        <v>0</v>
      </c>
    </row>
    <row r="161" spans="1:19" hidden="1" x14ac:dyDescent="0.3">
      <c r="A161" s="5" t="s">
        <v>101</v>
      </c>
      <c r="B161" s="14">
        <v>15560000</v>
      </c>
      <c r="C161" s="7" t="s">
        <v>175</v>
      </c>
      <c r="D161" s="8" t="s">
        <v>102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10">
        <f t="shared" si="5"/>
        <v>0</v>
      </c>
      <c r="R161" s="11">
        <v>0</v>
      </c>
      <c r="S161" s="12">
        <f t="shared" si="6"/>
        <v>0</v>
      </c>
    </row>
    <row r="162" spans="1:19" hidden="1" x14ac:dyDescent="0.3">
      <c r="A162" s="5" t="s">
        <v>101</v>
      </c>
      <c r="B162" s="14">
        <v>15514000</v>
      </c>
      <c r="C162" s="7" t="s">
        <v>176</v>
      </c>
      <c r="D162" s="8" t="s">
        <v>102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71754</v>
      </c>
      <c r="Q162" s="10">
        <f t="shared" si="5"/>
        <v>71754</v>
      </c>
      <c r="R162" s="11">
        <v>71754</v>
      </c>
      <c r="S162" s="12">
        <f t="shared" si="6"/>
        <v>0</v>
      </c>
    </row>
    <row r="163" spans="1:19" hidden="1" x14ac:dyDescent="0.3">
      <c r="A163" s="5" t="s">
        <v>101</v>
      </c>
      <c r="B163" s="14">
        <v>34504000</v>
      </c>
      <c r="C163" s="7" t="s">
        <v>177</v>
      </c>
      <c r="D163" s="8" t="s">
        <v>102</v>
      </c>
      <c r="E163" s="9">
        <v>-35.57</v>
      </c>
      <c r="F163" s="9">
        <v>35.57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-60834.03</v>
      </c>
      <c r="Q163" s="10">
        <f t="shared" si="5"/>
        <v>-60834.03</v>
      </c>
      <c r="R163" s="11">
        <v>-60834.03</v>
      </c>
      <c r="S163" s="12">
        <f t="shared" si="6"/>
        <v>0</v>
      </c>
    </row>
    <row r="164" spans="1:19" hidden="1" x14ac:dyDescent="0.3">
      <c r="A164" s="5" t="s">
        <v>101</v>
      </c>
      <c r="B164" s="14">
        <v>34515000</v>
      </c>
      <c r="C164" s="7" t="s">
        <v>178</v>
      </c>
      <c r="D164" s="8" t="s">
        <v>102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10">
        <f t="shared" si="5"/>
        <v>0</v>
      </c>
      <c r="R164" s="11">
        <v>0</v>
      </c>
      <c r="S164" s="12">
        <f t="shared" si="6"/>
        <v>0</v>
      </c>
    </row>
    <row r="165" spans="1:19" hidden="1" x14ac:dyDescent="0.3">
      <c r="A165" s="5" t="s">
        <v>101</v>
      </c>
      <c r="B165" s="13">
        <v>65526100</v>
      </c>
      <c r="C165" s="7" t="s">
        <v>179</v>
      </c>
      <c r="D165" s="8" t="s">
        <v>102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27079.759999999998</v>
      </c>
      <c r="P165" s="9">
        <v>-27079.759999999998</v>
      </c>
      <c r="Q165" s="10">
        <f t="shared" si="5"/>
        <v>0</v>
      </c>
      <c r="R165" s="11">
        <v>0</v>
      </c>
      <c r="S165" s="12">
        <f t="shared" si="6"/>
        <v>0</v>
      </c>
    </row>
    <row r="166" spans="1:19" hidden="1" x14ac:dyDescent="0.3">
      <c r="A166" s="5" t="s">
        <v>101</v>
      </c>
      <c r="B166" s="13">
        <v>16000000</v>
      </c>
      <c r="C166" s="7" t="s">
        <v>180</v>
      </c>
      <c r="D166" s="8" t="s">
        <v>102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10">
        <f t="shared" si="5"/>
        <v>0</v>
      </c>
      <c r="R166" s="11">
        <v>0</v>
      </c>
      <c r="S166" s="12">
        <f t="shared" si="6"/>
        <v>0</v>
      </c>
    </row>
    <row r="167" spans="1:19" hidden="1" x14ac:dyDescent="0.3">
      <c r="A167" s="5" t="s">
        <v>101</v>
      </c>
      <c r="B167" s="13">
        <v>31500000</v>
      </c>
      <c r="C167" s="7" t="s">
        <v>181</v>
      </c>
      <c r="D167" s="8" t="s">
        <v>102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-79.17</v>
      </c>
      <c r="Q167" s="10">
        <f t="shared" si="5"/>
        <v>-79.17</v>
      </c>
      <c r="R167" s="11">
        <v>-79.17</v>
      </c>
      <c r="S167" s="12">
        <f t="shared" si="6"/>
        <v>0</v>
      </c>
    </row>
    <row r="168" spans="1:19" hidden="1" x14ac:dyDescent="0.3">
      <c r="A168" s="5" t="s">
        <v>101</v>
      </c>
      <c r="B168" s="13">
        <v>36000000</v>
      </c>
      <c r="C168" s="7" t="s">
        <v>182</v>
      </c>
      <c r="D168" s="8" t="s">
        <v>102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-43662</v>
      </c>
      <c r="Q168" s="10">
        <f t="shared" si="5"/>
        <v>-43662</v>
      </c>
      <c r="R168" s="11">
        <v>-43662</v>
      </c>
      <c r="S168" s="12">
        <f t="shared" si="6"/>
        <v>0</v>
      </c>
    </row>
    <row r="169" spans="1:19" hidden="1" x14ac:dyDescent="0.3">
      <c r="A169" s="5" t="s">
        <v>224</v>
      </c>
      <c r="B169" s="13">
        <v>60500000</v>
      </c>
      <c r="C169" s="7" t="s">
        <v>183</v>
      </c>
      <c r="D169" s="8" t="s">
        <v>8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-416.67</v>
      </c>
      <c r="Q169" s="10">
        <f t="shared" si="5"/>
        <v>-416.67</v>
      </c>
      <c r="R169" s="11">
        <v>-416.67</v>
      </c>
      <c r="S169" s="12">
        <f t="shared" si="6"/>
        <v>0</v>
      </c>
    </row>
    <row r="170" spans="1:19" hidden="1" x14ac:dyDescent="0.3">
      <c r="A170" s="5" t="s">
        <v>224</v>
      </c>
      <c r="B170" s="13">
        <v>60501000</v>
      </c>
      <c r="C170" s="7" t="s">
        <v>184</v>
      </c>
      <c r="D170" s="8" t="s">
        <v>8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130.12</v>
      </c>
      <c r="Q170" s="10">
        <f t="shared" si="5"/>
        <v>130.12</v>
      </c>
      <c r="R170" s="11">
        <v>130.12</v>
      </c>
      <c r="S170" s="12">
        <f t="shared" si="6"/>
        <v>0</v>
      </c>
    </row>
  </sheetData>
  <autoFilter ref="A2:S170" xr:uid="{00000000-0001-0000-0000-000000000000}">
    <filterColumn colId="0">
      <filters>
        <filter val="Amortyzacja"/>
        <filter val="Koszty finansowe"/>
        <filter val="Podatki"/>
        <filter val="Pozostałe koszty operacyjne"/>
        <filter val="Pozostałe koszty rodzajowe"/>
        <filter val="Ubezp. Społeczne i inne świadcz."/>
        <filter val="Usługi obce"/>
        <filter val="Wynagrodzenia"/>
        <filter val="Zużycie materiałów i energii"/>
        <filter val="Zysk na działalności gospodarczej"/>
      </filters>
    </filterColumn>
    <filterColumn colId="3">
      <filters>
        <filter val="Wynikowe"/>
      </filters>
    </filterColumn>
  </autoFilter>
  <conditionalFormatting sqref="B3:B170">
    <cfRule type="duplicateValues" dxfId="0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4DFD-A461-4FCF-A90D-7A9DADCF0753}">
  <sheetPr>
    <tabColor theme="1"/>
  </sheetPr>
  <dimension ref="A1:T173"/>
  <sheetViews>
    <sheetView topLeftCell="C1" workbookViewId="0">
      <selection activeCell="E31" sqref="E31"/>
    </sheetView>
  </sheetViews>
  <sheetFormatPr defaultRowHeight="14.4" x14ac:dyDescent="0.3"/>
  <cols>
    <col min="1" max="1" width="22.88671875" bestFit="1" customWidth="1"/>
    <col min="2" max="2" width="9" bestFit="1" customWidth="1"/>
    <col min="3" max="3" width="43.77734375" bestFit="1" customWidth="1"/>
    <col min="5" max="5" width="10.33203125" bestFit="1" customWidth="1"/>
    <col min="6" max="6" width="9.5546875" bestFit="1" customWidth="1"/>
    <col min="7" max="7" width="9.109375" bestFit="1" customWidth="1"/>
    <col min="8" max="11" width="9.5546875" bestFit="1" customWidth="1"/>
    <col min="12" max="12" width="9.109375" bestFit="1" customWidth="1"/>
    <col min="13" max="16" width="9.5546875" bestFit="1" customWidth="1"/>
    <col min="17" max="18" width="10.33203125" bestFit="1" customWidth="1"/>
    <col min="19" max="19" width="10.44140625" bestFit="1" customWidth="1"/>
    <col min="20" max="20" width="5.6640625" bestFit="1" customWidth="1"/>
  </cols>
  <sheetData>
    <row r="1" spans="1:20" ht="15" thickBot="1" x14ac:dyDescent="0.35">
      <c r="E1" s="16">
        <f>SUM(E3:E170)</f>
        <v>-1.6205140127359408E-8</v>
      </c>
      <c r="F1" s="16">
        <f t="shared" ref="F1:N1" si="0">SUM(F3:F170)</f>
        <v>1.0390067473053932E-8</v>
      </c>
      <c r="G1" s="16">
        <f t="shared" si="0"/>
        <v>-6.0827005654573441E-9</v>
      </c>
      <c r="H1" s="16">
        <f t="shared" si="0"/>
        <v>-2.7648638933897018E-10</v>
      </c>
      <c r="I1" s="16">
        <f t="shared" si="0"/>
        <v>7.4505805969238281E-9</v>
      </c>
      <c r="J1" s="16">
        <f t="shared" si="0"/>
        <v>-7.4214767664670944E-9</v>
      </c>
      <c r="K1" s="16">
        <f t="shared" si="0"/>
        <v>7.2759576141834259E-10</v>
      </c>
      <c r="L1" s="16">
        <f t="shared" si="0"/>
        <v>-3.4924596548080444E-10</v>
      </c>
      <c r="M1" s="16">
        <f t="shared" si="0"/>
        <v>-3.4924596548080444E-10</v>
      </c>
      <c r="N1" s="16">
        <f t="shared" si="0"/>
        <v>-1.5133991837501526E-9</v>
      </c>
      <c r="O1" s="16">
        <f>SUM(O3:O173)</f>
        <v>4.9067239160649478E-10</v>
      </c>
      <c r="P1" s="16">
        <f t="shared" ref="P1:Q1" si="1">SUM(P3:P173)</f>
        <v>-8.3819031715393066E-9</v>
      </c>
      <c r="Q1" s="16">
        <f t="shared" si="1"/>
        <v>2.6589077606331557E-9</v>
      </c>
      <c r="R1" s="16">
        <f>SUM(R3:R173)</f>
        <v>2.6589077606331557E-9</v>
      </c>
      <c r="S1" s="16">
        <f>SUM(S3:S173)</f>
        <v>0</v>
      </c>
    </row>
    <row r="2" spans="1:20" ht="41.4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209</v>
      </c>
      <c r="F2" s="1" t="s">
        <v>210</v>
      </c>
      <c r="G2" s="1" t="s">
        <v>211</v>
      </c>
      <c r="H2" s="1" t="s">
        <v>212</v>
      </c>
      <c r="I2" s="1" t="s">
        <v>213</v>
      </c>
      <c r="J2" s="1" t="s">
        <v>214</v>
      </c>
      <c r="K2" s="1" t="s">
        <v>215</v>
      </c>
      <c r="L2" s="1" t="s">
        <v>216</v>
      </c>
      <c r="M2" s="1" t="s">
        <v>217</v>
      </c>
      <c r="N2" s="1" t="s">
        <v>218</v>
      </c>
      <c r="O2" s="1" t="s">
        <v>219</v>
      </c>
      <c r="P2" s="1" t="s">
        <v>220</v>
      </c>
      <c r="Q2" s="1" t="s">
        <v>4</v>
      </c>
      <c r="R2" s="3" t="s">
        <v>221</v>
      </c>
      <c r="S2" s="4" t="s">
        <v>5</v>
      </c>
    </row>
    <row r="3" spans="1:20" x14ac:dyDescent="0.3">
      <c r="A3" s="7" t="s">
        <v>101</v>
      </c>
      <c r="B3" s="7">
        <v>11000100</v>
      </c>
      <c r="C3" s="7" t="s">
        <v>103</v>
      </c>
      <c r="D3" s="7" t="s">
        <v>102</v>
      </c>
      <c r="E3" s="17">
        <v>-49668.01</v>
      </c>
      <c r="F3" s="17">
        <v>0</v>
      </c>
      <c r="G3" s="17">
        <v>-27794.999999999993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f>SUM(E3:P3)</f>
        <v>-77463.009999999995</v>
      </c>
      <c r="R3" s="11">
        <v>-77463.009999999995</v>
      </c>
      <c r="S3" s="12">
        <f>Q3-R3</f>
        <v>0</v>
      </c>
      <c r="T3">
        <f>COUNTIF(_25B[Nazwa konta],C3)</f>
        <v>1</v>
      </c>
    </row>
    <row r="4" spans="1:20" x14ac:dyDescent="0.3">
      <c r="A4" s="7" t="s">
        <v>101</v>
      </c>
      <c r="B4" s="7">
        <v>11000400</v>
      </c>
      <c r="C4" s="7" t="s">
        <v>104</v>
      </c>
      <c r="D4" s="7" t="s">
        <v>102</v>
      </c>
      <c r="E4" s="17">
        <v>49668.01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8338.5</v>
      </c>
      <c r="P4" s="17">
        <v>926.5</v>
      </c>
      <c r="Q4" s="17">
        <f t="shared" ref="Q4:Q67" si="2">SUM(E4:P4)</f>
        <v>58933.01</v>
      </c>
      <c r="R4" s="11">
        <v>58933.01</v>
      </c>
      <c r="S4" s="12">
        <f t="shared" ref="S4:S67" si="3">Q4-R4</f>
        <v>0</v>
      </c>
      <c r="T4">
        <f>COUNTIF(_25B[Nazwa konta],C4)</f>
        <v>1</v>
      </c>
    </row>
    <row r="5" spans="1:20" x14ac:dyDescent="0.3">
      <c r="A5" s="7" t="s">
        <v>101</v>
      </c>
      <c r="B5" s="7">
        <v>11502100</v>
      </c>
      <c r="C5" s="7" t="s">
        <v>105</v>
      </c>
      <c r="D5" s="7" t="s">
        <v>102</v>
      </c>
      <c r="E5" s="17">
        <v>-8316576.9500000002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f t="shared" si="2"/>
        <v>-8316576.9500000002</v>
      </c>
      <c r="R5" s="11">
        <v>-8316576.9500000002</v>
      </c>
      <c r="S5" s="12">
        <f t="shared" si="3"/>
        <v>0</v>
      </c>
      <c r="T5">
        <f>COUNTIF(_25B[Nazwa konta],C5)</f>
        <v>1</v>
      </c>
    </row>
    <row r="6" spans="1:20" x14ac:dyDescent="0.3">
      <c r="A6" s="7" t="s">
        <v>101</v>
      </c>
      <c r="B6" s="7">
        <v>11502400</v>
      </c>
      <c r="C6" s="7" t="s">
        <v>106</v>
      </c>
      <c r="D6" s="7" t="s">
        <v>102</v>
      </c>
      <c r="E6" s="17">
        <v>1472042.17</v>
      </c>
      <c r="F6" s="17">
        <v>0</v>
      </c>
      <c r="G6" s="17">
        <v>34652.410000000149</v>
      </c>
      <c r="H6" s="17">
        <v>17326.199999999953</v>
      </c>
      <c r="I6" s="17">
        <v>17326.199999999953</v>
      </c>
      <c r="J6" s="17">
        <v>17326.209999999963</v>
      </c>
      <c r="K6" s="17">
        <v>0</v>
      </c>
      <c r="L6" s="17">
        <v>34652.410000000149</v>
      </c>
      <c r="M6" s="17">
        <v>0</v>
      </c>
      <c r="N6" s="17">
        <v>34652.419999999925</v>
      </c>
      <c r="O6" s="17">
        <v>17326.2</v>
      </c>
      <c r="P6" s="17">
        <v>17326.2</v>
      </c>
      <c r="Q6" s="17">
        <f t="shared" si="2"/>
        <v>1662630.42</v>
      </c>
      <c r="R6" s="11">
        <v>1662630.42</v>
      </c>
      <c r="S6" s="12">
        <f t="shared" si="3"/>
        <v>0</v>
      </c>
      <c r="T6">
        <f>COUNTIF(_25B[Nazwa konta],C6)</f>
        <v>1</v>
      </c>
    </row>
    <row r="7" spans="1:20" x14ac:dyDescent="0.3">
      <c r="A7" s="7" t="s">
        <v>101</v>
      </c>
      <c r="B7" s="7">
        <v>11504100</v>
      </c>
      <c r="C7" s="7" t="s">
        <v>107</v>
      </c>
      <c r="D7" s="7" t="s">
        <v>102</v>
      </c>
      <c r="E7" s="17">
        <v>-45961.56</v>
      </c>
      <c r="F7" s="17">
        <v>0</v>
      </c>
      <c r="G7" s="17">
        <v>0</v>
      </c>
      <c r="H7" s="17">
        <v>0</v>
      </c>
      <c r="I7" s="17">
        <v>-154941.42000000001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f t="shared" si="2"/>
        <v>-200902.98</v>
      </c>
      <c r="R7" s="11">
        <v>-200902.98</v>
      </c>
      <c r="S7" s="12">
        <f t="shared" si="3"/>
        <v>0</v>
      </c>
      <c r="T7">
        <f>COUNTIF(_25B[Nazwa konta],C7)</f>
        <v>1</v>
      </c>
    </row>
    <row r="8" spans="1:20" x14ac:dyDescent="0.3">
      <c r="A8" s="7" t="s">
        <v>101</v>
      </c>
      <c r="B8" s="7">
        <v>11504400</v>
      </c>
      <c r="C8" s="7" t="s">
        <v>108</v>
      </c>
      <c r="D8" s="7" t="s">
        <v>102</v>
      </c>
      <c r="E8" s="17">
        <v>30527.62</v>
      </c>
      <c r="F8" s="17">
        <v>0</v>
      </c>
      <c r="G8" s="17">
        <v>626.90999999999985</v>
      </c>
      <c r="H8" s="17">
        <v>313.46000000000276</v>
      </c>
      <c r="I8" s="17">
        <v>313.44999999999709</v>
      </c>
      <c r="J8" s="17">
        <v>313.45000000000073</v>
      </c>
      <c r="K8" s="17">
        <v>0</v>
      </c>
      <c r="L8" s="17">
        <v>626.92000000000189</v>
      </c>
      <c r="M8" s="17">
        <v>0</v>
      </c>
      <c r="N8" s="17">
        <v>626.92000000000189</v>
      </c>
      <c r="O8" s="17">
        <v>313.45</v>
      </c>
      <c r="P8" s="17">
        <v>313.45999999999998</v>
      </c>
      <c r="Q8" s="17">
        <f t="shared" si="2"/>
        <v>33975.64</v>
      </c>
      <c r="R8" s="11">
        <v>33975.64</v>
      </c>
      <c r="S8" s="12">
        <f t="shared" si="3"/>
        <v>0</v>
      </c>
      <c r="T8">
        <f>COUNTIF(_25B[Nazwa konta],C8)</f>
        <v>1</v>
      </c>
    </row>
    <row r="9" spans="1:20" x14ac:dyDescent="0.3">
      <c r="A9" s="7" t="s">
        <v>101</v>
      </c>
      <c r="B9" s="7">
        <v>11508100</v>
      </c>
      <c r="C9" s="7" t="s">
        <v>109</v>
      </c>
      <c r="D9" s="7" t="s">
        <v>102</v>
      </c>
      <c r="E9" s="17">
        <v>-861732.19</v>
      </c>
      <c r="F9" s="17">
        <v>-17038.540000000037</v>
      </c>
      <c r="G9" s="17">
        <v>-16111.25</v>
      </c>
      <c r="H9" s="17">
        <v>-2357.7199999999721</v>
      </c>
      <c r="I9" s="17">
        <v>-90426.230000000098</v>
      </c>
      <c r="J9" s="17">
        <v>-33306.219999999972</v>
      </c>
      <c r="K9" s="17">
        <v>-30969.95000000007</v>
      </c>
      <c r="L9" s="17">
        <v>-11382.719999999972</v>
      </c>
      <c r="M9" s="17">
        <v>-5967.1699999999255</v>
      </c>
      <c r="N9" s="17">
        <v>-43619.199999999953</v>
      </c>
      <c r="O9" s="17">
        <v>-3289</v>
      </c>
      <c r="P9" s="17">
        <v>-54044.920000000006</v>
      </c>
      <c r="Q9" s="17">
        <f t="shared" si="2"/>
        <v>-1170245.1099999999</v>
      </c>
      <c r="R9" s="11">
        <v>-1170245.1099999999</v>
      </c>
      <c r="S9" s="12">
        <f t="shared" si="3"/>
        <v>0</v>
      </c>
      <c r="T9">
        <f>COUNTIF(_25B[Nazwa konta],C9)</f>
        <v>1</v>
      </c>
    </row>
    <row r="10" spans="1:20" x14ac:dyDescent="0.3">
      <c r="A10" s="7" t="s">
        <v>101</v>
      </c>
      <c r="B10" s="7">
        <v>11508400</v>
      </c>
      <c r="C10" s="7" t="s">
        <v>110</v>
      </c>
      <c r="D10" s="7" t="s">
        <v>102</v>
      </c>
      <c r="E10" s="17">
        <v>839627.19</v>
      </c>
      <c r="F10" s="17">
        <v>0</v>
      </c>
      <c r="G10" s="17">
        <v>38074.310000000056</v>
      </c>
      <c r="H10" s="17">
        <v>47300.479999999981</v>
      </c>
      <c r="I10" s="17">
        <v>50435.969999999972</v>
      </c>
      <c r="J10" s="17">
        <v>36086.980000000098</v>
      </c>
      <c r="K10" s="17">
        <v>0</v>
      </c>
      <c r="L10" s="17">
        <v>44473.069999999949</v>
      </c>
      <c r="M10" s="17">
        <v>0</v>
      </c>
      <c r="N10" s="17">
        <v>52577.820000000065</v>
      </c>
      <c r="O10" s="17">
        <v>4082.85</v>
      </c>
      <c r="P10" s="17">
        <v>36848.6</v>
      </c>
      <c r="Q10" s="17">
        <f t="shared" si="2"/>
        <v>1149507.2700000003</v>
      </c>
      <c r="R10" s="11">
        <v>1149507.2700000003</v>
      </c>
      <c r="S10" s="12">
        <f t="shared" si="3"/>
        <v>0</v>
      </c>
      <c r="T10">
        <f>COUNTIF(_25B[Nazwa konta],C10)</f>
        <v>1</v>
      </c>
    </row>
    <row r="11" spans="1:20" x14ac:dyDescent="0.3">
      <c r="A11" s="7" t="s">
        <v>101</v>
      </c>
      <c r="B11" s="7">
        <v>11514100</v>
      </c>
      <c r="C11" s="7" t="s">
        <v>111</v>
      </c>
      <c r="D11" s="7" t="s">
        <v>102</v>
      </c>
      <c r="E11" s="17">
        <v>-1024800.78</v>
      </c>
      <c r="F11" s="17">
        <v>-598</v>
      </c>
      <c r="G11" s="17">
        <v>-26000</v>
      </c>
      <c r="H11" s="17">
        <v>0</v>
      </c>
      <c r="I11" s="17">
        <v>-67007.260000000009</v>
      </c>
      <c r="J11" s="17">
        <v>-8354</v>
      </c>
      <c r="K11" s="17">
        <v>-553.65999999991618</v>
      </c>
      <c r="L11" s="17">
        <v>0</v>
      </c>
      <c r="M11" s="17">
        <v>0</v>
      </c>
      <c r="N11" s="17">
        <v>-1137.4000000001397</v>
      </c>
      <c r="O11" s="17">
        <v>0</v>
      </c>
      <c r="P11" s="17">
        <v>0</v>
      </c>
      <c r="Q11" s="17">
        <f t="shared" si="2"/>
        <v>-1128451.1000000001</v>
      </c>
      <c r="R11" s="11">
        <v>-1128451.1000000001</v>
      </c>
      <c r="S11" s="12">
        <f t="shared" si="3"/>
        <v>0</v>
      </c>
      <c r="T11">
        <f>COUNTIF(_25B[Nazwa konta],C11)</f>
        <v>1</v>
      </c>
    </row>
    <row r="12" spans="1:20" x14ac:dyDescent="0.3">
      <c r="A12" s="7" t="s">
        <v>101</v>
      </c>
      <c r="B12" s="7">
        <v>11514400</v>
      </c>
      <c r="C12" s="7" t="s">
        <v>112</v>
      </c>
      <c r="D12" s="7" t="s">
        <v>102</v>
      </c>
      <c r="E12" s="17">
        <v>1014993.86</v>
      </c>
      <c r="F12" s="17">
        <v>0</v>
      </c>
      <c r="G12" s="17">
        <v>1663.7800000000279</v>
      </c>
      <c r="H12" s="17">
        <v>966.20999999996275</v>
      </c>
      <c r="I12" s="17">
        <v>704.71000000007916</v>
      </c>
      <c r="J12" s="17">
        <v>10375.179999999935</v>
      </c>
      <c r="K12" s="17">
        <v>0</v>
      </c>
      <c r="L12" s="17">
        <v>4595.9699999999721</v>
      </c>
      <c r="M12" s="17">
        <v>0</v>
      </c>
      <c r="N12" s="17">
        <v>4042.3200000000652</v>
      </c>
      <c r="O12" s="17">
        <v>2021.17</v>
      </c>
      <c r="P12" s="17">
        <v>2021.14</v>
      </c>
      <c r="Q12" s="17">
        <f t="shared" si="2"/>
        <v>1041384.3400000001</v>
      </c>
      <c r="R12" s="11">
        <v>1041384.3400000001</v>
      </c>
      <c r="S12" s="12">
        <f t="shared" si="3"/>
        <v>0</v>
      </c>
      <c r="T12">
        <f>COUNTIF(_25B[Nazwa konta],C12)</f>
        <v>1</v>
      </c>
    </row>
    <row r="13" spans="1:20" x14ac:dyDescent="0.3">
      <c r="A13" s="7" t="s">
        <v>101</v>
      </c>
      <c r="B13" s="7">
        <v>11518100</v>
      </c>
      <c r="C13" s="7" t="s">
        <v>113</v>
      </c>
      <c r="D13" s="7" t="s">
        <v>102</v>
      </c>
      <c r="E13" s="17">
        <v>-1391454.59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328972.15000000002</v>
      </c>
      <c r="Q13" s="17">
        <f t="shared" si="2"/>
        <v>-1062482.44</v>
      </c>
      <c r="R13" s="11">
        <v>-1062482.44</v>
      </c>
      <c r="S13" s="12">
        <f t="shared" si="3"/>
        <v>0</v>
      </c>
      <c r="T13">
        <f>COUNTIF(_25B[Nazwa konta],C13)</f>
        <v>1</v>
      </c>
    </row>
    <row r="14" spans="1:20" x14ac:dyDescent="0.3">
      <c r="A14" s="7" t="s">
        <v>101</v>
      </c>
      <c r="B14" s="7">
        <v>11518400</v>
      </c>
      <c r="C14" s="7" t="s">
        <v>114</v>
      </c>
      <c r="D14" s="7" t="s">
        <v>102</v>
      </c>
      <c r="E14" s="17">
        <v>990571.85</v>
      </c>
      <c r="F14" s="17">
        <v>0</v>
      </c>
      <c r="G14" s="17">
        <v>45714.599999999977</v>
      </c>
      <c r="H14" s="17">
        <v>22857.260000000009</v>
      </c>
      <c r="I14" s="17">
        <v>19036.949999999953</v>
      </c>
      <c r="J14" s="17">
        <v>19036.950000000186</v>
      </c>
      <c r="K14" s="17">
        <v>0</v>
      </c>
      <c r="L14" s="17">
        <v>38073.85999999987</v>
      </c>
      <c r="M14" s="17">
        <v>0</v>
      </c>
      <c r="N14" s="17">
        <v>36769.310000000056</v>
      </c>
      <c r="O14" s="17">
        <v>16100.979999999998</v>
      </c>
      <c r="P14" s="17">
        <v>-303097.44</v>
      </c>
      <c r="Q14" s="17">
        <f t="shared" si="2"/>
        <v>885064.32000000007</v>
      </c>
      <c r="R14" s="11">
        <v>885064.32000000007</v>
      </c>
      <c r="S14" s="12">
        <f t="shared" si="3"/>
        <v>0</v>
      </c>
      <c r="T14">
        <f>COUNTIF(_25B[Nazwa konta],C14)</f>
        <v>1</v>
      </c>
    </row>
    <row r="15" spans="1:20" x14ac:dyDescent="0.3">
      <c r="A15" s="7" t="s">
        <v>101</v>
      </c>
      <c r="B15" s="7">
        <v>13500000</v>
      </c>
      <c r="C15" s="7" t="s">
        <v>115</v>
      </c>
      <c r="D15" s="7" t="s">
        <v>102</v>
      </c>
      <c r="E15" s="17">
        <v>-82626</v>
      </c>
      <c r="F15" s="17">
        <v>-76602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f t="shared" si="2"/>
        <v>-159228</v>
      </c>
      <c r="R15" s="11">
        <v>-159228</v>
      </c>
      <c r="S15" s="12">
        <f t="shared" si="3"/>
        <v>0</v>
      </c>
      <c r="T15">
        <f>COUNTIF(_25B[Nazwa konta],C15)</f>
        <v>1</v>
      </c>
    </row>
    <row r="16" spans="1:20" x14ac:dyDescent="0.3">
      <c r="A16" s="7" t="s">
        <v>101</v>
      </c>
      <c r="B16" s="7">
        <v>14502000</v>
      </c>
      <c r="C16" s="7" t="s">
        <v>171</v>
      </c>
      <c r="D16" s="7" t="s">
        <v>102</v>
      </c>
      <c r="E16" s="17">
        <v>-619205.87</v>
      </c>
      <c r="F16" s="17">
        <v>0</v>
      </c>
      <c r="G16" s="17">
        <v>0</v>
      </c>
      <c r="H16" s="17">
        <v>0</v>
      </c>
      <c r="I16" s="17">
        <v>329020.75</v>
      </c>
      <c r="J16" s="17">
        <v>0</v>
      </c>
      <c r="K16" s="17">
        <v>0</v>
      </c>
      <c r="L16" s="17">
        <v>0</v>
      </c>
      <c r="M16" s="17">
        <v>0</v>
      </c>
      <c r="N16" s="17">
        <v>290185.12</v>
      </c>
      <c r="O16" s="17">
        <v>0</v>
      </c>
      <c r="P16" s="17">
        <v>-520903.26000000007</v>
      </c>
      <c r="Q16" s="17">
        <f t="shared" si="2"/>
        <v>-520903.26000000007</v>
      </c>
      <c r="R16" s="11">
        <v>-520903.26000000007</v>
      </c>
      <c r="S16" s="12">
        <f t="shared" si="3"/>
        <v>0</v>
      </c>
      <c r="T16">
        <f>COUNTIF(_25B[Nazwa konta],C16)</f>
        <v>1</v>
      </c>
    </row>
    <row r="17" spans="1:20" x14ac:dyDescent="0.3">
      <c r="A17" s="7" t="s">
        <v>101</v>
      </c>
      <c r="B17" s="7">
        <v>15500000</v>
      </c>
      <c r="C17" s="7" t="s">
        <v>116</v>
      </c>
      <c r="D17" s="7" t="s">
        <v>102</v>
      </c>
      <c r="E17" s="17">
        <v>-134792.95999999999</v>
      </c>
      <c r="F17" s="17">
        <v>5493.8799999999901</v>
      </c>
      <c r="G17" s="17">
        <v>-31565.17</v>
      </c>
      <c r="H17" s="17">
        <v>-13038.959999999992</v>
      </c>
      <c r="I17" s="17">
        <v>44630.12999999999</v>
      </c>
      <c r="J17" s="17">
        <v>-252417.22999999998</v>
      </c>
      <c r="K17" s="17">
        <v>252461.22999999998</v>
      </c>
      <c r="L17" s="17">
        <v>17131.869999999995</v>
      </c>
      <c r="M17" s="17">
        <v>0</v>
      </c>
      <c r="N17" s="17">
        <v>66732.63</v>
      </c>
      <c r="O17" s="17">
        <v>27018.580000000005</v>
      </c>
      <c r="P17" s="17">
        <v>3246</v>
      </c>
      <c r="Q17" s="17">
        <f t="shared" si="2"/>
        <v>-15100.000000000011</v>
      </c>
      <c r="R17" s="11">
        <v>-15100.000000000011</v>
      </c>
      <c r="S17" s="12">
        <f t="shared" si="3"/>
        <v>0</v>
      </c>
      <c r="T17">
        <f>COUNTIF(_25B[Nazwa konta],C17)</f>
        <v>1</v>
      </c>
    </row>
    <row r="18" spans="1:20" x14ac:dyDescent="0.3">
      <c r="A18" s="7" t="s">
        <v>101</v>
      </c>
      <c r="B18" s="7">
        <v>15500800</v>
      </c>
      <c r="C18" s="7" t="s">
        <v>117</v>
      </c>
      <c r="D18" s="7" t="s">
        <v>102</v>
      </c>
      <c r="E18" s="17">
        <v>228599.86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-204362.27999999997</v>
      </c>
      <c r="O18" s="17">
        <v>0</v>
      </c>
      <c r="P18" s="17">
        <v>-24237.58</v>
      </c>
      <c r="Q18" s="17">
        <f t="shared" si="2"/>
        <v>0</v>
      </c>
      <c r="R18" s="11">
        <v>0</v>
      </c>
      <c r="S18" s="12">
        <f t="shared" si="3"/>
        <v>0</v>
      </c>
      <c r="T18">
        <f>COUNTIF(_25B[Nazwa konta],C18)</f>
        <v>1</v>
      </c>
    </row>
    <row r="19" spans="1:20" x14ac:dyDescent="0.3">
      <c r="A19" s="7" t="s">
        <v>101</v>
      </c>
      <c r="B19" s="7">
        <v>15500999</v>
      </c>
      <c r="C19" s="7" t="s">
        <v>118</v>
      </c>
      <c r="D19" s="7" t="s">
        <v>102</v>
      </c>
      <c r="E19" s="17">
        <v>4003.23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-3933.7200000000003</v>
      </c>
      <c r="Q19" s="17">
        <f t="shared" si="2"/>
        <v>69.509999999999764</v>
      </c>
      <c r="R19" s="11">
        <v>69.509999999999764</v>
      </c>
      <c r="S19" s="12">
        <f t="shared" si="3"/>
        <v>0</v>
      </c>
      <c r="T19">
        <f>COUNTIF(_25B[Nazwa konta],C19)</f>
        <v>1</v>
      </c>
    </row>
    <row r="20" spans="1:20" x14ac:dyDescent="0.3">
      <c r="A20" s="7" t="s">
        <v>101</v>
      </c>
      <c r="B20" s="7">
        <v>15560000</v>
      </c>
      <c r="C20" s="7" t="s">
        <v>175</v>
      </c>
      <c r="D20" s="7" t="s">
        <v>102</v>
      </c>
      <c r="E20" s="17">
        <v>0</v>
      </c>
      <c r="F20" s="17">
        <v>0</v>
      </c>
      <c r="G20" s="17">
        <v>0</v>
      </c>
      <c r="H20" s="17">
        <v>0</v>
      </c>
      <c r="I20" s="17">
        <v>-4.32</v>
      </c>
      <c r="J20" s="17">
        <v>4.32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f t="shared" si="2"/>
        <v>0</v>
      </c>
      <c r="R20" s="11">
        <v>0</v>
      </c>
      <c r="S20" s="12">
        <f t="shared" si="3"/>
        <v>0</v>
      </c>
      <c r="T20">
        <f>COUNTIF(_25B[Nazwa konta],C20)</f>
        <v>1</v>
      </c>
    </row>
    <row r="21" spans="1:20" x14ac:dyDescent="0.3">
      <c r="A21" s="7" t="s">
        <v>101</v>
      </c>
      <c r="B21" s="7">
        <v>15514000</v>
      </c>
      <c r="C21" s="7" t="s">
        <v>176</v>
      </c>
      <c r="D21" s="7" t="s">
        <v>102</v>
      </c>
      <c r="E21" s="17">
        <v>-1850899</v>
      </c>
      <c r="F21" s="17">
        <v>1850899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-1729855</v>
      </c>
      <c r="Q21" s="17">
        <f t="shared" si="2"/>
        <v>-1729855</v>
      </c>
      <c r="R21" s="11">
        <v>-1729855</v>
      </c>
      <c r="S21" s="12">
        <f t="shared" si="3"/>
        <v>0</v>
      </c>
      <c r="T21">
        <f>COUNTIF(_25B[Nazwa konta],C21)</f>
        <v>1</v>
      </c>
    </row>
    <row r="22" spans="1:20" x14ac:dyDescent="0.3">
      <c r="A22" s="7" t="s">
        <v>101</v>
      </c>
      <c r="B22" s="7">
        <v>15540000</v>
      </c>
      <c r="C22" s="7" t="s">
        <v>119</v>
      </c>
      <c r="D22" s="7" t="s">
        <v>102</v>
      </c>
      <c r="E22" s="17">
        <v>-929.04</v>
      </c>
      <c r="F22" s="17">
        <v>0</v>
      </c>
      <c r="G22" s="17">
        <v>0</v>
      </c>
      <c r="H22" s="17">
        <v>0</v>
      </c>
      <c r="I22" s="17">
        <v>-191641.94</v>
      </c>
      <c r="J22" s="17">
        <v>35780.23000000001</v>
      </c>
      <c r="K22" s="17">
        <v>137525.04</v>
      </c>
      <c r="L22" s="17">
        <v>18336.669999999998</v>
      </c>
      <c r="M22" s="17">
        <v>0</v>
      </c>
      <c r="N22" s="17">
        <v>0</v>
      </c>
      <c r="O22" s="17">
        <v>0</v>
      </c>
      <c r="P22" s="17">
        <v>0</v>
      </c>
      <c r="Q22" s="17">
        <f t="shared" si="2"/>
        <v>-929.0399999999936</v>
      </c>
      <c r="R22" s="11">
        <v>-929.0399999999936</v>
      </c>
      <c r="S22" s="12">
        <f t="shared" si="3"/>
        <v>0</v>
      </c>
      <c r="T22">
        <f>COUNTIF(_25B[Nazwa konta],C22)</f>
        <v>1</v>
      </c>
    </row>
    <row r="23" spans="1:20" x14ac:dyDescent="0.3">
      <c r="A23" s="7" t="s">
        <v>101</v>
      </c>
      <c r="B23" s="7">
        <v>15540999</v>
      </c>
      <c r="C23" s="7" t="s">
        <v>120</v>
      </c>
      <c r="D23" s="7" t="s">
        <v>102</v>
      </c>
      <c r="E23" s="17">
        <v>26.04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-26.04</v>
      </c>
      <c r="Q23" s="17">
        <f t="shared" si="2"/>
        <v>0</v>
      </c>
      <c r="R23" s="11">
        <v>0</v>
      </c>
      <c r="S23" s="12">
        <f t="shared" si="3"/>
        <v>0</v>
      </c>
      <c r="T23">
        <f>COUNTIF(_25B[Nazwa konta],C23)</f>
        <v>1</v>
      </c>
    </row>
    <row r="24" spans="1:20" x14ac:dyDescent="0.3">
      <c r="A24" s="7" t="s">
        <v>101</v>
      </c>
      <c r="B24" s="7">
        <v>15550368</v>
      </c>
      <c r="C24" s="7" t="s">
        <v>121</v>
      </c>
      <c r="D24" s="7" t="s">
        <v>102</v>
      </c>
      <c r="E24" s="17">
        <v>-90991394.290000007</v>
      </c>
      <c r="F24" s="17">
        <v>-25146.979999989271</v>
      </c>
      <c r="G24" s="17">
        <v>-1131.3200000077486</v>
      </c>
      <c r="H24" s="17">
        <v>0</v>
      </c>
      <c r="I24" s="17">
        <v>1131.3200000077486</v>
      </c>
      <c r="J24" s="17">
        <v>-4.3200000077486038</v>
      </c>
      <c r="K24" s="17">
        <v>0</v>
      </c>
      <c r="L24" s="17">
        <v>0</v>
      </c>
      <c r="M24" s="17">
        <v>0</v>
      </c>
      <c r="N24" s="17">
        <v>0</v>
      </c>
      <c r="O24" s="17">
        <v>-4305.5700000000006</v>
      </c>
      <c r="P24" s="17">
        <v>0</v>
      </c>
      <c r="Q24" s="17">
        <f t="shared" si="2"/>
        <v>-91020851.159999996</v>
      </c>
      <c r="R24" s="11">
        <v>-91020851.159999996</v>
      </c>
      <c r="S24" s="12">
        <f t="shared" si="3"/>
        <v>0</v>
      </c>
      <c r="T24">
        <f>COUNTIF(_25B[Nazwa konta],C24)</f>
        <v>1</v>
      </c>
    </row>
    <row r="25" spans="1:20" x14ac:dyDescent="0.3">
      <c r="A25" s="7" t="s">
        <v>101</v>
      </c>
      <c r="B25" s="7">
        <v>15552000</v>
      </c>
      <c r="C25" s="7" t="s">
        <v>122</v>
      </c>
      <c r="D25" s="7" t="s">
        <v>102</v>
      </c>
      <c r="E25" s="17">
        <v>96164743.209999993</v>
      </c>
      <c r="F25" s="17">
        <v>-2200425</v>
      </c>
      <c r="G25" s="17">
        <v>-353554</v>
      </c>
      <c r="H25" s="17">
        <v>954250</v>
      </c>
      <c r="I25" s="17">
        <v>1621954.9200000018</v>
      </c>
      <c r="J25" s="17">
        <v>1344860</v>
      </c>
      <c r="K25" s="17">
        <v>-1138638.6099999994</v>
      </c>
      <c r="L25" s="17">
        <v>-11000</v>
      </c>
      <c r="M25" s="17">
        <v>15000</v>
      </c>
      <c r="N25" s="17">
        <v>59640</v>
      </c>
      <c r="O25" s="17">
        <v>-57000</v>
      </c>
      <c r="P25" s="17">
        <v>29000</v>
      </c>
      <c r="Q25" s="17">
        <f t="shared" si="2"/>
        <v>96428830.519999996</v>
      </c>
      <c r="R25" s="11">
        <v>96428830.519999996</v>
      </c>
      <c r="S25" s="12">
        <f t="shared" si="3"/>
        <v>0</v>
      </c>
      <c r="T25">
        <f>COUNTIF(_25B[Nazwa konta],C25)</f>
        <v>1</v>
      </c>
    </row>
    <row r="26" spans="1:20" x14ac:dyDescent="0.3">
      <c r="A26" s="7" t="s">
        <v>101</v>
      </c>
      <c r="B26" s="7">
        <v>15562000</v>
      </c>
      <c r="C26" s="7" t="s">
        <v>123</v>
      </c>
      <c r="D26" s="7" t="s">
        <v>102</v>
      </c>
      <c r="E26" s="17">
        <v>-40034.51</v>
      </c>
      <c r="F26" s="17">
        <v>-12603.71</v>
      </c>
      <c r="G26" s="17">
        <v>21394.880000000001</v>
      </c>
      <c r="H26" s="17">
        <v>18430.370000000003</v>
      </c>
      <c r="I26" s="17">
        <v>21966.66</v>
      </c>
      <c r="J26" s="17">
        <v>-35763.97</v>
      </c>
      <c r="K26" s="17">
        <v>152.18000000000029</v>
      </c>
      <c r="L26" s="17">
        <v>118.93999999999869</v>
      </c>
      <c r="M26" s="17">
        <v>35000</v>
      </c>
      <c r="N26" s="17">
        <v>12415.61</v>
      </c>
      <c r="O26" s="17">
        <v>-7200</v>
      </c>
      <c r="P26" s="17">
        <v>0</v>
      </c>
      <c r="Q26" s="17">
        <f t="shared" si="2"/>
        <v>13876.45</v>
      </c>
      <c r="R26" s="11">
        <v>13876.45</v>
      </c>
      <c r="S26" s="12">
        <f t="shared" si="3"/>
        <v>0</v>
      </c>
      <c r="T26">
        <f>COUNTIF(_25B[Nazwa konta],C26)</f>
        <v>1</v>
      </c>
    </row>
    <row r="27" spans="1:20" x14ac:dyDescent="0.3">
      <c r="A27" s="7" t="s">
        <v>101</v>
      </c>
      <c r="B27" s="7">
        <v>16004000</v>
      </c>
      <c r="C27" s="7" t="s">
        <v>124</v>
      </c>
      <c r="D27" s="7" t="s">
        <v>102</v>
      </c>
      <c r="E27" s="17">
        <v>-76353</v>
      </c>
      <c r="F27" s="17">
        <v>36368</v>
      </c>
      <c r="G27" s="17">
        <v>76547</v>
      </c>
      <c r="H27" s="17">
        <v>66663</v>
      </c>
      <c r="I27" s="17">
        <v>28240</v>
      </c>
      <c r="J27" s="17">
        <v>33646</v>
      </c>
      <c r="K27" s="17">
        <v>33173</v>
      </c>
      <c r="L27" s="17">
        <v>54185</v>
      </c>
      <c r="M27" s="17">
        <v>0</v>
      </c>
      <c r="N27" s="17">
        <v>27847</v>
      </c>
      <c r="O27" s="17">
        <v>31079</v>
      </c>
      <c r="P27" s="17">
        <v>56644</v>
      </c>
      <c r="Q27" s="17">
        <f t="shared" si="2"/>
        <v>368039</v>
      </c>
      <c r="R27" s="11">
        <v>368039</v>
      </c>
      <c r="S27" s="12">
        <f t="shared" si="3"/>
        <v>0</v>
      </c>
      <c r="T27">
        <f>COUNTIF(_25B[Nazwa konta],C27)</f>
        <v>1</v>
      </c>
    </row>
    <row r="28" spans="1:20" x14ac:dyDescent="0.3">
      <c r="A28" s="7" t="s">
        <v>101</v>
      </c>
      <c r="B28" s="7">
        <v>16004010</v>
      </c>
      <c r="C28" s="7" t="s">
        <v>125</v>
      </c>
      <c r="D28" s="7" t="s">
        <v>102</v>
      </c>
      <c r="E28" s="17">
        <v>-106017.54</v>
      </c>
      <c r="F28" s="17">
        <v>-28754.150000000009</v>
      </c>
      <c r="G28" s="17">
        <v>-40045.56</v>
      </c>
      <c r="H28" s="17">
        <v>-33012.760000000009</v>
      </c>
      <c r="I28" s="17">
        <v>-101028.85999999999</v>
      </c>
      <c r="J28" s="17">
        <v>-32405.710000000021</v>
      </c>
      <c r="K28" s="17">
        <v>-40330.159999999974</v>
      </c>
      <c r="L28" s="17">
        <v>-25834.450000000012</v>
      </c>
      <c r="M28" s="17">
        <v>-46879.289999999979</v>
      </c>
      <c r="N28" s="17">
        <v>-49477.239999999991</v>
      </c>
      <c r="O28" s="17">
        <v>-31843.95</v>
      </c>
      <c r="P28" s="17">
        <v>-43551.129999999976</v>
      </c>
      <c r="Q28" s="17">
        <f t="shared" si="2"/>
        <v>-579180.79999999993</v>
      </c>
      <c r="R28" s="11">
        <v>-579180.79999999993</v>
      </c>
      <c r="S28" s="12">
        <f t="shared" si="3"/>
        <v>0</v>
      </c>
      <c r="T28">
        <f>COUNTIF(_25B[Nazwa konta],C28)</f>
        <v>1</v>
      </c>
    </row>
    <row r="29" spans="1:20" x14ac:dyDescent="0.3">
      <c r="A29" s="7" t="s">
        <v>101</v>
      </c>
      <c r="B29" s="7">
        <v>16004080</v>
      </c>
      <c r="C29" s="7" t="s">
        <v>126</v>
      </c>
      <c r="D29" s="7" t="s">
        <v>102</v>
      </c>
      <c r="E29" s="17">
        <v>-325.05</v>
      </c>
      <c r="F29" s="17">
        <v>0</v>
      </c>
      <c r="G29" s="17">
        <v>0</v>
      </c>
      <c r="H29" s="17">
        <v>0</v>
      </c>
      <c r="I29" s="17">
        <v>95.81</v>
      </c>
      <c r="J29" s="17">
        <v>0</v>
      </c>
      <c r="K29" s="17">
        <v>-1673.61</v>
      </c>
      <c r="L29" s="17">
        <v>0</v>
      </c>
      <c r="M29" s="17">
        <v>4.3799999999998818</v>
      </c>
      <c r="N29" s="17">
        <v>-65.200000000000045</v>
      </c>
      <c r="O29" s="17">
        <v>-103.69</v>
      </c>
      <c r="P29" s="17">
        <v>-68</v>
      </c>
      <c r="Q29" s="17">
        <f t="shared" si="2"/>
        <v>-2135.36</v>
      </c>
      <c r="R29" s="11">
        <v>-2135.36</v>
      </c>
      <c r="S29" s="12">
        <f t="shared" si="3"/>
        <v>0</v>
      </c>
      <c r="T29">
        <f>COUNTIF(_25B[Nazwa konta],C29)</f>
        <v>1</v>
      </c>
    </row>
    <row r="30" spans="1:20" x14ac:dyDescent="0.3">
      <c r="A30" s="7" t="s">
        <v>101</v>
      </c>
      <c r="B30" s="7">
        <v>16008000</v>
      </c>
      <c r="C30" s="7" t="s">
        <v>127</v>
      </c>
      <c r="D30" s="7" t="s">
        <v>102</v>
      </c>
      <c r="E30" s="17">
        <v>17309.580000000002</v>
      </c>
      <c r="F30" s="17">
        <v>-12901.170000000002</v>
      </c>
      <c r="G30" s="17">
        <v>13104.29</v>
      </c>
      <c r="H30" s="17">
        <v>-8588.4000000000015</v>
      </c>
      <c r="I30" s="17">
        <v>727.52000000000044</v>
      </c>
      <c r="J30" s="17">
        <v>-16950.95</v>
      </c>
      <c r="K30" s="17">
        <v>6415.3</v>
      </c>
      <c r="L30" s="17">
        <v>9894.4599999999991</v>
      </c>
      <c r="M30" s="17">
        <v>2480.8500000000004</v>
      </c>
      <c r="N30" s="17">
        <v>-9920.74</v>
      </c>
      <c r="O30" s="17">
        <v>1472.9299999999998</v>
      </c>
      <c r="P30" s="17">
        <v>6858.870000000009</v>
      </c>
      <c r="Q30" s="17">
        <f t="shared" si="2"/>
        <v>9902.5400000000063</v>
      </c>
      <c r="R30" s="11">
        <v>9902.5400000000063</v>
      </c>
      <c r="S30" s="12">
        <f t="shared" si="3"/>
        <v>0</v>
      </c>
      <c r="T30">
        <f>COUNTIF(_25B[Nazwa konta],C30)</f>
        <v>1</v>
      </c>
    </row>
    <row r="31" spans="1:20" x14ac:dyDescent="0.3">
      <c r="A31" s="7" t="s">
        <v>101</v>
      </c>
      <c r="B31" s="7">
        <v>16008030</v>
      </c>
      <c r="C31" s="7" t="s">
        <v>128</v>
      </c>
      <c r="D31" s="7" t="s">
        <v>102</v>
      </c>
      <c r="E31" s="17">
        <v>-33680</v>
      </c>
      <c r="F31" s="17">
        <v>8370</v>
      </c>
      <c r="G31" s="17">
        <v>6470</v>
      </c>
      <c r="H31" s="17">
        <v>-19100</v>
      </c>
      <c r="I31" s="17">
        <v>22940</v>
      </c>
      <c r="J31" s="17">
        <v>-20500</v>
      </c>
      <c r="K31" s="17">
        <v>12331.09</v>
      </c>
      <c r="L31" s="17">
        <v>-5100</v>
      </c>
      <c r="M31" s="17">
        <v>-2131.09</v>
      </c>
      <c r="N31" s="17">
        <v>26400</v>
      </c>
      <c r="O31" s="17">
        <v>2000</v>
      </c>
      <c r="P31" s="17">
        <v>2000</v>
      </c>
      <c r="Q31" s="17">
        <f t="shared" si="2"/>
        <v>0</v>
      </c>
      <c r="R31" s="11">
        <v>0</v>
      </c>
      <c r="S31" s="12">
        <f t="shared" si="3"/>
        <v>0</v>
      </c>
      <c r="T31">
        <f>COUNTIF(_25B[Nazwa konta],C31)</f>
        <v>1</v>
      </c>
    </row>
    <row r="32" spans="1:20" x14ac:dyDescent="0.3">
      <c r="A32" s="7" t="s">
        <v>101</v>
      </c>
      <c r="B32" s="7">
        <v>16500000</v>
      </c>
      <c r="C32" s="7" t="s">
        <v>172</v>
      </c>
      <c r="D32" s="7" t="s">
        <v>102</v>
      </c>
      <c r="E32" s="17">
        <v>-557949</v>
      </c>
      <c r="F32" s="17">
        <v>0</v>
      </c>
      <c r="G32" s="17">
        <v>0</v>
      </c>
      <c r="H32" s="17">
        <v>0</v>
      </c>
      <c r="I32" s="17">
        <v>0</v>
      </c>
      <c r="J32" s="17">
        <v>557948</v>
      </c>
      <c r="K32" s="17">
        <v>0</v>
      </c>
      <c r="L32" s="17">
        <v>0</v>
      </c>
      <c r="M32" s="17">
        <v>0</v>
      </c>
      <c r="N32" s="17">
        <v>1</v>
      </c>
      <c r="O32" s="17">
        <v>0</v>
      </c>
      <c r="P32" s="17">
        <v>-728950</v>
      </c>
      <c r="Q32" s="17">
        <f t="shared" si="2"/>
        <v>-728950</v>
      </c>
      <c r="R32" s="11">
        <v>-728950</v>
      </c>
      <c r="S32" s="12">
        <f t="shared" si="3"/>
        <v>0</v>
      </c>
      <c r="T32">
        <f>COUNTIF(_25B[Nazwa konta],C32)</f>
        <v>1</v>
      </c>
    </row>
    <row r="33" spans="1:20" x14ac:dyDescent="0.3">
      <c r="A33" s="7" t="s">
        <v>101</v>
      </c>
      <c r="B33" s="7">
        <v>17000000</v>
      </c>
      <c r="C33" s="7" t="s">
        <v>129</v>
      </c>
      <c r="D33" s="7" t="s">
        <v>102</v>
      </c>
      <c r="E33" s="17">
        <v>-159844.67000000001</v>
      </c>
      <c r="F33" s="17">
        <v>27941.100000000006</v>
      </c>
      <c r="G33" s="17">
        <v>-17248.899999999994</v>
      </c>
      <c r="H33" s="17">
        <v>6281.1000000000058</v>
      </c>
      <c r="I33" s="17">
        <v>29811.099999999991</v>
      </c>
      <c r="J33" s="17">
        <v>6281</v>
      </c>
      <c r="K33" s="17">
        <v>26991.100000000006</v>
      </c>
      <c r="L33" s="17">
        <v>6281.0999999999913</v>
      </c>
      <c r="M33" s="17">
        <v>49601.100000000006</v>
      </c>
      <c r="N33" s="17">
        <v>-57748.899999999994</v>
      </c>
      <c r="O33" s="17">
        <v>6281.0999999999985</v>
      </c>
      <c r="P33" s="17">
        <v>6281.1</v>
      </c>
      <c r="Q33" s="17">
        <f t="shared" si="2"/>
        <v>-69092.669999999984</v>
      </c>
      <c r="R33" s="11">
        <v>-69092.669999999984</v>
      </c>
      <c r="S33" s="12">
        <f t="shared" si="3"/>
        <v>0</v>
      </c>
      <c r="T33">
        <f>COUNTIF(_25B[Nazwa konta],C33)</f>
        <v>1</v>
      </c>
    </row>
    <row r="34" spans="1:20" x14ac:dyDescent="0.3">
      <c r="A34" s="7" t="s">
        <v>101</v>
      </c>
      <c r="B34" s="7">
        <v>17000030</v>
      </c>
      <c r="C34" s="7" t="s">
        <v>130</v>
      </c>
      <c r="D34" s="7" t="s">
        <v>102</v>
      </c>
      <c r="E34" s="17">
        <v>-23080.09</v>
      </c>
      <c r="F34" s="17">
        <v>-3252.34</v>
      </c>
      <c r="G34" s="17">
        <v>6768.4000000000015</v>
      </c>
      <c r="H34" s="17">
        <v>127.93999999999869</v>
      </c>
      <c r="I34" s="17">
        <v>-28478.579999999998</v>
      </c>
      <c r="J34" s="17">
        <v>-9115.7900000000009</v>
      </c>
      <c r="K34" s="17">
        <v>612.68000000000029</v>
      </c>
      <c r="L34" s="17">
        <v>4514.43</v>
      </c>
      <c r="M34" s="17">
        <v>6659.68</v>
      </c>
      <c r="N34" s="17">
        <v>12008.919999999998</v>
      </c>
      <c r="O34" s="17">
        <v>5719.68</v>
      </c>
      <c r="P34" s="17">
        <v>5719.68</v>
      </c>
      <c r="Q34" s="17">
        <f t="shared" si="2"/>
        <v>-21795.39</v>
      </c>
      <c r="R34" s="11">
        <v>-21795.39</v>
      </c>
      <c r="S34" s="12">
        <f t="shared" si="3"/>
        <v>0</v>
      </c>
      <c r="T34">
        <f>COUNTIF(_25B[Nazwa konta],C34)</f>
        <v>1</v>
      </c>
    </row>
    <row r="35" spans="1:20" x14ac:dyDescent="0.3">
      <c r="A35" s="7" t="s">
        <v>101</v>
      </c>
      <c r="B35" s="7">
        <v>17006000</v>
      </c>
      <c r="C35" s="7" t="s">
        <v>174</v>
      </c>
      <c r="D35" s="7" t="s">
        <v>102</v>
      </c>
      <c r="E35" s="17">
        <v>0</v>
      </c>
      <c r="F35" s="17">
        <v>0</v>
      </c>
      <c r="G35" s="17">
        <v>0</v>
      </c>
      <c r="H35" s="17">
        <v>-10000</v>
      </c>
      <c r="I35" s="17">
        <v>0</v>
      </c>
      <c r="J35" s="17">
        <v>0</v>
      </c>
      <c r="K35" s="17">
        <v>0</v>
      </c>
      <c r="L35" s="17">
        <v>10000</v>
      </c>
      <c r="M35" s="17">
        <v>0</v>
      </c>
      <c r="N35" s="17">
        <v>0</v>
      </c>
      <c r="O35" s="17">
        <v>0</v>
      </c>
      <c r="P35" s="17">
        <v>0</v>
      </c>
      <c r="Q35" s="17">
        <f t="shared" si="2"/>
        <v>0</v>
      </c>
      <c r="R35" s="11">
        <v>0</v>
      </c>
      <c r="S35" s="12">
        <f t="shared" si="3"/>
        <v>0</v>
      </c>
      <c r="T35">
        <f>COUNTIF(_25B[Nazwa konta],C35)</f>
        <v>1</v>
      </c>
    </row>
    <row r="36" spans="1:20" x14ac:dyDescent="0.3">
      <c r="A36" s="7" t="s">
        <v>101</v>
      </c>
      <c r="B36" s="7">
        <v>18579900</v>
      </c>
      <c r="C36" s="7" t="s">
        <v>131</v>
      </c>
      <c r="D36" s="7" t="s">
        <v>102</v>
      </c>
      <c r="E36" s="17">
        <v>-118969.27</v>
      </c>
      <c r="F36" s="17">
        <v>22664.33</v>
      </c>
      <c r="G36" s="17">
        <v>8491.6199999999953</v>
      </c>
      <c r="H36" s="17">
        <v>-1200077.02</v>
      </c>
      <c r="I36" s="17">
        <v>1187917.9200000002</v>
      </c>
      <c r="J36" s="17">
        <v>-574892.53999999992</v>
      </c>
      <c r="K36" s="17">
        <v>420467.33999999997</v>
      </c>
      <c r="L36" s="17">
        <v>-74535.700000000012</v>
      </c>
      <c r="M36" s="17">
        <v>-84251.599999999977</v>
      </c>
      <c r="N36" s="17">
        <v>-33433.010000000009</v>
      </c>
      <c r="O36" s="17">
        <v>109214.94000000069</v>
      </c>
      <c r="P36" s="17">
        <v>219483.51000000135</v>
      </c>
      <c r="Q36" s="17">
        <f t="shared" si="2"/>
        <v>-117919.47999999783</v>
      </c>
      <c r="R36" s="11">
        <v>-117919.47999999783</v>
      </c>
      <c r="S36" s="12">
        <f t="shared" si="3"/>
        <v>0</v>
      </c>
      <c r="T36">
        <f>COUNTIF(_25B[Nazwa konta],C36)</f>
        <v>1</v>
      </c>
    </row>
    <row r="37" spans="1:20" x14ac:dyDescent="0.3">
      <c r="A37" s="7" t="s">
        <v>101</v>
      </c>
      <c r="B37" s="7">
        <v>18580000</v>
      </c>
      <c r="C37" s="7" t="s">
        <v>132</v>
      </c>
      <c r="D37" s="7" t="s">
        <v>102</v>
      </c>
      <c r="E37" s="17">
        <v>0</v>
      </c>
      <c r="F37" s="17">
        <v>0</v>
      </c>
      <c r="G37" s="17">
        <v>0</v>
      </c>
      <c r="H37" s="17">
        <v>-415.7</v>
      </c>
      <c r="I37" s="17">
        <v>-4620.34</v>
      </c>
      <c r="J37" s="17">
        <v>0</v>
      </c>
      <c r="K37" s="17">
        <v>-15074.919999999998</v>
      </c>
      <c r="L37" s="17">
        <v>4171.4199999999983</v>
      </c>
      <c r="M37" s="17">
        <v>1225.4500000000007</v>
      </c>
      <c r="N37" s="17">
        <v>580.75</v>
      </c>
      <c r="O37" s="17">
        <v>106.19000000000005</v>
      </c>
      <c r="P37" s="17">
        <v>14027.149999999996</v>
      </c>
      <c r="Q37" s="17">
        <f t="shared" si="2"/>
        <v>0</v>
      </c>
      <c r="R37" s="11">
        <v>0</v>
      </c>
      <c r="S37" s="12">
        <f t="shared" si="3"/>
        <v>0</v>
      </c>
      <c r="T37">
        <f>COUNTIF(_25B[Nazwa konta],C37)</f>
        <v>1</v>
      </c>
    </row>
    <row r="38" spans="1:20" x14ac:dyDescent="0.3">
      <c r="A38" s="7" t="s">
        <v>101</v>
      </c>
      <c r="B38" s="7">
        <v>18580100</v>
      </c>
      <c r="C38" s="7" t="s">
        <v>133</v>
      </c>
      <c r="D38" s="7" t="s">
        <v>102</v>
      </c>
      <c r="E38" s="17">
        <v>-38867.72</v>
      </c>
      <c r="F38" s="17">
        <v>19608.050000000003</v>
      </c>
      <c r="G38" s="17">
        <v>-102444.52</v>
      </c>
      <c r="H38" s="17">
        <v>94122.38</v>
      </c>
      <c r="I38" s="17">
        <v>-19672.2</v>
      </c>
      <c r="J38" s="17">
        <v>26029.72</v>
      </c>
      <c r="K38" s="17">
        <v>-238837.21</v>
      </c>
      <c r="L38" s="17">
        <v>-17259.719999999972</v>
      </c>
      <c r="M38" s="17">
        <v>5321.4599999999627</v>
      </c>
      <c r="N38" s="17">
        <v>16924.710000000021</v>
      </c>
      <c r="O38" s="17">
        <v>-2774.9100000000039</v>
      </c>
      <c r="P38" s="17">
        <v>257849.96</v>
      </c>
      <c r="Q38" s="17">
        <f t="shared" si="2"/>
        <v>0</v>
      </c>
      <c r="R38" s="11">
        <v>0</v>
      </c>
      <c r="S38" s="12">
        <f t="shared" si="3"/>
        <v>0</v>
      </c>
      <c r="T38">
        <f>COUNTIF(_25B[Nazwa konta],C38)</f>
        <v>1</v>
      </c>
    </row>
    <row r="39" spans="1:20" x14ac:dyDescent="0.3">
      <c r="A39" s="7" t="s">
        <v>101</v>
      </c>
      <c r="B39" s="7">
        <v>18580200</v>
      </c>
      <c r="C39" s="7" t="s">
        <v>134</v>
      </c>
      <c r="D39" s="7" t="s">
        <v>102</v>
      </c>
      <c r="E39" s="17">
        <v>-10393.469999999999</v>
      </c>
      <c r="F39" s="17">
        <v>3015.9999999999991</v>
      </c>
      <c r="G39" s="17">
        <v>-4980.9999999999991</v>
      </c>
      <c r="H39" s="17">
        <v>6021.9999999999991</v>
      </c>
      <c r="I39" s="17">
        <v>10</v>
      </c>
      <c r="J39" s="17">
        <v>3019.0000000000005</v>
      </c>
      <c r="K39" s="17">
        <v>-4960</v>
      </c>
      <c r="L39" s="17">
        <v>2015.9999999999991</v>
      </c>
      <c r="M39" s="17">
        <v>3019.0000000000005</v>
      </c>
      <c r="N39" s="17">
        <v>110</v>
      </c>
      <c r="O39" s="17">
        <v>-469</v>
      </c>
      <c r="P39" s="17">
        <v>537</v>
      </c>
      <c r="Q39" s="17">
        <f t="shared" si="2"/>
        <v>-3054.47</v>
      </c>
      <c r="R39" s="11">
        <v>-3054.47</v>
      </c>
      <c r="S39" s="12">
        <f t="shared" si="3"/>
        <v>0</v>
      </c>
      <c r="T39">
        <f>COUNTIF(_25B[Nazwa konta],C39)</f>
        <v>1</v>
      </c>
    </row>
    <row r="40" spans="1:20" x14ac:dyDescent="0.3">
      <c r="A40" s="7" t="s">
        <v>101</v>
      </c>
      <c r="B40" s="7">
        <v>19000000</v>
      </c>
      <c r="C40" s="7" t="s">
        <v>135</v>
      </c>
      <c r="D40" s="7" t="s">
        <v>102</v>
      </c>
      <c r="E40" s="17">
        <v>-5799.08</v>
      </c>
      <c r="F40" s="17">
        <v>2574.92</v>
      </c>
      <c r="G40" s="17">
        <v>-916.40999999999985</v>
      </c>
      <c r="H40" s="17">
        <v>-2583</v>
      </c>
      <c r="I40" s="17">
        <v>2932.7999999999997</v>
      </c>
      <c r="J40" s="17">
        <v>3000</v>
      </c>
      <c r="K40" s="17">
        <v>-3834.6699999999996</v>
      </c>
      <c r="L40" s="17">
        <v>815.11999999999944</v>
      </c>
      <c r="M40" s="17">
        <v>-3112.4500000000003</v>
      </c>
      <c r="N40" s="17">
        <v>6665.71</v>
      </c>
      <c r="O40" s="17">
        <v>-389.7800000000002</v>
      </c>
      <c r="P40" s="17">
        <v>-3477.44</v>
      </c>
      <c r="Q40" s="17">
        <f t="shared" si="2"/>
        <v>-4124.2800000000007</v>
      </c>
      <c r="R40" s="11">
        <v>-4124.2800000000007</v>
      </c>
      <c r="S40" s="12">
        <f t="shared" si="3"/>
        <v>0</v>
      </c>
      <c r="T40">
        <f>COUNTIF(_25B[Nazwa konta],C40)</f>
        <v>1</v>
      </c>
    </row>
    <row r="41" spans="1:20" x14ac:dyDescent="0.3">
      <c r="A41" s="7" t="s">
        <v>101</v>
      </c>
      <c r="B41" s="7">
        <v>19002000</v>
      </c>
      <c r="C41" s="7" t="s">
        <v>136</v>
      </c>
      <c r="D41" s="7" t="s">
        <v>102</v>
      </c>
      <c r="E41" s="17">
        <v>-5000</v>
      </c>
      <c r="F41" s="17">
        <v>-21476</v>
      </c>
      <c r="G41" s="17">
        <v>9187.68</v>
      </c>
      <c r="H41" s="17">
        <v>-6165.2200000000012</v>
      </c>
      <c r="I41" s="17">
        <v>-21527.5</v>
      </c>
      <c r="J41" s="17">
        <v>-532.72999999999593</v>
      </c>
      <c r="K41" s="17">
        <v>6828.2799999999988</v>
      </c>
      <c r="L41" s="17">
        <v>0</v>
      </c>
      <c r="M41" s="17">
        <v>-2261.4700000000012</v>
      </c>
      <c r="N41" s="17">
        <v>26046.239999999998</v>
      </c>
      <c r="O41" s="17">
        <v>6917.82</v>
      </c>
      <c r="P41" s="17">
        <v>7982.8999999904627</v>
      </c>
      <c r="Q41" s="17">
        <f t="shared" si="2"/>
        <v>-9.5387804321944714E-9</v>
      </c>
      <c r="R41" s="11">
        <v>-9.5387804321944714E-9</v>
      </c>
      <c r="S41" s="12">
        <f t="shared" si="3"/>
        <v>0</v>
      </c>
      <c r="T41">
        <f>COUNTIF(_25B[Nazwa konta],C41)</f>
        <v>1</v>
      </c>
    </row>
    <row r="42" spans="1:20" x14ac:dyDescent="0.3">
      <c r="A42" s="7" t="s">
        <v>101</v>
      </c>
      <c r="B42" s="7">
        <v>20000000</v>
      </c>
      <c r="C42" s="7" t="s">
        <v>137</v>
      </c>
      <c r="D42" s="7" t="s">
        <v>102</v>
      </c>
      <c r="E42" s="17">
        <v>50000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f t="shared" si="2"/>
        <v>50000</v>
      </c>
      <c r="R42" s="11">
        <v>50000</v>
      </c>
      <c r="S42" s="12">
        <f t="shared" si="3"/>
        <v>0</v>
      </c>
      <c r="T42">
        <f>COUNTIF(_25B[Nazwa konta],C42)</f>
        <v>1</v>
      </c>
    </row>
    <row r="43" spans="1:20" x14ac:dyDescent="0.3">
      <c r="A43" s="7" t="s">
        <v>101</v>
      </c>
      <c r="B43" s="7">
        <v>21000000</v>
      </c>
      <c r="C43" s="7" t="s">
        <v>138</v>
      </c>
      <c r="D43" s="7" t="s">
        <v>102</v>
      </c>
      <c r="E43" s="17">
        <v>1256953.78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635497.26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f t="shared" si="2"/>
        <v>1892451.04</v>
      </c>
      <c r="R43" s="11">
        <v>1892451.04</v>
      </c>
      <c r="S43" s="12">
        <f t="shared" si="3"/>
        <v>0</v>
      </c>
      <c r="T43">
        <f>COUNTIF(_25B[Nazwa konta],C43)</f>
        <v>1</v>
      </c>
    </row>
    <row r="44" spans="1:20" x14ac:dyDescent="0.3">
      <c r="A44" s="7" t="s">
        <v>101</v>
      </c>
      <c r="B44" s="7">
        <v>21500000</v>
      </c>
      <c r="C44" s="7" t="s">
        <v>139</v>
      </c>
      <c r="D44" s="7" t="s">
        <v>102</v>
      </c>
      <c r="E44" s="17">
        <v>650798.11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-635497.26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f t="shared" si="2"/>
        <v>15300.849999999977</v>
      </c>
      <c r="R44" s="11">
        <v>15300.849999999977</v>
      </c>
      <c r="S44" s="12">
        <f t="shared" si="3"/>
        <v>0</v>
      </c>
      <c r="T44">
        <f>COUNTIF(_25B[Nazwa konta],C44)</f>
        <v>1</v>
      </c>
    </row>
    <row r="45" spans="1:20" x14ac:dyDescent="0.3">
      <c r="A45" s="7" t="s">
        <v>101</v>
      </c>
      <c r="B45" s="7">
        <v>30500000</v>
      </c>
      <c r="C45" s="7" t="s">
        <v>140</v>
      </c>
      <c r="D45" s="7" t="s">
        <v>102</v>
      </c>
      <c r="E45" s="17">
        <v>431910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83398</v>
      </c>
      <c r="Q45" s="17">
        <f t="shared" si="2"/>
        <v>515308</v>
      </c>
      <c r="R45" s="11">
        <v>515308</v>
      </c>
      <c r="S45" s="12">
        <f t="shared" si="3"/>
        <v>0</v>
      </c>
      <c r="T45">
        <f>COUNTIF(_25B[Nazwa konta],C45)</f>
        <v>1</v>
      </c>
    </row>
    <row r="46" spans="1:20" x14ac:dyDescent="0.3">
      <c r="A46" s="7" t="s">
        <v>101</v>
      </c>
      <c r="B46" s="7">
        <v>33506033</v>
      </c>
      <c r="C46" s="7" t="s">
        <v>141</v>
      </c>
      <c r="D46" s="7" t="s">
        <v>102</v>
      </c>
      <c r="E46" s="17">
        <v>1731688</v>
      </c>
      <c r="F46" s="17">
        <v>0</v>
      </c>
      <c r="G46" s="17">
        <v>0</v>
      </c>
      <c r="H46" s="17">
        <v>0</v>
      </c>
      <c r="I46" s="17">
        <v>-1693374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1419719</v>
      </c>
      <c r="Q46" s="17">
        <f t="shared" si="2"/>
        <v>1458033</v>
      </c>
      <c r="R46" s="11">
        <v>1458033</v>
      </c>
      <c r="S46" s="12">
        <f t="shared" si="3"/>
        <v>0</v>
      </c>
      <c r="T46">
        <f>COUNTIF(_25B[Nazwa konta],C46)</f>
        <v>1</v>
      </c>
    </row>
    <row r="47" spans="1:20" x14ac:dyDescent="0.3">
      <c r="A47" s="7" t="s">
        <v>101</v>
      </c>
      <c r="B47" s="7">
        <v>33506050</v>
      </c>
      <c r="C47" s="7" t="s">
        <v>142</v>
      </c>
      <c r="D47" s="7" t="s">
        <v>102</v>
      </c>
      <c r="E47" s="17">
        <v>767709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-26873.41</v>
      </c>
      <c r="Q47" s="17">
        <f t="shared" si="2"/>
        <v>740835.59</v>
      </c>
      <c r="R47" s="11">
        <v>740835.59</v>
      </c>
      <c r="S47" s="12">
        <f t="shared" si="3"/>
        <v>0</v>
      </c>
      <c r="T47">
        <f>COUNTIF(_25B[Nazwa konta],C47)</f>
        <v>1</v>
      </c>
    </row>
    <row r="48" spans="1:20" x14ac:dyDescent="0.3">
      <c r="A48" s="7" t="s">
        <v>101</v>
      </c>
      <c r="B48" s="7">
        <v>33506000</v>
      </c>
      <c r="C48" s="7" t="s">
        <v>173</v>
      </c>
      <c r="D48" s="7" t="s">
        <v>102</v>
      </c>
      <c r="E48" s="17">
        <v>53</v>
      </c>
      <c r="F48" s="17">
        <v>3382.66</v>
      </c>
      <c r="G48" s="17">
        <v>106</v>
      </c>
      <c r="H48" s="17">
        <v>-682197.48</v>
      </c>
      <c r="I48" s="17">
        <v>682234.17999999993</v>
      </c>
      <c r="J48" s="17">
        <v>123.42000000000007</v>
      </c>
      <c r="K48" s="17">
        <v>-2706.67</v>
      </c>
      <c r="L48" s="17">
        <v>-754052.84</v>
      </c>
      <c r="M48" s="17">
        <v>748405.94</v>
      </c>
      <c r="N48" s="17">
        <v>4651.79</v>
      </c>
      <c r="O48" s="17">
        <v>-12.410000000183913</v>
      </c>
      <c r="P48" s="17">
        <v>12.409999999887077</v>
      </c>
      <c r="Q48" s="17">
        <f t="shared" si="2"/>
        <v>-3.3412561606382951E-10</v>
      </c>
      <c r="R48" s="11">
        <v>-3.3412561606382951E-10</v>
      </c>
      <c r="S48" s="12">
        <f t="shared" si="3"/>
        <v>0</v>
      </c>
      <c r="T48">
        <f>COUNTIF(_25B[Nazwa konta],C48)</f>
        <v>1</v>
      </c>
    </row>
    <row r="49" spans="1:20" x14ac:dyDescent="0.3">
      <c r="A49" s="7" t="s">
        <v>101</v>
      </c>
      <c r="B49" s="7">
        <v>34014000</v>
      </c>
      <c r="C49" s="7" t="s">
        <v>143</v>
      </c>
      <c r="D49" s="7" t="s">
        <v>102</v>
      </c>
      <c r="E49" s="17">
        <v>17750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9600</v>
      </c>
      <c r="Q49" s="17">
        <f t="shared" si="2"/>
        <v>27350</v>
      </c>
      <c r="R49" s="11">
        <v>27350</v>
      </c>
      <c r="S49" s="12">
        <f t="shared" si="3"/>
        <v>0</v>
      </c>
      <c r="T49">
        <f>COUNTIF(_25B[Nazwa konta],C49)</f>
        <v>1</v>
      </c>
    </row>
    <row r="50" spans="1:20" x14ac:dyDescent="0.3">
      <c r="A50" s="7" t="s">
        <v>101</v>
      </c>
      <c r="B50" s="7">
        <v>34500000</v>
      </c>
      <c r="C50" s="7" t="s">
        <v>144</v>
      </c>
      <c r="D50" s="7" t="s">
        <v>102</v>
      </c>
      <c r="E50" s="17">
        <v>58587.33</v>
      </c>
      <c r="F50" s="17">
        <v>-75500.95</v>
      </c>
      <c r="G50" s="17">
        <v>27423.46</v>
      </c>
      <c r="H50" s="17">
        <v>-47190.7</v>
      </c>
      <c r="I50" s="17">
        <v>276719.25</v>
      </c>
      <c r="J50" s="17">
        <v>-158920.88</v>
      </c>
      <c r="K50" s="17">
        <v>-60292.429999999993</v>
      </c>
      <c r="L50" s="17">
        <v>-33969.5</v>
      </c>
      <c r="M50" s="17">
        <v>29761.68</v>
      </c>
      <c r="N50" s="17">
        <v>-12177.21</v>
      </c>
      <c r="O50" s="17">
        <v>-24530.399999999958</v>
      </c>
      <c r="P50" s="17">
        <v>107090.49000000002</v>
      </c>
      <c r="Q50" s="17">
        <f t="shared" si="2"/>
        <v>87000.140000000072</v>
      </c>
      <c r="R50" s="11">
        <v>87000.140000000072</v>
      </c>
      <c r="S50" s="12">
        <f t="shared" si="3"/>
        <v>0</v>
      </c>
      <c r="T50">
        <f>COUNTIF(_25B[Nazwa konta],C50)</f>
        <v>1</v>
      </c>
    </row>
    <row r="51" spans="1:20" x14ac:dyDescent="0.3">
      <c r="A51" s="7" t="s">
        <v>101</v>
      </c>
      <c r="B51" s="7">
        <v>34504000</v>
      </c>
      <c r="C51" s="7" t="s">
        <v>177</v>
      </c>
      <c r="D51" s="7" t="s">
        <v>102</v>
      </c>
      <c r="E51" s="17">
        <v>38051.43</v>
      </c>
      <c r="F51" s="17">
        <v>-38051.43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56387.399999999994</v>
      </c>
      <c r="Q51" s="17">
        <f t="shared" si="2"/>
        <v>56387.399999999994</v>
      </c>
      <c r="R51" s="11">
        <v>56387.399999999994</v>
      </c>
      <c r="S51" s="12">
        <f t="shared" si="3"/>
        <v>0</v>
      </c>
      <c r="T51">
        <f>COUNTIF(_25B[Nazwa konta],C51)</f>
        <v>1</v>
      </c>
    </row>
    <row r="52" spans="1:20" x14ac:dyDescent="0.3">
      <c r="A52" s="7" t="s">
        <v>101</v>
      </c>
      <c r="B52" s="7">
        <v>34515000</v>
      </c>
      <c r="C52" s="7" t="s">
        <v>178</v>
      </c>
      <c r="D52" s="7" t="s">
        <v>102</v>
      </c>
      <c r="E52" s="17">
        <v>-93807.9</v>
      </c>
      <c r="F52" s="17">
        <v>93807.9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f t="shared" si="2"/>
        <v>0</v>
      </c>
      <c r="R52" s="11">
        <v>0</v>
      </c>
      <c r="S52" s="12">
        <f t="shared" si="3"/>
        <v>0</v>
      </c>
      <c r="T52">
        <f>COUNTIF(_25B[Nazwa konta],C52)</f>
        <v>1</v>
      </c>
    </row>
    <row r="53" spans="1:20" x14ac:dyDescent="0.3">
      <c r="A53" s="7" t="s">
        <v>101</v>
      </c>
      <c r="B53" s="7">
        <v>34550000</v>
      </c>
      <c r="C53" s="7" t="s">
        <v>145</v>
      </c>
      <c r="D53" s="7" t="s">
        <v>102</v>
      </c>
      <c r="E53" s="17">
        <v>0</v>
      </c>
      <c r="F53" s="17">
        <v>0</v>
      </c>
      <c r="G53" s="17">
        <v>107503.79</v>
      </c>
      <c r="H53" s="17">
        <v>1231452.96</v>
      </c>
      <c r="I53" s="17">
        <v>-1338956.75</v>
      </c>
      <c r="J53" s="17">
        <v>0</v>
      </c>
      <c r="K53" s="17">
        <v>23375.94</v>
      </c>
      <c r="L53" s="17">
        <v>-13421.14</v>
      </c>
      <c r="M53" s="17">
        <v>-9954.7999999999993</v>
      </c>
      <c r="N53" s="17">
        <v>66921.679999999993</v>
      </c>
      <c r="O53" s="17">
        <v>-64469.849999999933</v>
      </c>
      <c r="P53" s="17">
        <v>-2451.8299999999908</v>
      </c>
      <c r="Q53" s="17">
        <f t="shared" si="2"/>
        <v>6.9121597334742546E-11</v>
      </c>
      <c r="R53" s="11">
        <v>6.9121597334742546E-11</v>
      </c>
      <c r="S53" s="12">
        <f t="shared" si="3"/>
        <v>0</v>
      </c>
      <c r="T53">
        <f>COUNTIF(_25B[Nazwa konta],C53)</f>
        <v>1</v>
      </c>
    </row>
    <row r="54" spans="1:20" x14ac:dyDescent="0.3">
      <c r="A54" s="7" t="s">
        <v>101</v>
      </c>
      <c r="B54" s="7">
        <v>34550999</v>
      </c>
      <c r="C54" s="7" t="s">
        <v>146</v>
      </c>
      <c r="D54" s="7" t="s">
        <v>102</v>
      </c>
      <c r="E54" s="17">
        <v>29.08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-29.08</v>
      </c>
      <c r="Q54" s="17">
        <f t="shared" si="2"/>
        <v>0</v>
      </c>
      <c r="R54" s="11">
        <v>0</v>
      </c>
      <c r="S54" s="12">
        <f t="shared" si="3"/>
        <v>0</v>
      </c>
      <c r="T54">
        <f>COUNTIF(_25B[Nazwa konta],C54)</f>
        <v>1</v>
      </c>
    </row>
    <row r="55" spans="1:20" x14ac:dyDescent="0.3">
      <c r="A55" s="7" t="s">
        <v>101</v>
      </c>
      <c r="B55" s="7">
        <v>35002010</v>
      </c>
      <c r="C55" s="7" t="s">
        <v>148</v>
      </c>
      <c r="D55" s="7" t="s">
        <v>102</v>
      </c>
      <c r="E55" s="17">
        <v>1102.78</v>
      </c>
      <c r="F55" s="17">
        <v>256.48</v>
      </c>
      <c r="G55" s="17">
        <v>325.18000000000006</v>
      </c>
      <c r="H55" s="17">
        <v>512.96</v>
      </c>
      <c r="I55" s="17">
        <v>-93.180000000000291</v>
      </c>
      <c r="J55" s="17">
        <v>47461.02</v>
      </c>
      <c r="K55" s="17">
        <v>13678.480000000003</v>
      </c>
      <c r="L55" s="17">
        <v>822.97000000000116</v>
      </c>
      <c r="M55" s="17">
        <v>22266.729999999996</v>
      </c>
      <c r="N55" s="17">
        <v>258.27999999999884</v>
      </c>
      <c r="O55" s="17">
        <v>258.12</v>
      </c>
      <c r="P55" s="17">
        <v>272.02</v>
      </c>
      <c r="Q55" s="17">
        <f t="shared" si="2"/>
        <v>87121.84</v>
      </c>
      <c r="R55" s="11">
        <v>87121.84</v>
      </c>
      <c r="S55" s="12">
        <f t="shared" si="3"/>
        <v>0</v>
      </c>
      <c r="T55">
        <f>COUNTIF(_25B[Nazwa konta],C55)</f>
        <v>1</v>
      </c>
    </row>
    <row r="56" spans="1:20" x14ac:dyDescent="0.3">
      <c r="A56" s="7" t="s">
        <v>101</v>
      </c>
      <c r="B56" s="7">
        <v>35002100</v>
      </c>
      <c r="C56" s="7" t="s">
        <v>149</v>
      </c>
      <c r="D56" s="7" t="s">
        <v>102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65.2</v>
      </c>
      <c r="O56" s="17">
        <v>103.69</v>
      </c>
      <c r="P56" s="17">
        <v>68</v>
      </c>
      <c r="Q56" s="17">
        <f t="shared" si="2"/>
        <v>236.89</v>
      </c>
      <c r="R56" s="11">
        <v>236.89</v>
      </c>
      <c r="S56" s="12">
        <f t="shared" si="3"/>
        <v>0</v>
      </c>
      <c r="T56">
        <f>COUNTIF(_25B[Nazwa konta],C56)</f>
        <v>1</v>
      </c>
    </row>
    <row r="57" spans="1:20" x14ac:dyDescent="0.3">
      <c r="A57" s="7" t="s">
        <v>101</v>
      </c>
      <c r="B57" s="7">
        <v>35004001</v>
      </c>
      <c r="C57" s="7" t="s">
        <v>150</v>
      </c>
      <c r="D57" s="7" t="s">
        <v>102</v>
      </c>
      <c r="E57" s="17">
        <v>90737</v>
      </c>
      <c r="F57" s="17">
        <v>-1448</v>
      </c>
      <c r="G57" s="17">
        <v>1816</v>
      </c>
      <c r="H57" s="17">
        <v>-91105</v>
      </c>
      <c r="I57" s="17">
        <v>267860</v>
      </c>
      <c r="J57" s="17">
        <v>-131887</v>
      </c>
      <c r="K57" s="17">
        <v>-15065</v>
      </c>
      <c r="L57" s="17">
        <v>-120908</v>
      </c>
      <c r="M57" s="17">
        <v>115651</v>
      </c>
      <c r="N57" s="17">
        <v>-159</v>
      </c>
      <c r="O57" s="17">
        <v>13827</v>
      </c>
      <c r="P57" s="17">
        <v>-129319</v>
      </c>
      <c r="Q57" s="17">
        <f t="shared" si="2"/>
        <v>0</v>
      </c>
      <c r="R57" s="11">
        <v>0</v>
      </c>
      <c r="S57" s="12">
        <f t="shared" si="3"/>
        <v>0</v>
      </c>
      <c r="T57">
        <f>COUNTIF(_25B[Nazwa konta],C57)</f>
        <v>1</v>
      </c>
    </row>
    <row r="58" spans="1:20" x14ac:dyDescent="0.3">
      <c r="A58" s="7" t="s">
        <v>101</v>
      </c>
      <c r="B58" s="7">
        <v>35006000</v>
      </c>
      <c r="C58" s="7" t="s">
        <v>151</v>
      </c>
      <c r="D58" s="7" t="s">
        <v>102</v>
      </c>
      <c r="E58" s="17">
        <v>352824.99</v>
      </c>
      <c r="F58" s="17">
        <v>-1026.289999999979</v>
      </c>
      <c r="G58" s="17">
        <v>-7579.2000000000116</v>
      </c>
      <c r="H58" s="17">
        <v>-344219.5</v>
      </c>
      <c r="I58" s="17">
        <v>892880.01</v>
      </c>
      <c r="J58" s="17">
        <v>-491438.28</v>
      </c>
      <c r="K58" s="17">
        <v>-81610.909999999974</v>
      </c>
      <c r="L58" s="17">
        <v>-319830.82</v>
      </c>
      <c r="M58" s="17">
        <v>331739.46000000002</v>
      </c>
      <c r="N58" s="17">
        <v>-33984.48000000004</v>
      </c>
      <c r="O58" s="17">
        <v>-3757.6800000001376</v>
      </c>
      <c r="P58" s="17">
        <v>-293997.30000000045</v>
      </c>
      <c r="Q58" s="17">
        <f t="shared" si="2"/>
        <v>-5.8207660913467407E-10</v>
      </c>
      <c r="R58" s="11">
        <v>-5.8207660913467407E-10</v>
      </c>
      <c r="S58" s="12">
        <f t="shared" si="3"/>
        <v>0</v>
      </c>
      <c r="T58">
        <f>COUNTIF(_25B[Nazwa konta],C58)</f>
        <v>1</v>
      </c>
    </row>
    <row r="59" spans="1:20" x14ac:dyDescent="0.3">
      <c r="A59" s="7" t="s">
        <v>101</v>
      </c>
      <c r="B59" s="7">
        <v>36500010</v>
      </c>
      <c r="C59" s="7" t="s">
        <v>152</v>
      </c>
      <c r="D59" s="7" t="s">
        <v>102</v>
      </c>
      <c r="E59" s="17">
        <v>-122.99</v>
      </c>
      <c r="F59" s="17">
        <v>0</v>
      </c>
      <c r="G59" s="17">
        <v>-2.0000000000010232E-2</v>
      </c>
      <c r="H59" s="17">
        <v>0.15000000000000568</v>
      </c>
      <c r="I59" s="17">
        <v>0</v>
      </c>
      <c r="J59" s="17">
        <v>-7.9999999999998295E-2</v>
      </c>
      <c r="K59" s="17">
        <v>0.50999999999999091</v>
      </c>
      <c r="L59" s="17">
        <v>-1.9999999999996021E-2</v>
      </c>
      <c r="M59" s="17">
        <v>0</v>
      </c>
      <c r="N59" s="17">
        <v>1.230000000000004</v>
      </c>
      <c r="O59" s="17">
        <v>-2.9999999999998438E-2</v>
      </c>
      <c r="P59" s="17">
        <v>0.04</v>
      </c>
      <c r="Q59" s="17">
        <f t="shared" si="2"/>
        <v>-121.21</v>
      </c>
      <c r="R59" s="11">
        <v>-121.21</v>
      </c>
      <c r="S59" s="12">
        <f t="shared" si="3"/>
        <v>0</v>
      </c>
      <c r="T59">
        <f>COUNTIF(_25B[Nazwa konta],C59)</f>
        <v>1</v>
      </c>
    </row>
    <row r="60" spans="1:20" x14ac:dyDescent="0.3">
      <c r="A60" s="7" t="s">
        <v>101</v>
      </c>
      <c r="B60" s="7">
        <v>43516000</v>
      </c>
      <c r="C60" s="7" t="s">
        <v>185</v>
      </c>
      <c r="D60" s="7" t="s">
        <v>102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f t="shared" si="2"/>
        <v>0</v>
      </c>
      <c r="R60" s="11">
        <v>0</v>
      </c>
      <c r="S60" s="12">
        <f t="shared" si="3"/>
        <v>0</v>
      </c>
      <c r="T60">
        <f>COUNTIF(_25B[Nazwa konta],C60)</f>
        <v>0</v>
      </c>
    </row>
    <row r="61" spans="1:20" x14ac:dyDescent="0.3">
      <c r="A61" s="7" t="s">
        <v>6</v>
      </c>
      <c r="B61" s="7">
        <v>44000000</v>
      </c>
      <c r="C61" s="7" t="s">
        <v>9</v>
      </c>
      <c r="D61" s="7" t="s">
        <v>8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-112.36000000000001</v>
      </c>
      <c r="P61" s="17">
        <v>0</v>
      </c>
      <c r="Q61" s="17">
        <f t="shared" si="2"/>
        <v>-112.36000000000001</v>
      </c>
      <c r="R61" s="11">
        <v>-112.36000000000001</v>
      </c>
      <c r="S61" s="12">
        <f t="shared" si="3"/>
        <v>0</v>
      </c>
    </row>
    <row r="62" spans="1:20" x14ac:dyDescent="0.3">
      <c r="A62" s="7" t="s">
        <v>6</v>
      </c>
      <c r="B62" s="7">
        <v>44000005</v>
      </c>
      <c r="C62" s="7" t="s">
        <v>10</v>
      </c>
      <c r="D62" s="7" t="s">
        <v>8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-153.29</v>
      </c>
      <c r="P62" s="17">
        <v>0</v>
      </c>
      <c r="Q62" s="17">
        <f t="shared" si="2"/>
        <v>-153.29</v>
      </c>
      <c r="R62" s="11">
        <v>-153.29</v>
      </c>
      <c r="S62" s="12">
        <f t="shared" si="3"/>
        <v>0</v>
      </c>
    </row>
    <row r="63" spans="1:20" x14ac:dyDescent="0.3">
      <c r="A63" s="7" t="s">
        <v>101</v>
      </c>
      <c r="B63" s="7">
        <v>44002002</v>
      </c>
      <c r="C63" s="7" t="s">
        <v>186</v>
      </c>
      <c r="D63" s="7" t="s">
        <v>102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f t="shared" si="2"/>
        <v>0</v>
      </c>
      <c r="R63" s="11">
        <v>0</v>
      </c>
      <c r="S63" s="12">
        <f t="shared" si="3"/>
        <v>0</v>
      </c>
      <c r="T63">
        <f>COUNTIF(_25B[Nazwa konta],C63)</f>
        <v>0</v>
      </c>
    </row>
    <row r="64" spans="1:20" x14ac:dyDescent="0.3">
      <c r="A64" s="7" t="s">
        <v>6</v>
      </c>
      <c r="B64" s="7">
        <v>45510000</v>
      </c>
      <c r="C64" s="7" t="s">
        <v>7</v>
      </c>
      <c r="D64" s="7" t="s">
        <v>8</v>
      </c>
      <c r="E64" s="17">
        <v>1850899</v>
      </c>
      <c r="F64" s="17">
        <v>1937526</v>
      </c>
      <c r="G64" s="17">
        <v>1838554</v>
      </c>
      <c r="H64" s="17">
        <v>453584</v>
      </c>
      <c r="I64" s="17">
        <v>1520140</v>
      </c>
      <c r="J64" s="17">
        <v>1520140</v>
      </c>
      <c r="K64" s="17">
        <v>2331123</v>
      </c>
      <c r="L64" s="17">
        <v>1636000</v>
      </c>
      <c r="M64" s="17">
        <v>1636000</v>
      </c>
      <c r="N64" s="17">
        <v>1635000</v>
      </c>
      <c r="O64" s="17">
        <v>1635000</v>
      </c>
      <c r="P64" s="17">
        <v>3364855</v>
      </c>
      <c r="Q64" s="17">
        <f t="shared" si="2"/>
        <v>21358821</v>
      </c>
      <c r="R64" s="11">
        <v>21358821</v>
      </c>
      <c r="S64" s="12">
        <f t="shared" si="3"/>
        <v>0</v>
      </c>
    </row>
    <row r="65" spans="1:20" x14ac:dyDescent="0.3">
      <c r="A65" s="7" t="s">
        <v>101</v>
      </c>
      <c r="B65" s="7">
        <v>46012000</v>
      </c>
      <c r="C65" s="7" t="s">
        <v>153</v>
      </c>
      <c r="D65" s="7" t="s">
        <v>8</v>
      </c>
      <c r="E65" s="17">
        <v>0</v>
      </c>
      <c r="F65" s="17">
        <v>-4</v>
      </c>
      <c r="G65" s="17">
        <v>-0.49000000000000021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-10.34</v>
      </c>
      <c r="O65" s="17">
        <v>0</v>
      </c>
      <c r="P65" s="17">
        <v>-20.51</v>
      </c>
      <c r="Q65" s="17">
        <f t="shared" si="2"/>
        <v>-35.340000000000003</v>
      </c>
      <c r="R65" s="11">
        <v>-35.340000000000003</v>
      </c>
      <c r="S65" s="12">
        <f t="shared" si="3"/>
        <v>0</v>
      </c>
    </row>
    <row r="66" spans="1:20" x14ac:dyDescent="0.3">
      <c r="A66" s="7" t="s">
        <v>101</v>
      </c>
      <c r="B66" s="7">
        <v>46050000</v>
      </c>
      <c r="C66" s="7" t="s">
        <v>154</v>
      </c>
      <c r="D66" s="7" t="s">
        <v>8</v>
      </c>
      <c r="E66" s="17">
        <v>6616.25</v>
      </c>
      <c r="F66" s="17">
        <v>3474.0499999999993</v>
      </c>
      <c r="G66" s="17">
        <v>274</v>
      </c>
      <c r="H66" s="17">
        <v>6412.1000000000022</v>
      </c>
      <c r="I66" s="17">
        <v>1093</v>
      </c>
      <c r="J66" s="17">
        <v>207524.53</v>
      </c>
      <c r="K66" s="17">
        <v>364</v>
      </c>
      <c r="L66" s="17">
        <v>9190.5800000000163</v>
      </c>
      <c r="M66" s="17">
        <v>3890.9700000000012</v>
      </c>
      <c r="N66" s="17">
        <v>3517.9400000000023</v>
      </c>
      <c r="O66" s="17">
        <v>3606.16</v>
      </c>
      <c r="P66" s="17">
        <v>3656.6</v>
      </c>
      <c r="Q66" s="17">
        <f t="shared" si="2"/>
        <v>249620.18000000002</v>
      </c>
      <c r="R66" s="11">
        <v>249620.18000000002</v>
      </c>
      <c r="S66" s="12">
        <f t="shared" si="3"/>
        <v>0</v>
      </c>
    </row>
    <row r="67" spans="1:20" x14ac:dyDescent="0.3">
      <c r="A67" s="7" t="s">
        <v>28</v>
      </c>
      <c r="B67" s="7">
        <v>53080000</v>
      </c>
      <c r="C67" s="7" t="s">
        <v>29</v>
      </c>
      <c r="D67" s="7" t="s">
        <v>8</v>
      </c>
      <c r="E67" s="17">
        <v>0</v>
      </c>
      <c r="F67" s="17">
        <v>0</v>
      </c>
      <c r="G67" s="17">
        <v>0</v>
      </c>
      <c r="H67" s="17">
        <v>0</v>
      </c>
      <c r="I67" s="17">
        <v>-55401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f t="shared" si="2"/>
        <v>-55401</v>
      </c>
      <c r="R67" s="11">
        <v>-55401</v>
      </c>
      <c r="S67" s="12">
        <f t="shared" si="3"/>
        <v>0</v>
      </c>
    </row>
    <row r="68" spans="1:20" x14ac:dyDescent="0.3">
      <c r="A68" s="7" t="s">
        <v>101</v>
      </c>
      <c r="B68" s="7">
        <v>54580000</v>
      </c>
      <c r="C68" s="7" t="s">
        <v>187</v>
      </c>
      <c r="D68" s="7" t="s">
        <v>102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f t="shared" ref="Q68:Q131" si="4">SUM(E68:P68)</f>
        <v>0</v>
      </c>
      <c r="R68" s="11">
        <v>0</v>
      </c>
      <c r="S68" s="12">
        <f t="shared" ref="S68:S131" si="5">Q68-R68</f>
        <v>0</v>
      </c>
      <c r="T68">
        <f>COUNTIF(_25B[Nazwa konta],C68)</f>
        <v>0</v>
      </c>
    </row>
    <row r="69" spans="1:20" x14ac:dyDescent="0.3">
      <c r="A69" s="7" t="s">
        <v>101</v>
      </c>
      <c r="B69" s="7">
        <v>55000000</v>
      </c>
      <c r="C69" s="7" t="s">
        <v>188</v>
      </c>
      <c r="D69" s="7" t="s">
        <v>102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f t="shared" si="4"/>
        <v>0</v>
      </c>
      <c r="R69" s="11">
        <v>0</v>
      </c>
      <c r="S69" s="12">
        <f t="shared" si="5"/>
        <v>0</v>
      </c>
      <c r="T69">
        <f>COUNTIF(_25B[Nazwa konta],C69)</f>
        <v>0</v>
      </c>
    </row>
    <row r="70" spans="1:20" x14ac:dyDescent="0.3">
      <c r="A70" s="7" t="s">
        <v>101</v>
      </c>
      <c r="B70" s="7">
        <v>55002000</v>
      </c>
      <c r="C70" s="7" t="s">
        <v>189</v>
      </c>
      <c r="D70" s="7" t="s">
        <v>102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f t="shared" si="4"/>
        <v>0</v>
      </c>
      <c r="R70" s="11">
        <v>0</v>
      </c>
      <c r="S70" s="12">
        <f t="shared" si="5"/>
        <v>0</v>
      </c>
      <c r="T70">
        <f>COUNTIF(_25B[Nazwa konta],C70)</f>
        <v>0</v>
      </c>
    </row>
    <row r="71" spans="1:20" x14ac:dyDescent="0.3">
      <c r="A71" s="7" t="s">
        <v>101</v>
      </c>
      <c r="B71" s="7">
        <v>56022000</v>
      </c>
      <c r="C71" s="7" t="s">
        <v>190</v>
      </c>
      <c r="D71" s="7" t="s">
        <v>102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f t="shared" si="4"/>
        <v>0</v>
      </c>
      <c r="R71" s="11">
        <v>0</v>
      </c>
      <c r="S71" s="12">
        <f t="shared" si="5"/>
        <v>0</v>
      </c>
      <c r="T71">
        <f>COUNTIF(_25B[Nazwa konta],C71)</f>
        <v>0</v>
      </c>
    </row>
    <row r="72" spans="1:20" x14ac:dyDescent="0.3">
      <c r="A72" s="7" t="s">
        <v>28</v>
      </c>
      <c r="B72" s="7">
        <v>58500000</v>
      </c>
      <c r="C72" s="7" t="s">
        <v>30</v>
      </c>
      <c r="D72" s="7" t="s">
        <v>8</v>
      </c>
      <c r="E72" s="17">
        <v>-21406.78</v>
      </c>
      <c r="F72" s="17">
        <v>-5626.48</v>
      </c>
      <c r="G72" s="17">
        <v>-21751.66</v>
      </c>
      <c r="H72" s="17">
        <v>-21750.820000000007</v>
      </c>
      <c r="I72" s="17">
        <v>-3801.6899999999878</v>
      </c>
      <c r="J72" s="17">
        <v>-4420.1300000000047</v>
      </c>
      <c r="K72" s="17">
        <v>-28762.070000000007</v>
      </c>
      <c r="L72" s="17">
        <v>-7652.2599999999948</v>
      </c>
      <c r="M72" s="17">
        <v>-7683.6699999999983</v>
      </c>
      <c r="N72" s="17">
        <v>-7680.0299999999988</v>
      </c>
      <c r="O72" s="17">
        <v>-26297.01</v>
      </c>
      <c r="P72" s="17">
        <v>-26647.1</v>
      </c>
      <c r="Q72" s="17">
        <f t="shared" si="4"/>
        <v>-183479.7</v>
      </c>
      <c r="R72" s="11">
        <v>-183479.7</v>
      </c>
      <c r="S72" s="12">
        <f t="shared" si="5"/>
        <v>0</v>
      </c>
    </row>
    <row r="73" spans="1:20" x14ac:dyDescent="0.3">
      <c r="A73" s="7" t="s">
        <v>28</v>
      </c>
      <c r="B73" s="7">
        <v>58500010</v>
      </c>
      <c r="C73" s="7" t="s">
        <v>31</v>
      </c>
      <c r="D73" s="7" t="s">
        <v>8</v>
      </c>
      <c r="E73" s="17">
        <v>-8307.36</v>
      </c>
      <c r="F73" s="17">
        <v>-4965.2099999999991</v>
      </c>
      <c r="G73" s="17">
        <v>-8420.3499999999985</v>
      </c>
      <c r="H73" s="17">
        <v>-8757.84</v>
      </c>
      <c r="I73" s="17">
        <v>-3524.3900000000031</v>
      </c>
      <c r="J73" s="17">
        <v>-7557.760000000002</v>
      </c>
      <c r="K73" s="17">
        <v>-15464.409999999996</v>
      </c>
      <c r="L73" s="17">
        <v>-8034.57</v>
      </c>
      <c r="M73" s="17">
        <v>-8125.6800000000076</v>
      </c>
      <c r="N73" s="17">
        <v>-9291.9099999999889</v>
      </c>
      <c r="O73" s="17">
        <v>-8402.33</v>
      </c>
      <c r="P73" s="17">
        <v>-10303.66</v>
      </c>
      <c r="Q73" s="17">
        <f t="shared" si="4"/>
        <v>-101155.47</v>
      </c>
      <c r="R73" s="11">
        <v>-101155.47</v>
      </c>
      <c r="S73" s="12">
        <f t="shared" si="5"/>
        <v>0</v>
      </c>
    </row>
    <row r="74" spans="1:20" x14ac:dyDescent="0.3">
      <c r="A74" s="7" t="s">
        <v>19</v>
      </c>
      <c r="B74" s="7">
        <v>58502000</v>
      </c>
      <c r="C74" s="7" t="s">
        <v>20</v>
      </c>
      <c r="D74" s="7" t="s">
        <v>8</v>
      </c>
      <c r="E74" s="17">
        <v>-4208.2299999999996</v>
      </c>
      <c r="F74" s="17">
        <v>-4306.92</v>
      </c>
      <c r="G74" s="17">
        <v>-4073.16</v>
      </c>
      <c r="H74" s="17">
        <v>-2428.7200000000012</v>
      </c>
      <c r="I74" s="17">
        <v>-3835.33</v>
      </c>
      <c r="J74" s="17">
        <v>-3948.4300000000003</v>
      </c>
      <c r="K74" s="17">
        <v>-5932.8999999999978</v>
      </c>
      <c r="L74" s="17">
        <v>-4848.09</v>
      </c>
      <c r="M74" s="17">
        <v>-3860.7300000000032</v>
      </c>
      <c r="N74" s="17">
        <v>-5514.7099999999991</v>
      </c>
      <c r="O74" s="17">
        <v>-3978.47</v>
      </c>
      <c r="P74" s="17">
        <v>-4531.3899999999994</v>
      </c>
      <c r="Q74" s="17">
        <f t="shared" si="4"/>
        <v>-51467.08</v>
      </c>
      <c r="R74" s="11">
        <v>-51467.08</v>
      </c>
      <c r="S74" s="12">
        <f t="shared" si="5"/>
        <v>0</v>
      </c>
    </row>
    <row r="75" spans="1:20" x14ac:dyDescent="0.3">
      <c r="A75" s="7" t="s">
        <v>19</v>
      </c>
      <c r="B75" s="7">
        <v>58502001</v>
      </c>
      <c r="C75" s="7" t="s">
        <v>21</v>
      </c>
      <c r="D75" s="7" t="s">
        <v>8</v>
      </c>
      <c r="E75" s="17">
        <v>-1388.54</v>
      </c>
      <c r="F75" s="17">
        <v>-1792.0700000000002</v>
      </c>
      <c r="G75" s="17">
        <v>-915.63999999999987</v>
      </c>
      <c r="H75" s="17">
        <v>-1569.0299999999997</v>
      </c>
      <c r="I75" s="17">
        <v>-1028.1400000000003</v>
      </c>
      <c r="J75" s="17">
        <v>-1995.7399999999998</v>
      </c>
      <c r="K75" s="17">
        <v>-1561.3600000000006</v>
      </c>
      <c r="L75" s="17">
        <v>-695.43000000000029</v>
      </c>
      <c r="M75" s="17">
        <v>-1698.2199999999993</v>
      </c>
      <c r="N75" s="17">
        <v>-2170.34</v>
      </c>
      <c r="O75" s="17">
        <v>-1855.96</v>
      </c>
      <c r="P75" s="17">
        <v>-2455.9</v>
      </c>
      <c r="Q75" s="17">
        <f t="shared" si="4"/>
        <v>-19126.370000000003</v>
      </c>
      <c r="R75" s="11">
        <v>-19126.370000000003</v>
      </c>
      <c r="S75" s="12">
        <f t="shared" si="5"/>
        <v>0</v>
      </c>
    </row>
    <row r="76" spans="1:20" x14ac:dyDescent="0.3">
      <c r="A76" s="7" t="s">
        <v>19</v>
      </c>
      <c r="B76" s="7">
        <v>58502002</v>
      </c>
      <c r="C76" s="7" t="s">
        <v>22</v>
      </c>
      <c r="D76" s="7" t="s">
        <v>8</v>
      </c>
      <c r="E76" s="17">
        <v>-1390.06</v>
      </c>
      <c r="F76" s="17">
        <v>-7690.8100000000013</v>
      </c>
      <c r="G76" s="17">
        <v>-4594.5299999999988</v>
      </c>
      <c r="H76" s="17">
        <v>-3320.83</v>
      </c>
      <c r="I76" s="17">
        <v>-3873.3100000000013</v>
      </c>
      <c r="J76" s="17">
        <v>-3981.5400000000009</v>
      </c>
      <c r="K76" s="17">
        <v>-5362.4299999999967</v>
      </c>
      <c r="L76" s="17">
        <v>-1794.2100000000028</v>
      </c>
      <c r="M76" s="17">
        <v>-7569.7200000000012</v>
      </c>
      <c r="N76" s="17">
        <v>-5345.239999999998</v>
      </c>
      <c r="O76" s="17">
        <v>-4732.72</v>
      </c>
      <c r="P76" s="17">
        <v>-8656.65</v>
      </c>
      <c r="Q76" s="17">
        <f t="shared" si="4"/>
        <v>-58312.05</v>
      </c>
      <c r="R76" s="11">
        <v>-58312.05</v>
      </c>
      <c r="S76" s="12">
        <f t="shared" si="5"/>
        <v>0</v>
      </c>
    </row>
    <row r="77" spans="1:20" x14ac:dyDescent="0.3">
      <c r="A77" s="7" t="s">
        <v>28</v>
      </c>
      <c r="B77" s="7">
        <v>58502003</v>
      </c>
      <c r="C77" s="7" t="s">
        <v>32</v>
      </c>
      <c r="D77" s="7" t="s">
        <v>8</v>
      </c>
      <c r="E77" s="17">
        <v>-1794.99</v>
      </c>
      <c r="F77" s="17">
        <v>-1796.99</v>
      </c>
      <c r="G77" s="17">
        <v>-1796.9900000000002</v>
      </c>
      <c r="H77" s="17">
        <v>-2185.0299999999997</v>
      </c>
      <c r="I77" s="17">
        <v>-1876.6800000000003</v>
      </c>
      <c r="J77" s="17">
        <v>-1876.6800000000003</v>
      </c>
      <c r="K77" s="17">
        <v>-1876.6800000000003</v>
      </c>
      <c r="L77" s="17">
        <v>-1876.6799999999985</v>
      </c>
      <c r="M77" s="17">
        <v>-1876.6800000000021</v>
      </c>
      <c r="N77" s="17">
        <v>-1876.6800000000003</v>
      </c>
      <c r="O77" s="17">
        <v>-1876.68</v>
      </c>
      <c r="P77" s="17">
        <v>-1876.68</v>
      </c>
      <c r="Q77" s="17">
        <f t="shared" si="4"/>
        <v>-22587.440000000002</v>
      </c>
      <c r="R77" s="11">
        <v>-22587.440000000002</v>
      </c>
      <c r="S77" s="12">
        <f t="shared" si="5"/>
        <v>0</v>
      </c>
    </row>
    <row r="78" spans="1:20" x14ac:dyDescent="0.3">
      <c r="A78" s="7" t="s">
        <v>28</v>
      </c>
      <c r="B78" s="7">
        <v>58504000</v>
      </c>
      <c r="C78" s="7" t="s">
        <v>33</v>
      </c>
      <c r="D78" s="7" t="s">
        <v>8</v>
      </c>
      <c r="E78" s="17">
        <v>-10988.68</v>
      </c>
      <c r="F78" s="17">
        <v>2700.1499999999996</v>
      </c>
      <c r="G78" s="17">
        <v>-3337.6799999999985</v>
      </c>
      <c r="H78" s="17">
        <v>-970.61000000000058</v>
      </c>
      <c r="I78" s="17">
        <v>-2338.6800000000003</v>
      </c>
      <c r="J78" s="17">
        <v>-3038.6800000000003</v>
      </c>
      <c r="K78" s="17">
        <v>-1538.6800000000003</v>
      </c>
      <c r="L78" s="17">
        <v>-1438.6800000000003</v>
      </c>
      <c r="M78" s="17">
        <v>-2176.6800000000003</v>
      </c>
      <c r="N78" s="17">
        <v>-1805.6699999999983</v>
      </c>
      <c r="O78" s="17">
        <v>-1438.68</v>
      </c>
      <c r="P78" s="17">
        <v>-1438.68</v>
      </c>
      <c r="Q78" s="17">
        <f t="shared" si="4"/>
        <v>-27811.25</v>
      </c>
      <c r="R78" s="11">
        <v>-27811.25</v>
      </c>
      <c r="S78" s="12">
        <f t="shared" si="5"/>
        <v>0</v>
      </c>
    </row>
    <row r="79" spans="1:20" x14ac:dyDescent="0.3">
      <c r="A79" s="7" t="s">
        <v>28</v>
      </c>
      <c r="B79" s="7">
        <v>58504001</v>
      </c>
      <c r="C79" s="7" t="s">
        <v>34</v>
      </c>
      <c r="D79" s="7" t="s">
        <v>8</v>
      </c>
      <c r="E79" s="17">
        <v>-9718.15</v>
      </c>
      <c r="F79" s="17">
        <v>-2836.7900000000009</v>
      </c>
      <c r="G79" s="17">
        <v>-10549.92</v>
      </c>
      <c r="H79" s="17">
        <v>-4896.880000000001</v>
      </c>
      <c r="I79" s="17">
        <v>-19531.13</v>
      </c>
      <c r="J79" s="17">
        <v>-11441.339999999997</v>
      </c>
      <c r="K79" s="17">
        <v>-15716.079999999994</v>
      </c>
      <c r="L79" s="17">
        <v>-14136.840000000011</v>
      </c>
      <c r="M79" s="17">
        <v>-12752.580000000002</v>
      </c>
      <c r="N79" s="17">
        <v>-12285.229999999996</v>
      </c>
      <c r="O79" s="17">
        <v>-12625.46</v>
      </c>
      <c r="P79" s="17">
        <v>-11810.800000000001</v>
      </c>
      <c r="Q79" s="17">
        <f t="shared" si="4"/>
        <v>-138301.19999999998</v>
      </c>
      <c r="R79" s="11">
        <v>-138301.19999999998</v>
      </c>
      <c r="S79" s="12">
        <f t="shared" si="5"/>
        <v>0</v>
      </c>
    </row>
    <row r="80" spans="1:20" x14ac:dyDescent="0.3">
      <c r="A80" s="7" t="s">
        <v>28</v>
      </c>
      <c r="B80" s="7">
        <v>58504002</v>
      </c>
      <c r="C80" s="7" t="s">
        <v>35</v>
      </c>
      <c r="D80" s="7" t="s">
        <v>8</v>
      </c>
      <c r="E80" s="17">
        <v>-7733.75</v>
      </c>
      <c r="F80" s="17">
        <v>-4099.2700000000004</v>
      </c>
      <c r="G80" s="17">
        <v>-8007.380000000001</v>
      </c>
      <c r="H80" s="17">
        <v>-6845.0799999999981</v>
      </c>
      <c r="I80" s="17">
        <v>-12116.969999999998</v>
      </c>
      <c r="J80" s="17">
        <v>-8918.86</v>
      </c>
      <c r="K80" s="17">
        <v>-3068.8600000000006</v>
      </c>
      <c r="L80" s="17">
        <v>-8070.75</v>
      </c>
      <c r="M80" s="17">
        <v>-8608.86</v>
      </c>
      <c r="N80" s="17">
        <v>-8568.86</v>
      </c>
      <c r="O80" s="17">
        <v>-8368.86</v>
      </c>
      <c r="P80" s="17">
        <v>-15816.970000000001</v>
      </c>
      <c r="Q80" s="17">
        <f t="shared" si="4"/>
        <v>-100224.47</v>
      </c>
      <c r="R80" s="11">
        <v>-100224.47</v>
      </c>
      <c r="S80" s="12">
        <f t="shared" si="5"/>
        <v>0</v>
      </c>
    </row>
    <row r="81" spans="1:19" x14ac:dyDescent="0.3">
      <c r="A81" s="7" t="s">
        <v>28</v>
      </c>
      <c r="B81" s="7">
        <v>58506000</v>
      </c>
      <c r="C81" s="7" t="s">
        <v>36</v>
      </c>
      <c r="D81" s="7" t="s">
        <v>8</v>
      </c>
      <c r="E81" s="17">
        <v>-383.6</v>
      </c>
      <c r="F81" s="17">
        <v>38.600000000000023</v>
      </c>
      <c r="G81" s="17">
        <v>0</v>
      </c>
      <c r="H81" s="17">
        <v>0</v>
      </c>
      <c r="I81" s="17">
        <v>-43.199999999999989</v>
      </c>
      <c r="J81" s="17">
        <v>-18899.8</v>
      </c>
      <c r="K81" s="17">
        <v>-32.900000000001455</v>
      </c>
      <c r="L81" s="17">
        <v>0</v>
      </c>
      <c r="M81" s="17">
        <v>-9.8999999999978172</v>
      </c>
      <c r="N81" s="17">
        <v>-14.600000000002183</v>
      </c>
      <c r="O81" s="17">
        <v>-37.200000000000003</v>
      </c>
      <c r="P81" s="17">
        <v>-2407.6</v>
      </c>
      <c r="Q81" s="17">
        <f t="shared" si="4"/>
        <v>-21790.2</v>
      </c>
      <c r="R81" s="11">
        <v>-21790.2</v>
      </c>
      <c r="S81" s="12">
        <f t="shared" si="5"/>
        <v>0</v>
      </c>
    </row>
    <row r="82" spans="1:19" x14ac:dyDescent="0.3">
      <c r="A82" s="7" t="s">
        <v>28</v>
      </c>
      <c r="B82" s="7">
        <v>58506001</v>
      </c>
      <c r="C82" s="7" t="s">
        <v>37</v>
      </c>
      <c r="D82" s="7" t="s">
        <v>8</v>
      </c>
      <c r="E82" s="17">
        <v>-3500</v>
      </c>
      <c r="F82" s="17">
        <v>-3500</v>
      </c>
      <c r="G82" s="17">
        <v>-3500</v>
      </c>
      <c r="H82" s="17">
        <v>-9020</v>
      </c>
      <c r="I82" s="17">
        <v>-31350.550000000003</v>
      </c>
      <c r="J82" s="17">
        <v>-3500</v>
      </c>
      <c r="K82" s="17">
        <v>-7835</v>
      </c>
      <c r="L82" s="17">
        <v>-3500</v>
      </c>
      <c r="M82" s="17">
        <v>-3500</v>
      </c>
      <c r="N82" s="17">
        <v>-990</v>
      </c>
      <c r="O82" s="17">
        <v>-7120</v>
      </c>
      <c r="P82" s="17">
        <v>-3800</v>
      </c>
      <c r="Q82" s="17">
        <f t="shared" si="4"/>
        <v>-81115.55</v>
      </c>
      <c r="R82" s="11">
        <v>-81115.55</v>
      </c>
      <c r="S82" s="12">
        <f t="shared" si="5"/>
        <v>0</v>
      </c>
    </row>
    <row r="83" spans="1:19" x14ac:dyDescent="0.3">
      <c r="A83" s="7" t="s">
        <v>28</v>
      </c>
      <c r="B83" s="7">
        <v>58506003</v>
      </c>
      <c r="C83" s="7" t="s">
        <v>38</v>
      </c>
      <c r="D83" s="7" t="s">
        <v>8</v>
      </c>
      <c r="E83" s="17">
        <v>0</v>
      </c>
      <c r="F83" s="17">
        <v>-12130.07</v>
      </c>
      <c r="G83" s="17">
        <v>0</v>
      </c>
      <c r="H83" s="17">
        <v>0</v>
      </c>
      <c r="I83" s="17">
        <v>0</v>
      </c>
      <c r="J83" s="17">
        <v>0</v>
      </c>
      <c r="K83" s="17">
        <v>-7156.07</v>
      </c>
      <c r="L83" s="17">
        <v>0</v>
      </c>
      <c r="M83" s="17">
        <v>0</v>
      </c>
      <c r="N83" s="17">
        <v>0</v>
      </c>
      <c r="O83" s="17">
        <v>0</v>
      </c>
      <c r="P83" s="17">
        <v>-9600</v>
      </c>
      <c r="Q83" s="17">
        <f t="shared" si="4"/>
        <v>-28886.14</v>
      </c>
      <c r="R83" s="11">
        <v>-28886.14</v>
      </c>
      <c r="S83" s="12">
        <f t="shared" si="5"/>
        <v>0</v>
      </c>
    </row>
    <row r="84" spans="1:19" x14ac:dyDescent="0.3">
      <c r="A84" s="7" t="s">
        <v>28</v>
      </c>
      <c r="B84" s="7">
        <v>58506006</v>
      </c>
      <c r="C84" s="7" t="s">
        <v>40</v>
      </c>
      <c r="D84" s="7" t="s">
        <v>8</v>
      </c>
      <c r="E84" s="17">
        <v>0</v>
      </c>
      <c r="F84" s="17">
        <v>-499</v>
      </c>
      <c r="G84" s="17">
        <v>0</v>
      </c>
      <c r="H84" s="17">
        <v>-499</v>
      </c>
      <c r="I84" s="17">
        <v>0</v>
      </c>
      <c r="J84" s="17">
        <v>0</v>
      </c>
      <c r="K84" s="17">
        <v>-499</v>
      </c>
      <c r="L84" s="17">
        <v>0</v>
      </c>
      <c r="M84" s="17">
        <v>-699</v>
      </c>
      <c r="N84" s="17">
        <v>-1198</v>
      </c>
      <c r="O84" s="17">
        <v>-1950.21</v>
      </c>
      <c r="P84" s="17">
        <v>0</v>
      </c>
      <c r="Q84" s="17">
        <f t="shared" si="4"/>
        <v>-5344.21</v>
      </c>
      <c r="R84" s="11">
        <v>-5344.21</v>
      </c>
      <c r="S84" s="12">
        <f t="shared" si="5"/>
        <v>0</v>
      </c>
    </row>
    <row r="85" spans="1:19" x14ac:dyDescent="0.3">
      <c r="A85" s="7" t="s">
        <v>28</v>
      </c>
      <c r="B85" s="7">
        <v>58507000</v>
      </c>
      <c r="C85" s="7" t="s">
        <v>41</v>
      </c>
      <c r="D85" s="7" t="s">
        <v>8</v>
      </c>
      <c r="E85" s="17">
        <v>-2552.31</v>
      </c>
      <c r="F85" s="17">
        <v>-5925.0400000000009</v>
      </c>
      <c r="G85" s="17">
        <v>-3499.3899999999994</v>
      </c>
      <c r="H85" s="17">
        <v>-1247.2399999999998</v>
      </c>
      <c r="I85" s="17">
        <v>-6187.8300000000017</v>
      </c>
      <c r="J85" s="17">
        <v>-6269.8999999999978</v>
      </c>
      <c r="K85" s="17">
        <v>-1624.4000000000015</v>
      </c>
      <c r="L85" s="17">
        <v>-1695.1899999999987</v>
      </c>
      <c r="M85" s="17">
        <v>-4214.3999999999978</v>
      </c>
      <c r="N85" s="17">
        <v>-2981.9500000000044</v>
      </c>
      <c r="O85" s="17">
        <v>-4690.6499999999996</v>
      </c>
      <c r="P85" s="17">
        <v>-1144.42</v>
      </c>
      <c r="Q85" s="17">
        <f t="shared" si="4"/>
        <v>-42032.72</v>
      </c>
      <c r="R85" s="11">
        <v>-42032.72</v>
      </c>
      <c r="S85" s="12">
        <f t="shared" si="5"/>
        <v>0</v>
      </c>
    </row>
    <row r="86" spans="1:19" x14ac:dyDescent="0.3">
      <c r="A86" s="7" t="s">
        <v>28</v>
      </c>
      <c r="B86" s="7">
        <v>58507001</v>
      </c>
      <c r="C86" s="7" t="s">
        <v>42</v>
      </c>
      <c r="D86" s="7" t="s">
        <v>8</v>
      </c>
      <c r="E86" s="17">
        <v>-150</v>
      </c>
      <c r="F86" s="17">
        <v>0</v>
      </c>
      <c r="G86" s="17">
        <v>0</v>
      </c>
      <c r="H86" s="17">
        <v>0</v>
      </c>
      <c r="I86" s="17">
        <v>-416</v>
      </c>
      <c r="J86" s="17">
        <v>-150</v>
      </c>
      <c r="K86" s="17">
        <v>-873</v>
      </c>
      <c r="L86" s="17">
        <v>0</v>
      </c>
      <c r="M86" s="17">
        <v>-468</v>
      </c>
      <c r="N86" s="17">
        <v>-405</v>
      </c>
      <c r="O86" s="17">
        <v>0</v>
      </c>
      <c r="P86" s="17">
        <v>0</v>
      </c>
      <c r="Q86" s="17">
        <f t="shared" si="4"/>
        <v>-2462</v>
      </c>
      <c r="R86" s="11">
        <v>-2462</v>
      </c>
      <c r="S86" s="12">
        <f t="shared" si="5"/>
        <v>0</v>
      </c>
    </row>
    <row r="87" spans="1:19" x14ac:dyDescent="0.3">
      <c r="A87" s="7" t="s">
        <v>75</v>
      </c>
      <c r="B87" s="7">
        <v>58507002</v>
      </c>
      <c r="C87" s="7" t="s">
        <v>76</v>
      </c>
      <c r="D87" s="7" t="s">
        <v>8</v>
      </c>
      <c r="E87" s="17">
        <v>-1463.48</v>
      </c>
      <c r="F87" s="17">
        <v>-1648.1799999999998</v>
      </c>
      <c r="G87" s="17">
        <v>-3279.24</v>
      </c>
      <c r="H87" s="17">
        <v>-18774.160000000003</v>
      </c>
      <c r="I87" s="17">
        <v>-34062.759999999995</v>
      </c>
      <c r="J87" s="17">
        <v>-30369.560000000005</v>
      </c>
      <c r="K87" s="17">
        <v>-348.17999999999302</v>
      </c>
      <c r="L87" s="17">
        <v>-900</v>
      </c>
      <c r="M87" s="17">
        <v>-1890</v>
      </c>
      <c r="N87" s="17">
        <v>-32388.479999999996</v>
      </c>
      <c r="O87" s="17">
        <v>-19272.740000000002</v>
      </c>
      <c r="P87" s="17">
        <v>-12218.18</v>
      </c>
      <c r="Q87" s="17">
        <f t="shared" si="4"/>
        <v>-156614.96</v>
      </c>
      <c r="R87" s="11">
        <v>-156614.96</v>
      </c>
      <c r="S87" s="12">
        <f t="shared" si="5"/>
        <v>0</v>
      </c>
    </row>
    <row r="88" spans="1:19" x14ac:dyDescent="0.3">
      <c r="A88" s="7" t="s">
        <v>75</v>
      </c>
      <c r="B88" s="7">
        <v>58507006</v>
      </c>
      <c r="C88" s="7" t="s">
        <v>77</v>
      </c>
      <c r="D88" s="7" t="s">
        <v>8</v>
      </c>
      <c r="E88" s="17">
        <v>0</v>
      </c>
      <c r="F88" s="17">
        <v>-1525.93</v>
      </c>
      <c r="G88" s="17">
        <v>-2345.8199999999997</v>
      </c>
      <c r="H88" s="17">
        <v>-1416.13</v>
      </c>
      <c r="I88" s="17">
        <v>-1844.4399999999996</v>
      </c>
      <c r="J88" s="17">
        <v>-1600.92</v>
      </c>
      <c r="K88" s="17">
        <v>0</v>
      </c>
      <c r="L88" s="17">
        <v>0</v>
      </c>
      <c r="M88" s="17">
        <v>-1793.9600000000009</v>
      </c>
      <c r="N88" s="17">
        <v>-3026.59</v>
      </c>
      <c r="O88" s="17">
        <v>-2000</v>
      </c>
      <c r="P88" s="17">
        <v>-4415.29</v>
      </c>
      <c r="Q88" s="17">
        <f t="shared" si="4"/>
        <v>-19969.080000000002</v>
      </c>
      <c r="R88" s="11">
        <v>-19969.080000000002</v>
      </c>
      <c r="S88" s="12">
        <f t="shared" si="5"/>
        <v>0</v>
      </c>
    </row>
    <row r="89" spans="1:19" x14ac:dyDescent="0.3">
      <c r="A89" s="7" t="s">
        <v>19</v>
      </c>
      <c r="B89" s="7">
        <v>58508000</v>
      </c>
      <c r="C89" s="7" t="s">
        <v>23</v>
      </c>
      <c r="D89" s="7" t="s">
        <v>8</v>
      </c>
      <c r="E89" s="17">
        <v>-12615.83</v>
      </c>
      <c r="F89" s="17">
        <v>-10215.949999999999</v>
      </c>
      <c r="G89" s="17">
        <v>-7618.9200000000019</v>
      </c>
      <c r="H89" s="17">
        <v>-13377.2</v>
      </c>
      <c r="I89" s="17">
        <v>-6591.2999999999956</v>
      </c>
      <c r="J89" s="17">
        <v>-6656.0900000000038</v>
      </c>
      <c r="K89" s="17">
        <v>-35893.700000000004</v>
      </c>
      <c r="L89" s="17">
        <v>-4503.7999999999884</v>
      </c>
      <c r="M89" s="17">
        <v>-5080.5300000000134</v>
      </c>
      <c r="N89" s="17">
        <v>-10902.319999999992</v>
      </c>
      <c r="O89" s="17">
        <v>-7506.8999999999978</v>
      </c>
      <c r="P89" s="17">
        <v>-39400.360000000008</v>
      </c>
      <c r="Q89" s="17">
        <f t="shared" si="4"/>
        <v>-160362.9</v>
      </c>
      <c r="R89" s="11">
        <v>-160362.9</v>
      </c>
      <c r="S89" s="12">
        <f t="shared" si="5"/>
        <v>0</v>
      </c>
    </row>
    <row r="90" spans="1:19" x14ac:dyDescent="0.3">
      <c r="A90" s="7" t="s">
        <v>28</v>
      </c>
      <c r="B90" s="7">
        <v>58521000</v>
      </c>
      <c r="C90" s="7" t="s">
        <v>43</v>
      </c>
      <c r="D90" s="7" t="s">
        <v>8</v>
      </c>
      <c r="E90" s="17">
        <v>-2998.38</v>
      </c>
      <c r="F90" s="17">
        <v>-2492.2600000000002</v>
      </c>
      <c r="G90" s="17">
        <v>-2637.5</v>
      </c>
      <c r="H90" s="17">
        <v>-3288.05</v>
      </c>
      <c r="I90" s="17">
        <v>-2549.7199999999993</v>
      </c>
      <c r="J90" s="17">
        <v>-3498.4399999999987</v>
      </c>
      <c r="K90" s="17">
        <v>-3467.0699999999997</v>
      </c>
      <c r="L90" s="17">
        <v>-2767.7400000000016</v>
      </c>
      <c r="M90" s="17">
        <v>-6409.66</v>
      </c>
      <c r="N90" s="17">
        <v>-1778.3300000000017</v>
      </c>
      <c r="O90" s="17">
        <v>-2934.2200000000003</v>
      </c>
      <c r="P90" s="17">
        <v>-3047.5</v>
      </c>
      <c r="Q90" s="17">
        <f t="shared" si="4"/>
        <v>-37868.870000000003</v>
      </c>
      <c r="R90" s="11">
        <v>-37868.870000000003</v>
      </c>
      <c r="S90" s="12">
        <f t="shared" si="5"/>
        <v>0</v>
      </c>
    </row>
    <row r="91" spans="1:19" x14ac:dyDescent="0.3">
      <c r="A91" s="7" t="s">
        <v>28</v>
      </c>
      <c r="B91" s="7">
        <v>58522000</v>
      </c>
      <c r="C91" s="7" t="s">
        <v>44</v>
      </c>
      <c r="D91" s="7" t="s">
        <v>8</v>
      </c>
      <c r="E91" s="17">
        <v>-6518.59</v>
      </c>
      <c r="F91" s="17">
        <v>-4120.0599999999995</v>
      </c>
      <c r="G91" s="17">
        <v>-2967.4799999999996</v>
      </c>
      <c r="H91" s="17">
        <v>-7447.5599999999995</v>
      </c>
      <c r="I91" s="17">
        <v>-4682.5800000000017</v>
      </c>
      <c r="J91" s="17">
        <v>-2182.9599999999991</v>
      </c>
      <c r="K91" s="17">
        <v>-6127.9300000000039</v>
      </c>
      <c r="L91" s="17">
        <v>-4185.679999999993</v>
      </c>
      <c r="M91" s="17">
        <v>-3016.9900000000052</v>
      </c>
      <c r="N91" s="17">
        <v>-2869.2299999999959</v>
      </c>
      <c r="O91" s="17">
        <v>-2796.71</v>
      </c>
      <c r="P91" s="17">
        <v>-5446.9699999999993</v>
      </c>
      <c r="Q91" s="17">
        <f t="shared" si="4"/>
        <v>-52362.74</v>
      </c>
      <c r="R91" s="11">
        <v>-52362.74</v>
      </c>
      <c r="S91" s="12">
        <f t="shared" si="5"/>
        <v>0</v>
      </c>
    </row>
    <row r="92" spans="1:19" x14ac:dyDescent="0.3">
      <c r="A92" s="7" t="s">
        <v>28</v>
      </c>
      <c r="B92" s="7">
        <v>58525000</v>
      </c>
      <c r="C92" s="7" t="s">
        <v>45</v>
      </c>
      <c r="D92" s="7" t="s">
        <v>8</v>
      </c>
      <c r="E92" s="17">
        <v>-3900</v>
      </c>
      <c r="F92" s="17">
        <v>-480</v>
      </c>
      <c r="G92" s="17">
        <v>-2190</v>
      </c>
      <c r="H92" s="17">
        <v>-2190</v>
      </c>
      <c r="I92" s="17">
        <v>-2680</v>
      </c>
      <c r="J92" s="17">
        <v>-3040</v>
      </c>
      <c r="K92" s="17">
        <v>-2430</v>
      </c>
      <c r="L92" s="17">
        <v>-2190</v>
      </c>
      <c r="M92" s="17">
        <v>-2190</v>
      </c>
      <c r="N92" s="17">
        <v>-1228</v>
      </c>
      <c r="O92" s="17">
        <v>-5128</v>
      </c>
      <c r="P92" s="17">
        <v>-2430</v>
      </c>
      <c r="Q92" s="17">
        <f t="shared" si="4"/>
        <v>-30076</v>
      </c>
      <c r="R92" s="11">
        <v>-30076</v>
      </c>
      <c r="S92" s="12">
        <f t="shared" si="5"/>
        <v>0</v>
      </c>
    </row>
    <row r="93" spans="1:19" x14ac:dyDescent="0.3">
      <c r="A93" s="7" t="s">
        <v>28</v>
      </c>
      <c r="B93" s="7">
        <v>58527000</v>
      </c>
      <c r="C93" s="7" t="s">
        <v>46</v>
      </c>
      <c r="D93" s="7" t="s">
        <v>8</v>
      </c>
      <c r="E93" s="17">
        <v>-4271.3500000000004</v>
      </c>
      <c r="F93" s="17">
        <v>-3903.0499999999993</v>
      </c>
      <c r="G93" s="17">
        <v>-3989.380000000001</v>
      </c>
      <c r="H93" s="17">
        <v>-4747.8500000000004</v>
      </c>
      <c r="I93" s="17">
        <v>-1745.2599999999984</v>
      </c>
      <c r="J93" s="17">
        <v>-3972.3300000000017</v>
      </c>
      <c r="K93" s="17">
        <v>-5320.5999999999985</v>
      </c>
      <c r="L93" s="17">
        <v>-2568.2900000000009</v>
      </c>
      <c r="M93" s="17">
        <v>-2738.1399999999994</v>
      </c>
      <c r="N93" s="17">
        <v>-3492.3499999999985</v>
      </c>
      <c r="O93" s="17">
        <v>-3455.3500000000004</v>
      </c>
      <c r="P93" s="17">
        <v>-6447.61</v>
      </c>
      <c r="Q93" s="17">
        <f t="shared" si="4"/>
        <v>-46651.56</v>
      </c>
      <c r="R93" s="11">
        <v>-46651.56</v>
      </c>
      <c r="S93" s="12">
        <f t="shared" si="5"/>
        <v>0</v>
      </c>
    </row>
    <row r="94" spans="1:19" x14ac:dyDescent="0.3">
      <c r="A94" s="7" t="s">
        <v>28</v>
      </c>
      <c r="B94" s="7">
        <v>58530200</v>
      </c>
      <c r="C94" s="7" t="s">
        <v>47</v>
      </c>
      <c r="D94" s="7" t="s">
        <v>8</v>
      </c>
      <c r="E94" s="17">
        <v>-6323.42</v>
      </c>
      <c r="F94" s="17">
        <v>-6281.1</v>
      </c>
      <c r="G94" s="17">
        <v>-10272.32</v>
      </c>
      <c r="H94" s="17">
        <v>-13890.039999999997</v>
      </c>
      <c r="I94" s="17">
        <v>-6396.1000000000058</v>
      </c>
      <c r="J94" s="17">
        <v>-6971</v>
      </c>
      <c r="K94" s="17">
        <v>-7766.1899999999951</v>
      </c>
      <c r="L94" s="17">
        <v>-6281.0999999999985</v>
      </c>
      <c r="M94" s="17">
        <v>-10369.099999999999</v>
      </c>
      <c r="N94" s="17">
        <v>-6871.1000000000058</v>
      </c>
      <c r="O94" s="17">
        <v>-8728.08</v>
      </c>
      <c r="P94" s="17">
        <v>-6881.1</v>
      </c>
      <c r="Q94" s="17">
        <f t="shared" si="4"/>
        <v>-97030.650000000009</v>
      </c>
      <c r="R94" s="11">
        <v>-97030.650000000009</v>
      </c>
      <c r="S94" s="12">
        <f t="shared" si="5"/>
        <v>0</v>
      </c>
    </row>
    <row r="95" spans="1:19" x14ac:dyDescent="0.3">
      <c r="A95" s="7" t="s">
        <v>28</v>
      </c>
      <c r="B95" s="7">
        <v>58530500</v>
      </c>
      <c r="C95" s="7" t="s">
        <v>48</v>
      </c>
      <c r="D95" s="7" t="s">
        <v>8</v>
      </c>
      <c r="E95" s="17">
        <v>-3650</v>
      </c>
      <c r="F95" s="17">
        <v>-8967</v>
      </c>
      <c r="G95" s="17">
        <v>-7600</v>
      </c>
      <c r="H95" s="17">
        <v>-7150.5600000000013</v>
      </c>
      <c r="I95" s="17">
        <v>-6559.9999999999964</v>
      </c>
      <c r="J95" s="17">
        <v>-7890</v>
      </c>
      <c r="K95" s="17">
        <v>-6680</v>
      </c>
      <c r="L95" s="17">
        <v>-6070</v>
      </c>
      <c r="M95" s="17">
        <v>-7744.7400000000052</v>
      </c>
      <c r="N95" s="17">
        <v>-8460</v>
      </c>
      <c r="O95" s="17">
        <v>-5760</v>
      </c>
      <c r="P95" s="17">
        <v>-5400</v>
      </c>
      <c r="Q95" s="17">
        <f t="shared" si="4"/>
        <v>-81932.3</v>
      </c>
      <c r="R95" s="11">
        <v>-81932.3</v>
      </c>
      <c r="S95" s="12">
        <f t="shared" si="5"/>
        <v>0</v>
      </c>
    </row>
    <row r="96" spans="1:19" x14ac:dyDescent="0.3">
      <c r="A96" s="7" t="s">
        <v>28</v>
      </c>
      <c r="B96" s="7">
        <v>58530700</v>
      </c>
      <c r="C96" s="7" t="s">
        <v>49</v>
      </c>
      <c r="D96" s="7" t="s">
        <v>8</v>
      </c>
      <c r="E96" s="17">
        <v>-355.19</v>
      </c>
      <c r="F96" s="17">
        <v>-731.8599999999999</v>
      </c>
      <c r="G96" s="17">
        <v>0</v>
      </c>
      <c r="H96" s="17">
        <v>-2059.1000000000004</v>
      </c>
      <c r="I96" s="17">
        <v>0</v>
      </c>
      <c r="J96" s="17">
        <v>0</v>
      </c>
      <c r="K96" s="17">
        <v>0</v>
      </c>
      <c r="L96" s="17">
        <v>-112.44999999999982</v>
      </c>
      <c r="M96" s="17">
        <v>-712.01000000000022</v>
      </c>
      <c r="N96" s="17">
        <v>-1174.0300000000002</v>
      </c>
      <c r="O96" s="17">
        <v>-4492.6400000000003</v>
      </c>
      <c r="P96" s="17">
        <v>0</v>
      </c>
      <c r="Q96" s="17">
        <f t="shared" si="4"/>
        <v>-9637.2800000000025</v>
      </c>
      <c r="R96" s="11">
        <v>-9637.2800000000025</v>
      </c>
      <c r="S96" s="12">
        <f t="shared" si="5"/>
        <v>0</v>
      </c>
    </row>
    <row r="97" spans="1:19" x14ac:dyDescent="0.3">
      <c r="A97" s="7" t="s">
        <v>83</v>
      </c>
      <c r="B97" s="7">
        <v>58540000</v>
      </c>
      <c r="C97" s="7" t="s">
        <v>84</v>
      </c>
      <c r="D97" s="7" t="s">
        <v>8</v>
      </c>
      <c r="E97" s="17">
        <v>0</v>
      </c>
      <c r="F97" s="17">
        <v>-1344.89</v>
      </c>
      <c r="G97" s="17">
        <v>-138.88999999999987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-138.88999999999999</v>
      </c>
      <c r="Q97" s="17">
        <f t="shared" si="4"/>
        <v>-1622.67</v>
      </c>
      <c r="R97" s="11">
        <v>-1622.67</v>
      </c>
      <c r="S97" s="12">
        <f t="shared" si="5"/>
        <v>0</v>
      </c>
    </row>
    <row r="98" spans="1:19" x14ac:dyDescent="0.3">
      <c r="A98" s="7" t="s">
        <v>83</v>
      </c>
      <c r="B98" s="7">
        <v>58540100</v>
      </c>
      <c r="C98" s="7" t="s">
        <v>85</v>
      </c>
      <c r="D98" s="7" t="s">
        <v>8</v>
      </c>
      <c r="E98" s="17">
        <v>-4111.3999999999996</v>
      </c>
      <c r="F98" s="17">
        <v>-2670.2800000000007</v>
      </c>
      <c r="G98" s="17">
        <v>-22176.52</v>
      </c>
      <c r="H98" s="17">
        <v>-15682.98</v>
      </c>
      <c r="I98" s="17">
        <v>-13415.050000000003</v>
      </c>
      <c r="J98" s="17">
        <v>-8716.0299999999916</v>
      </c>
      <c r="K98" s="17">
        <v>-6790.0299999999988</v>
      </c>
      <c r="L98" s="17">
        <v>-25897.200000000012</v>
      </c>
      <c r="M98" s="17">
        <v>-6860.7299999999959</v>
      </c>
      <c r="N98" s="17">
        <v>-30789.489999999991</v>
      </c>
      <c r="O98" s="17">
        <v>-18617.479999999992</v>
      </c>
      <c r="P98" s="17">
        <v>-3976.5299999999993</v>
      </c>
      <c r="Q98" s="17">
        <f t="shared" si="4"/>
        <v>-159703.71999999997</v>
      </c>
      <c r="R98" s="11">
        <v>-159703.71999999997</v>
      </c>
      <c r="S98" s="12">
        <f t="shared" si="5"/>
        <v>0</v>
      </c>
    </row>
    <row r="99" spans="1:19" x14ac:dyDescent="0.3">
      <c r="A99" s="7" t="s">
        <v>83</v>
      </c>
      <c r="B99" s="7">
        <v>58540111</v>
      </c>
      <c r="C99" s="7" t="s">
        <v>86</v>
      </c>
      <c r="D99" s="7" t="s">
        <v>8</v>
      </c>
      <c r="E99" s="17">
        <v>-2967.08</v>
      </c>
      <c r="F99" s="17">
        <v>-30.130000000000109</v>
      </c>
      <c r="G99" s="17">
        <v>-5434.71</v>
      </c>
      <c r="H99" s="17">
        <v>-1261.2000000000007</v>
      </c>
      <c r="I99" s="17">
        <v>-947.42000000000007</v>
      </c>
      <c r="J99" s="17">
        <v>-2294.2199999999993</v>
      </c>
      <c r="K99" s="17">
        <v>-14880.85</v>
      </c>
      <c r="L99" s="17">
        <v>-6367.7900000000009</v>
      </c>
      <c r="M99" s="17">
        <v>-38.669999999998254</v>
      </c>
      <c r="N99" s="17">
        <v>-27393.620000000003</v>
      </c>
      <c r="O99" s="17">
        <v>-12478.199999999999</v>
      </c>
      <c r="P99" s="17">
        <v>-7189.82</v>
      </c>
      <c r="Q99" s="17">
        <f t="shared" si="4"/>
        <v>-81283.709999999992</v>
      </c>
      <c r="R99" s="11">
        <v>-81283.709999999992</v>
      </c>
      <c r="S99" s="12">
        <f t="shared" si="5"/>
        <v>0</v>
      </c>
    </row>
    <row r="100" spans="1:19" x14ac:dyDescent="0.3">
      <c r="A100" s="7" t="s">
        <v>83</v>
      </c>
      <c r="B100" s="7">
        <v>58540200</v>
      </c>
      <c r="C100" s="7" t="s">
        <v>87</v>
      </c>
      <c r="D100" s="7" t="s">
        <v>8</v>
      </c>
      <c r="E100" s="17">
        <v>-657.38</v>
      </c>
      <c r="F100" s="17">
        <v>-359.24</v>
      </c>
      <c r="G100" s="17">
        <v>234.37</v>
      </c>
      <c r="H100" s="17">
        <v>0</v>
      </c>
      <c r="I100" s="17">
        <v>-1543.62</v>
      </c>
      <c r="J100" s="17">
        <v>0</v>
      </c>
      <c r="K100" s="17">
        <v>-1176.3800000000001</v>
      </c>
      <c r="L100" s="17">
        <v>-787.38000000000011</v>
      </c>
      <c r="M100" s="17">
        <v>-1773.9700000000003</v>
      </c>
      <c r="N100" s="17">
        <v>-894.57999999999993</v>
      </c>
      <c r="O100" s="17">
        <v>0</v>
      </c>
      <c r="P100" s="17">
        <v>-688.58</v>
      </c>
      <c r="Q100" s="17">
        <f t="shared" si="4"/>
        <v>-7646.76</v>
      </c>
      <c r="R100" s="11">
        <v>-7646.76</v>
      </c>
      <c r="S100" s="12">
        <f t="shared" si="5"/>
        <v>0</v>
      </c>
    </row>
    <row r="101" spans="1:19" x14ac:dyDescent="0.3">
      <c r="A101" s="7" t="s">
        <v>83</v>
      </c>
      <c r="B101" s="7">
        <v>58540201</v>
      </c>
      <c r="C101" s="7" t="s">
        <v>88</v>
      </c>
      <c r="D101" s="7" t="s">
        <v>8</v>
      </c>
      <c r="E101" s="17">
        <v>0</v>
      </c>
      <c r="F101" s="17">
        <v>-1614.61</v>
      </c>
      <c r="G101" s="17">
        <v>-1671.6000000000001</v>
      </c>
      <c r="H101" s="17">
        <v>0</v>
      </c>
      <c r="I101" s="17">
        <v>-2811.3100000000004</v>
      </c>
      <c r="J101" s="17">
        <v>-1424.6399999999994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f t="shared" si="4"/>
        <v>-7522.16</v>
      </c>
      <c r="R101" s="11">
        <v>-7522.16</v>
      </c>
      <c r="S101" s="12">
        <f t="shared" si="5"/>
        <v>0</v>
      </c>
    </row>
    <row r="102" spans="1:19" x14ac:dyDescent="0.3">
      <c r="A102" s="7" t="s">
        <v>83</v>
      </c>
      <c r="B102" s="7">
        <v>58540211</v>
      </c>
      <c r="C102" s="7" t="s">
        <v>89</v>
      </c>
      <c r="D102" s="7" t="s">
        <v>8</v>
      </c>
      <c r="E102" s="17">
        <v>-2379.0700000000002</v>
      </c>
      <c r="F102" s="17">
        <v>-185.38999999999987</v>
      </c>
      <c r="G102" s="17">
        <v>-4230.45</v>
      </c>
      <c r="H102" s="17">
        <v>-2582.6499999999996</v>
      </c>
      <c r="I102" s="17">
        <v>-1689.33</v>
      </c>
      <c r="J102" s="17">
        <v>-2413.4400000000005</v>
      </c>
      <c r="K102" s="17">
        <v>-5392.0599999999995</v>
      </c>
      <c r="L102" s="17">
        <v>-3245.3100000000013</v>
      </c>
      <c r="M102" s="17">
        <v>-2515.84</v>
      </c>
      <c r="N102" s="17">
        <v>5796.7800000000025</v>
      </c>
      <c r="O102" s="17">
        <v>-671.67</v>
      </c>
      <c r="P102" s="17">
        <v>-906.94999999999993</v>
      </c>
      <c r="Q102" s="17">
        <f t="shared" si="4"/>
        <v>-20415.379999999997</v>
      </c>
      <c r="R102" s="11">
        <v>-20415.379999999997</v>
      </c>
      <c r="S102" s="12">
        <f t="shared" si="5"/>
        <v>0</v>
      </c>
    </row>
    <row r="103" spans="1:19" x14ac:dyDescent="0.3">
      <c r="A103" s="7" t="s">
        <v>83</v>
      </c>
      <c r="B103" s="7">
        <v>58540300</v>
      </c>
      <c r="C103" s="7" t="s">
        <v>90</v>
      </c>
      <c r="D103" s="7" t="s">
        <v>8</v>
      </c>
      <c r="E103" s="17">
        <v>-6217.56</v>
      </c>
      <c r="F103" s="17">
        <v>-2349.9999999999991</v>
      </c>
      <c r="G103" s="17">
        <v>-8383.67</v>
      </c>
      <c r="H103" s="17">
        <v>-9130.7099999999991</v>
      </c>
      <c r="I103" s="17">
        <v>-7135.4900000000016</v>
      </c>
      <c r="J103" s="17">
        <v>-14278.120000000003</v>
      </c>
      <c r="K103" s="17">
        <v>-10247.43</v>
      </c>
      <c r="L103" s="17">
        <v>-25212.959999999999</v>
      </c>
      <c r="M103" s="17">
        <v>-6966.25</v>
      </c>
      <c r="N103" s="17">
        <v>-31063.959999999992</v>
      </c>
      <c r="O103" s="17">
        <v>-12583.83</v>
      </c>
      <c r="P103" s="17">
        <v>-38214.44</v>
      </c>
      <c r="Q103" s="17">
        <f t="shared" si="4"/>
        <v>-171784.41999999998</v>
      </c>
      <c r="R103" s="11">
        <v>-171784.41999999998</v>
      </c>
      <c r="S103" s="12">
        <f t="shared" si="5"/>
        <v>0</v>
      </c>
    </row>
    <row r="104" spans="1:19" x14ac:dyDescent="0.3">
      <c r="A104" s="7" t="s">
        <v>83</v>
      </c>
      <c r="B104" s="7">
        <v>58540800</v>
      </c>
      <c r="C104" s="7" t="s">
        <v>91</v>
      </c>
      <c r="D104" s="7" t="s">
        <v>8</v>
      </c>
      <c r="E104" s="17">
        <v>0</v>
      </c>
      <c r="F104" s="17">
        <v>-40.75</v>
      </c>
      <c r="G104" s="17">
        <v>-30.900000000000006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f t="shared" si="4"/>
        <v>-71.650000000000006</v>
      </c>
      <c r="R104" s="11">
        <v>-71.650000000000006</v>
      </c>
      <c r="S104" s="12">
        <f t="shared" si="5"/>
        <v>0</v>
      </c>
    </row>
    <row r="105" spans="1:19" x14ac:dyDescent="0.3">
      <c r="A105" s="7" t="s">
        <v>28</v>
      </c>
      <c r="B105" s="7">
        <v>58550000</v>
      </c>
      <c r="C105" s="7" t="s">
        <v>50</v>
      </c>
      <c r="D105" s="7" t="s">
        <v>8</v>
      </c>
      <c r="E105" s="17">
        <v>-1407.14</v>
      </c>
      <c r="F105" s="17">
        <v>-1307.1400000000001</v>
      </c>
      <c r="G105" s="17">
        <v>-1407.1399999999999</v>
      </c>
      <c r="H105" s="17">
        <v>-211.77999999999975</v>
      </c>
      <c r="I105" s="17">
        <v>-1397.5700000000006</v>
      </c>
      <c r="J105" s="17">
        <v>-1597.5699999999997</v>
      </c>
      <c r="K105" s="17">
        <v>-1597.5699999999997</v>
      </c>
      <c r="L105" s="17">
        <v>-1397.5699999999997</v>
      </c>
      <c r="M105" s="17">
        <v>-1497.5699999999997</v>
      </c>
      <c r="N105" s="17">
        <v>-1497.5700000000015</v>
      </c>
      <c r="O105" s="17">
        <v>-1587.57</v>
      </c>
      <c r="P105" s="17">
        <v>-1597.57</v>
      </c>
      <c r="Q105" s="17">
        <f t="shared" si="4"/>
        <v>-16503.760000000002</v>
      </c>
      <c r="R105" s="11">
        <v>-16503.760000000002</v>
      </c>
      <c r="S105" s="12">
        <f t="shared" si="5"/>
        <v>0</v>
      </c>
    </row>
    <row r="106" spans="1:19" x14ac:dyDescent="0.3">
      <c r="A106" s="7" t="s">
        <v>28</v>
      </c>
      <c r="B106" s="7">
        <v>58552001</v>
      </c>
      <c r="C106" s="7" t="s">
        <v>51</v>
      </c>
      <c r="D106" s="7" t="s">
        <v>8</v>
      </c>
      <c r="E106" s="17">
        <v>-20732.66</v>
      </c>
      <c r="F106" s="17">
        <v>-11131.310000000001</v>
      </c>
      <c r="G106" s="17">
        <v>-9171.7999999999956</v>
      </c>
      <c r="H106" s="17">
        <v>-25281.090000000004</v>
      </c>
      <c r="I106" s="17">
        <v>-11193.89</v>
      </c>
      <c r="J106" s="17">
        <v>-13114.080000000002</v>
      </c>
      <c r="K106" s="17">
        <v>-31696.839999999997</v>
      </c>
      <c r="L106" s="17">
        <v>-27218.569999999992</v>
      </c>
      <c r="M106" s="17">
        <v>16176.589999999997</v>
      </c>
      <c r="N106" s="17">
        <v>-8522.4599999999919</v>
      </c>
      <c r="O106" s="17">
        <v>-18877.61</v>
      </c>
      <c r="P106" s="17">
        <v>-18877.730000000003</v>
      </c>
      <c r="Q106" s="17">
        <f t="shared" si="4"/>
        <v>-179641.44999999998</v>
      </c>
      <c r="R106" s="11">
        <v>-179641.44999999998</v>
      </c>
      <c r="S106" s="12">
        <f t="shared" si="5"/>
        <v>0</v>
      </c>
    </row>
    <row r="107" spans="1:19" x14ac:dyDescent="0.3">
      <c r="A107" s="7" t="s">
        <v>19</v>
      </c>
      <c r="B107" s="7">
        <v>58552002</v>
      </c>
      <c r="C107" s="7" t="s">
        <v>24</v>
      </c>
      <c r="D107" s="7" t="s">
        <v>8</v>
      </c>
      <c r="E107" s="17">
        <v>-15868.92</v>
      </c>
      <c r="F107" s="17">
        <v>1291.6399999999994</v>
      </c>
      <c r="G107" s="17">
        <v>-15951.24</v>
      </c>
      <c r="H107" s="17">
        <v>-14664.52</v>
      </c>
      <c r="I107" s="17">
        <v>-15738.599999999999</v>
      </c>
      <c r="J107" s="17">
        <v>-19757.259999999995</v>
      </c>
      <c r="K107" s="17">
        <v>-4967.1200000000099</v>
      </c>
      <c r="L107" s="17">
        <v>-32731.839999999997</v>
      </c>
      <c r="M107" s="17">
        <v>32507.47</v>
      </c>
      <c r="N107" s="17">
        <v>-24379.910000000003</v>
      </c>
      <c r="O107" s="17">
        <v>-11202.79</v>
      </c>
      <c r="P107" s="17">
        <v>-25899.03</v>
      </c>
      <c r="Q107" s="17">
        <f t="shared" si="4"/>
        <v>-147362.12</v>
      </c>
      <c r="R107" s="11">
        <v>-147362.12</v>
      </c>
      <c r="S107" s="12">
        <f t="shared" si="5"/>
        <v>0</v>
      </c>
    </row>
    <row r="108" spans="1:19" x14ac:dyDescent="0.3">
      <c r="A108" s="7" t="s">
        <v>19</v>
      </c>
      <c r="B108" s="7">
        <v>58552003</v>
      </c>
      <c r="C108" s="7" t="s">
        <v>25</v>
      </c>
      <c r="D108" s="7" t="s">
        <v>8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-34164.49</v>
      </c>
      <c r="N108" s="17">
        <v>-8126.6300000000047</v>
      </c>
      <c r="O108" s="17">
        <v>-3734.27</v>
      </c>
      <c r="P108" s="17">
        <v>-8633</v>
      </c>
      <c r="Q108" s="17">
        <f t="shared" si="4"/>
        <v>-54658.39</v>
      </c>
      <c r="R108" s="11">
        <v>-54658.39</v>
      </c>
      <c r="S108" s="12">
        <f t="shared" si="5"/>
        <v>0</v>
      </c>
    </row>
    <row r="109" spans="1:19" x14ac:dyDescent="0.3">
      <c r="A109" s="7" t="s">
        <v>28</v>
      </c>
      <c r="B109" s="7">
        <v>58552004</v>
      </c>
      <c r="C109" s="7" t="s">
        <v>52</v>
      </c>
      <c r="D109" s="7" t="s">
        <v>8</v>
      </c>
      <c r="E109" s="17">
        <v>-4183.4799999999996</v>
      </c>
      <c r="F109" s="17">
        <v>-4156.9799999999996</v>
      </c>
      <c r="G109" s="17">
        <v>-4200.6400000000012</v>
      </c>
      <c r="H109" s="17">
        <v>-4804.3099999999995</v>
      </c>
      <c r="I109" s="17">
        <v>-9514.8300000000017</v>
      </c>
      <c r="J109" s="17">
        <v>-769.69999999999709</v>
      </c>
      <c r="K109" s="17">
        <v>-9819.6100000000042</v>
      </c>
      <c r="L109" s="17">
        <v>-10297.009999999995</v>
      </c>
      <c r="M109" s="17">
        <v>-10829.270000000004</v>
      </c>
      <c r="N109" s="17">
        <v>-9784.179999999993</v>
      </c>
      <c r="O109" s="17">
        <v>-9351.0500000000011</v>
      </c>
      <c r="P109" s="17">
        <v>-9351.0600000000013</v>
      </c>
      <c r="Q109" s="17">
        <f t="shared" si="4"/>
        <v>-87062.12</v>
      </c>
      <c r="R109" s="11">
        <v>-87062.12</v>
      </c>
      <c r="S109" s="12">
        <f t="shared" si="5"/>
        <v>0</v>
      </c>
    </row>
    <row r="110" spans="1:19" x14ac:dyDescent="0.3">
      <c r="A110" s="7" t="s">
        <v>19</v>
      </c>
      <c r="B110" s="7">
        <v>58552005</v>
      </c>
      <c r="C110" s="7" t="s">
        <v>26</v>
      </c>
      <c r="D110" s="7" t="s">
        <v>8</v>
      </c>
      <c r="E110" s="17">
        <v>0</v>
      </c>
      <c r="F110" s="17">
        <v>0</v>
      </c>
      <c r="G110" s="17">
        <v>0</v>
      </c>
      <c r="H110" s="17">
        <v>0</v>
      </c>
      <c r="I110" s="17">
        <v>-2700</v>
      </c>
      <c r="J110" s="17">
        <v>0</v>
      </c>
      <c r="K110" s="17">
        <v>-1392.06</v>
      </c>
      <c r="L110" s="17">
        <v>-1219.52</v>
      </c>
      <c r="M110" s="17">
        <v>-35567.189999999995</v>
      </c>
      <c r="N110" s="17">
        <v>-25014.090000000004</v>
      </c>
      <c r="O110" s="17">
        <v>-10070.940000000002</v>
      </c>
      <c r="P110" s="17">
        <v>-8941.32</v>
      </c>
      <c r="Q110" s="17">
        <f t="shared" si="4"/>
        <v>-84905.12</v>
      </c>
      <c r="R110" s="11">
        <v>-84905.12</v>
      </c>
      <c r="S110" s="12">
        <f t="shared" si="5"/>
        <v>0</v>
      </c>
    </row>
    <row r="111" spans="1:19" x14ac:dyDescent="0.3">
      <c r="A111" s="7" t="s">
        <v>19</v>
      </c>
      <c r="B111" s="7">
        <v>58552025</v>
      </c>
      <c r="C111" s="7" t="s">
        <v>27</v>
      </c>
      <c r="D111" s="7" t="s">
        <v>8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-13068.35</v>
      </c>
      <c r="N111" s="17">
        <v>-10231.429999999998</v>
      </c>
      <c r="O111" s="17">
        <v>-3323.1000000000004</v>
      </c>
      <c r="P111" s="17">
        <v>-2800.7700000000009</v>
      </c>
      <c r="Q111" s="17">
        <f t="shared" si="4"/>
        <v>-29423.649999999998</v>
      </c>
      <c r="R111" s="11">
        <v>-29423.649999999998</v>
      </c>
      <c r="S111" s="12">
        <f t="shared" si="5"/>
        <v>0</v>
      </c>
    </row>
    <row r="112" spans="1:19" x14ac:dyDescent="0.3">
      <c r="A112" s="7" t="s">
        <v>28</v>
      </c>
      <c r="B112" s="7">
        <v>58552026</v>
      </c>
      <c r="C112" s="7" t="s">
        <v>53</v>
      </c>
      <c r="D112" s="7" t="s">
        <v>8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-4707.25</v>
      </c>
      <c r="N112" s="17">
        <v>-2493.34</v>
      </c>
      <c r="O112" s="17">
        <v>-2454.41</v>
      </c>
      <c r="P112" s="17">
        <v>-2454.41</v>
      </c>
      <c r="Q112" s="17">
        <f t="shared" si="4"/>
        <v>-12109.41</v>
      </c>
      <c r="R112" s="11">
        <v>-12109.41</v>
      </c>
      <c r="S112" s="12">
        <f t="shared" si="5"/>
        <v>0</v>
      </c>
    </row>
    <row r="113" spans="1:19" x14ac:dyDescent="0.3">
      <c r="A113" s="7" t="s">
        <v>28</v>
      </c>
      <c r="B113" s="7">
        <v>58552027</v>
      </c>
      <c r="C113" s="7" t="s">
        <v>54</v>
      </c>
      <c r="D113" s="7" t="s">
        <v>8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-15.18</v>
      </c>
      <c r="N113" s="17">
        <v>-45.54</v>
      </c>
      <c r="O113" s="17">
        <v>-15.18</v>
      </c>
      <c r="P113" s="17">
        <v>-15.18</v>
      </c>
      <c r="Q113" s="17">
        <f t="shared" si="4"/>
        <v>-91.080000000000013</v>
      </c>
      <c r="R113" s="11">
        <v>-91.080000000000013</v>
      </c>
      <c r="S113" s="12">
        <f t="shared" si="5"/>
        <v>0</v>
      </c>
    </row>
    <row r="114" spans="1:19" x14ac:dyDescent="0.3">
      <c r="A114" s="7" t="s">
        <v>28</v>
      </c>
      <c r="B114" s="7">
        <v>58554000</v>
      </c>
      <c r="C114" s="7" t="s">
        <v>55</v>
      </c>
      <c r="D114" s="7" t="s">
        <v>8</v>
      </c>
      <c r="E114" s="17">
        <v>-398.08</v>
      </c>
      <c r="F114" s="17">
        <v>-228.00000000000006</v>
      </c>
      <c r="G114" s="17">
        <v>-2931.05</v>
      </c>
      <c r="H114" s="17">
        <v>-246.06999999999971</v>
      </c>
      <c r="I114" s="17">
        <v>-1352.54</v>
      </c>
      <c r="J114" s="17">
        <v>-2126.08</v>
      </c>
      <c r="K114" s="17">
        <v>-1196.9899999999998</v>
      </c>
      <c r="L114" s="17">
        <v>-385.27000000000044</v>
      </c>
      <c r="M114" s="17">
        <v>-1900.75</v>
      </c>
      <c r="N114" s="17">
        <v>-819.79000000000087</v>
      </c>
      <c r="O114" s="17">
        <v>-1630.63</v>
      </c>
      <c r="P114" s="17">
        <v>-5686.68</v>
      </c>
      <c r="Q114" s="17">
        <f t="shared" si="4"/>
        <v>-18901.93</v>
      </c>
      <c r="R114" s="11">
        <v>-18901.93</v>
      </c>
      <c r="S114" s="12">
        <f t="shared" si="5"/>
        <v>0</v>
      </c>
    </row>
    <row r="115" spans="1:19" x14ac:dyDescent="0.3">
      <c r="A115" s="7" t="s">
        <v>101</v>
      </c>
      <c r="B115" s="7">
        <v>58556000</v>
      </c>
      <c r="C115" s="7" t="s">
        <v>155</v>
      </c>
      <c r="D115" s="7" t="s">
        <v>8</v>
      </c>
      <c r="E115" s="17">
        <v>-3000</v>
      </c>
      <c r="F115" s="17">
        <v>0</v>
      </c>
      <c r="G115" s="17">
        <v>0</v>
      </c>
      <c r="H115" s="17">
        <v>0</v>
      </c>
      <c r="I115" s="17">
        <v>-5000</v>
      </c>
      <c r="J115" s="17">
        <v>0</v>
      </c>
      <c r="K115" s="17">
        <v>-5535</v>
      </c>
      <c r="L115" s="17">
        <v>0</v>
      </c>
      <c r="M115" s="17">
        <v>0</v>
      </c>
      <c r="N115" s="17">
        <v>0</v>
      </c>
      <c r="O115" s="17">
        <v>-3000</v>
      </c>
      <c r="P115" s="17">
        <v>-2759.28</v>
      </c>
      <c r="Q115" s="17">
        <f t="shared" si="4"/>
        <v>-19294.28</v>
      </c>
      <c r="R115" s="11">
        <v>-19294.28</v>
      </c>
      <c r="S115" s="12">
        <f t="shared" si="5"/>
        <v>0</v>
      </c>
    </row>
    <row r="116" spans="1:19" x14ac:dyDescent="0.3">
      <c r="A116" s="7" t="s">
        <v>83</v>
      </c>
      <c r="B116" s="7">
        <v>58564000</v>
      </c>
      <c r="C116" s="7" t="s">
        <v>94</v>
      </c>
      <c r="D116" s="7" t="s">
        <v>8</v>
      </c>
      <c r="E116" s="17">
        <v>0</v>
      </c>
      <c r="F116" s="17">
        <v>0</v>
      </c>
      <c r="G116" s="17">
        <v>0</v>
      </c>
      <c r="H116" s="17">
        <v>0</v>
      </c>
      <c r="I116" s="17">
        <v>-971.7</v>
      </c>
      <c r="J116" s="17">
        <v>0</v>
      </c>
      <c r="K116" s="17">
        <v>0</v>
      </c>
      <c r="L116" s="17">
        <v>0</v>
      </c>
      <c r="M116" s="17">
        <v>0</v>
      </c>
      <c r="N116" s="17">
        <v>-25783.3</v>
      </c>
      <c r="O116" s="17">
        <v>0</v>
      </c>
      <c r="P116" s="17">
        <v>-1067.9000000000001</v>
      </c>
      <c r="Q116" s="17">
        <f t="shared" si="4"/>
        <v>-27822.9</v>
      </c>
      <c r="R116" s="11">
        <v>-27822.9</v>
      </c>
      <c r="S116" s="12">
        <f t="shared" si="5"/>
        <v>0</v>
      </c>
    </row>
    <row r="117" spans="1:19" x14ac:dyDescent="0.3">
      <c r="A117" s="7" t="s">
        <v>83</v>
      </c>
      <c r="B117" s="7">
        <v>58564010</v>
      </c>
      <c r="C117" s="7" t="s">
        <v>95</v>
      </c>
      <c r="D117" s="7" t="s">
        <v>8</v>
      </c>
      <c r="E117" s="17">
        <v>-8701.4500000000007</v>
      </c>
      <c r="F117" s="17">
        <v>-27102.62</v>
      </c>
      <c r="G117" s="17">
        <v>-15380.739999999998</v>
      </c>
      <c r="H117" s="17">
        <v>-16352.960000000006</v>
      </c>
      <c r="I117" s="17">
        <v>-11699.399999999994</v>
      </c>
      <c r="J117" s="17">
        <v>-10795.960000000006</v>
      </c>
      <c r="K117" s="17">
        <v>-24183.87999999999</v>
      </c>
      <c r="L117" s="17">
        <v>-8079.5299999999988</v>
      </c>
      <c r="M117" s="17">
        <v>-14479.009999999995</v>
      </c>
      <c r="N117" s="17">
        <v>-15129.840000000026</v>
      </c>
      <c r="O117" s="17">
        <v>-10185.779999999995</v>
      </c>
      <c r="P117" s="17">
        <v>-57279.900000000009</v>
      </c>
      <c r="Q117" s="17">
        <f t="shared" si="4"/>
        <v>-219371.07</v>
      </c>
      <c r="R117" s="11">
        <v>-219371.07</v>
      </c>
      <c r="S117" s="12">
        <f t="shared" si="5"/>
        <v>0</v>
      </c>
    </row>
    <row r="118" spans="1:19" x14ac:dyDescent="0.3">
      <c r="A118" s="7" t="s">
        <v>83</v>
      </c>
      <c r="B118" s="7">
        <v>58564020</v>
      </c>
      <c r="C118" s="7" t="s">
        <v>96</v>
      </c>
      <c r="D118" s="7" t="s">
        <v>8</v>
      </c>
      <c r="E118" s="17">
        <v>0</v>
      </c>
      <c r="F118" s="17">
        <v>0</v>
      </c>
      <c r="G118" s="17">
        <v>0</v>
      </c>
      <c r="H118" s="17">
        <v>0</v>
      </c>
      <c r="I118" s="17">
        <v>-37314</v>
      </c>
      <c r="J118" s="17">
        <v>-128611.20999999999</v>
      </c>
      <c r="K118" s="17">
        <v>-3345</v>
      </c>
      <c r="L118" s="17">
        <v>-1630</v>
      </c>
      <c r="M118" s="17">
        <v>-82727</v>
      </c>
      <c r="N118" s="17">
        <v>19981.559999999998</v>
      </c>
      <c r="O118" s="17">
        <v>-11849.56</v>
      </c>
      <c r="P118" s="17">
        <v>-65800</v>
      </c>
      <c r="Q118" s="17">
        <f t="shared" si="4"/>
        <v>-311295.20999999996</v>
      </c>
      <c r="R118" s="11">
        <v>-311295.20999999996</v>
      </c>
      <c r="S118" s="12">
        <f t="shared" si="5"/>
        <v>0</v>
      </c>
    </row>
    <row r="119" spans="1:19" x14ac:dyDescent="0.3">
      <c r="A119" s="7" t="s">
        <v>83</v>
      </c>
      <c r="B119" s="7">
        <v>58566000</v>
      </c>
      <c r="C119" s="7" t="s">
        <v>97</v>
      </c>
      <c r="D119" s="7" t="s">
        <v>8</v>
      </c>
      <c r="E119" s="17">
        <v>-12750.37</v>
      </c>
      <c r="F119" s="17">
        <v>-3513.7999999999993</v>
      </c>
      <c r="G119" s="17">
        <v>-6237.1900000000005</v>
      </c>
      <c r="H119" s="17">
        <v>-7996.6100000000006</v>
      </c>
      <c r="I119" s="17">
        <v>-10837.720000000001</v>
      </c>
      <c r="J119" s="17">
        <v>-10866.729999999996</v>
      </c>
      <c r="K119" s="17">
        <v>-10205.200000000004</v>
      </c>
      <c r="L119" s="17">
        <v>-7158.239999999998</v>
      </c>
      <c r="M119" s="17">
        <v>-6853.2899999999936</v>
      </c>
      <c r="N119" s="17">
        <v>-90575.93</v>
      </c>
      <c r="O119" s="17">
        <v>-19202.849999999999</v>
      </c>
      <c r="P119" s="17">
        <v>-19866.359999999997</v>
      </c>
      <c r="Q119" s="17">
        <f t="shared" si="4"/>
        <v>-206064.28999999998</v>
      </c>
      <c r="R119" s="11">
        <v>-206064.28999999998</v>
      </c>
      <c r="S119" s="12">
        <f t="shared" si="5"/>
        <v>0</v>
      </c>
    </row>
    <row r="120" spans="1:19" x14ac:dyDescent="0.3">
      <c r="A120" s="7" t="s">
        <v>83</v>
      </c>
      <c r="B120" s="7">
        <v>58566010</v>
      </c>
      <c r="C120" s="7" t="s">
        <v>98</v>
      </c>
      <c r="D120" s="7" t="s">
        <v>8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-63000</v>
      </c>
      <c r="K120" s="17">
        <v>0</v>
      </c>
      <c r="L120" s="17">
        <v>0</v>
      </c>
      <c r="M120" s="17">
        <v>0</v>
      </c>
      <c r="N120" s="17">
        <v>46549.18</v>
      </c>
      <c r="O120" s="17">
        <v>-11162.080000000002</v>
      </c>
      <c r="P120" s="17">
        <v>400</v>
      </c>
      <c r="Q120" s="17">
        <f t="shared" si="4"/>
        <v>-27212.9</v>
      </c>
      <c r="R120" s="11">
        <v>-27212.9</v>
      </c>
      <c r="S120" s="12">
        <f t="shared" si="5"/>
        <v>0</v>
      </c>
    </row>
    <row r="121" spans="1:19" x14ac:dyDescent="0.3">
      <c r="A121" s="7" t="s">
        <v>28</v>
      </c>
      <c r="B121" s="7">
        <v>58568000</v>
      </c>
      <c r="C121" s="7" t="s">
        <v>56</v>
      </c>
      <c r="D121" s="7" t="s">
        <v>8</v>
      </c>
      <c r="E121" s="17">
        <v>0</v>
      </c>
      <c r="F121" s="17">
        <v>-675</v>
      </c>
      <c r="G121" s="17">
        <v>0</v>
      </c>
      <c r="H121" s="17">
        <v>-375</v>
      </c>
      <c r="I121" s="17">
        <v>0</v>
      </c>
      <c r="J121" s="17">
        <v>-800</v>
      </c>
      <c r="K121" s="17">
        <v>-318.75</v>
      </c>
      <c r="L121" s="17">
        <v>0</v>
      </c>
      <c r="M121" s="17">
        <v>-7981</v>
      </c>
      <c r="N121" s="17">
        <v>0</v>
      </c>
      <c r="O121" s="17">
        <v>0</v>
      </c>
      <c r="P121" s="17">
        <v>-300</v>
      </c>
      <c r="Q121" s="17">
        <f t="shared" si="4"/>
        <v>-10449.75</v>
      </c>
      <c r="R121" s="11">
        <v>-10449.75</v>
      </c>
      <c r="S121" s="12">
        <f t="shared" si="5"/>
        <v>0</v>
      </c>
    </row>
    <row r="122" spans="1:19" x14ac:dyDescent="0.3">
      <c r="A122" s="7" t="s">
        <v>83</v>
      </c>
      <c r="B122" s="7">
        <v>58568002</v>
      </c>
      <c r="C122" s="7" t="s">
        <v>99</v>
      </c>
      <c r="D122" s="7" t="s">
        <v>8</v>
      </c>
      <c r="E122" s="17">
        <v>0</v>
      </c>
      <c r="F122" s="17">
        <v>0</v>
      </c>
      <c r="G122" s="17">
        <v>-4971.41</v>
      </c>
      <c r="H122" s="17">
        <v>-5121.57</v>
      </c>
      <c r="I122" s="17">
        <v>-1833.3000000000011</v>
      </c>
      <c r="J122" s="17">
        <v>0</v>
      </c>
      <c r="K122" s="17">
        <v>-4578.8000000000011</v>
      </c>
      <c r="L122" s="17">
        <v>0</v>
      </c>
      <c r="M122" s="17">
        <v>0</v>
      </c>
      <c r="N122" s="17">
        <v>-6275.2699999999968</v>
      </c>
      <c r="O122" s="17">
        <v>-2356.6799999999998</v>
      </c>
      <c r="P122" s="17">
        <v>-26199.05</v>
      </c>
      <c r="Q122" s="17">
        <f t="shared" si="4"/>
        <v>-51336.08</v>
      </c>
      <c r="R122" s="11">
        <v>-51336.08</v>
      </c>
      <c r="S122" s="12">
        <f t="shared" si="5"/>
        <v>0</v>
      </c>
    </row>
    <row r="123" spans="1:19" x14ac:dyDescent="0.3">
      <c r="A123" s="7" t="s">
        <v>83</v>
      </c>
      <c r="B123" s="7">
        <v>58568011</v>
      </c>
      <c r="C123" s="7" t="s">
        <v>100</v>
      </c>
      <c r="D123" s="7" t="s">
        <v>8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f t="shared" si="4"/>
        <v>0</v>
      </c>
      <c r="R123" s="11">
        <v>0</v>
      </c>
      <c r="S123" s="12">
        <f t="shared" si="5"/>
        <v>0</v>
      </c>
    </row>
    <row r="124" spans="1:19" x14ac:dyDescent="0.3">
      <c r="A124" s="7" t="s">
        <v>28</v>
      </c>
      <c r="B124" s="7">
        <v>58570000</v>
      </c>
      <c r="C124" s="7" t="s">
        <v>57</v>
      </c>
      <c r="D124" s="7" t="s">
        <v>8</v>
      </c>
      <c r="E124" s="17">
        <v>-869.42</v>
      </c>
      <c r="F124" s="17">
        <v>-869.42</v>
      </c>
      <c r="G124" s="17">
        <v>-869.4200000000003</v>
      </c>
      <c r="H124" s="17">
        <v>-869.41999999999962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f t="shared" si="4"/>
        <v>-3477.68</v>
      </c>
      <c r="R124" s="11">
        <v>-3477.68</v>
      </c>
      <c r="S124" s="12">
        <f t="shared" si="5"/>
        <v>0</v>
      </c>
    </row>
    <row r="125" spans="1:19" x14ac:dyDescent="0.3">
      <c r="A125" s="7" t="s">
        <v>28</v>
      </c>
      <c r="B125" s="7">
        <v>58590000</v>
      </c>
      <c r="C125" s="7" t="s">
        <v>58</v>
      </c>
      <c r="D125" s="7" t="s">
        <v>8</v>
      </c>
      <c r="E125" s="17">
        <v>0</v>
      </c>
      <c r="F125" s="17">
        <v>0</v>
      </c>
      <c r="G125" s="17">
        <v>233.75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f t="shared" si="4"/>
        <v>233.75</v>
      </c>
      <c r="R125" s="11">
        <v>233.75</v>
      </c>
      <c r="S125" s="12">
        <f t="shared" si="5"/>
        <v>0</v>
      </c>
    </row>
    <row r="126" spans="1:19" x14ac:dyDescent="0.3">
      <c r="A126" s="7" t="s">
        <v>67</v>
      </c>
      <c r="B126" s="7">
        <v>59000000</v>
      </c>
      <c r="C126" s="7" t="s">
        <v>68</v>
      </c>
      <c r="D126" s="7" t="s">
        <v>8</v>
      </c>
      <c r="E126" s="17">
        <v>-939095.3</v>
      </c>
      <c r="F126" s="17">
        <v>-930982.95</v>
      </c>
      <c r="G126" s="17">
        <v>-925407.69</v>
      </c>
      <c r="H126" s="17">
        <v>0</v>
      </c>
      <c r="I126" s="17">
        <v>-1922476.31</v>
      </c>
      <c r="J126" s="17">
        <v>-1060320.5</v>
      </c>
      <c r="K126" s="17">
        <v>-997571.83000000007</v>
      </c>
      <c r="L126" s="17">
        <v>0</v>
      </c>
      <c r="M126" s="17">
        <v>-2043198.42</v>
      </c>
      <c r="N126" s="17">
        <v>-1013295.9800000004</v>
      </c>
      <c r="O126" s="17">
        <v>-1020684.93</v>
      </c>
      <c r="P126" s="17">
        <v>-1012831.0999999996</v>
      </c>
      <c r="Q126" s="17">
        <f t="shared" si="4"/>
        <v>-11865865.01</v>
      </c>
      <c r="R126" s="11">
        <v>-11865865.01</v>
      </c>
      <c r="S126" s="12">
        <f t="shared" si="5"/>
        <v>0</v>
      </c>
    </row>
    <row r="127" spans="1:19" x14ac:dyDescent="0.3">
      <c r="A127" s="7" t="s">
        <v>67</v>
      </c>
      <c r="B127" s="7">
        <v>59002000</v>
      </c>
      <c r="C127" s="7" t="s">
        <v>69</v>
      </c>
      <c r="D127" s="7" t="s">
        <v>8</v>
      </c>
      <c r="E127" s="17">
        <v>-2000</v>
      </c>
      <c r="F127" s="17">
        <v>-1600</v>
      </c>
      <c r="G127" s="17">
        <v>-3550</v>
      </c>
      <c r="H127" s="17">
        <v>0</v>
      </c>
      <c r="I127" s="17">
        <v>-70500</v>
      </c>
      <c r="J127" s="17">
        <v>-138400</v>
      </c>
      <c r="K127" s="17">
        <v>-7900</v>
      </c>
      <c r="L127" s="17">
        <v>0</v>
      </c>
      <c r="M127" s="17">
        <v>-3600</v>
      </c>
      <c r="N127" s="17">
        <v>-1000</v>
      </c>
      <c r="O127" s="17">
        <v>0</v>
      </c>
      <c r="P127" s="17">
        <v>-1184350</v>
      </c>
      <c r="Q127" s="17">
        <f t="shared" si="4"/>
        <v>-1412900</v>
      </c>
      <c r="R127" s="11">
        <v>-1412900</v>
      </c>
      <c r="S127" s="12">
        <f t="shared" si="5"/>
        <v>0</v>
      </c>
    </row>
    <row r="128" spans="1:19" x14ac:dyDescent="0.3">
      <c r="A128" s="7" t="s">
        <v>67</v>
      </c>
      <c r="B128" s="7">
        <v>59002200</v>
      </c>
      <c r="C128" s="7" t="s">
        <v>70</v>
      </c>
      <c r="D128" s="7" t="s">
        <v>8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-1762.29</v>
      </c>
      <c r="O128" s="17">
        <v>0</v>
      </c>
      <c r="P128" s="17">
        <v>-2868.920000000001</v>
      </c>
      <c r="Q128" s="17">
        <f t="shared" si="4"/>
        <v>-4631.2100000000009</v>
      </c>
      <c r="R128" s="11">
        <v>-4631.2100000000009</v>
      </c>
      <c r="S128" s="12">
        <f t="shared" si="5"/>
        <v>0</v>
      </c>
    </row>
    <row r="129" spans="1:20" x14ac:dyDescent="0.3">
      <c r="A129" s="7" t="s">
        <v>67</v>
      </c>
      <c r="B129" s="7">
        <v>59004000</v>
      </c>
      <c r="C129" s="7" t="s">
        <v>74</v>
      </c>
      <c r="D129" s="7" t="s">
        <v>8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26873.41</v>
      </c>
      <c r="Q129" s="17">
        <f t="shared" si="4"/>
        <v>26873.41</v>
      </c>
      <c r="R129" s="11">
        <v>26873.41</v>
      </c>
      <c r="S129" s="12">
        <f t="shared" si="5"/>
        <v>0</v>
      </c>
    </row>
    <row r="130" spans="1:20" x14ac:dyDescent="0.3">
      <c r="A130" s="7" t="s">
        <v>75</v>
      </c>
      <c r="B130" s="7">
        <v>59004001</v>
      </c>
      <c r="C130" s="7" t="s">
        <v>78</v>
      </c>
      <c r="D130" s="7" t="s">
        <v>8</v>
      </c>
      <c r="E130" s="17">
        <v>0</v>
      </c>
      <c r="F130" s="17">
        <v>0</v>
      </c>
      <c r="G130" s="17">
        <v>0</v>
      </c>
      <c r="H130" s="17">
        <v>0</v>
      </c>
      <c r="I130" s="17">
        <v>280674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-280674</v>
      </c>
      <c r="P130" s="17">
        <v>-241383</v>
      </c>
      <c r="Q130" s="17">
        <f t="shared" si="4"/>
        <v>-241383</v>
      </c>
      <c r="R130" s="11">
        <v>-241383</v>
      </c>
      <c r="S130" s="12">
        <f t="shared" si="5"/>
        <v>0</v>
      </c>
    </row>
    <row r="131" spans="1:20" x14ac:dyDescent="0.3">
      <c r="A131" s="7" t="s">
        <v>75</v>
      </c>
      <c r="B131" s="7">
        <v>59016000</v>
      </c>
      <c r="C131" s="7" t="s">
        <v>79</v>
      </c>
      <c r="D131" s="7" t="s">
        <v>8</v>
      </c>
      <c r="E131" s="17">
        <v>-185025.72</v>
      </c>
      <c r="F131" s="17">
        <v>-184073.92</v>
      </c>
      <c r="G131" s="17">
        <v>-181279.06999999995</v>
      </c>
      <c r="H131" s="17">
        <v>0</v>
      </c>
      <c r="I131" s="17">
        <v>-621900.57000000007</v>
      </c>
      <c r="J131" s="17">
        <v>-214719.08000000007</v>
      </c>
      <c r="K131" s="17">
        <v>-172474.91999999993</v>
      </c>
      <c r="L131" s="17">
        <v>0</v>
      </c>
      <c r="M131" s="17">
        <v>-327197.54000000004</v>
      </c>
      <c r="N131" s="17">
        <v>-146694.28000000003</v>
      </c>
      <c r="O131" s="17">
        <v>139249.28</v>
      </c>
      <c r="P131" s="17">
        <v>-129132.53</v>
      </c>
      <c r="Q131" s="17">
        <f t="shared" si="4"/>
        <v>-2023248.35</v>
      </c>
      <c r="R131" s="11">
        <v>-2023248.35</v>
      </c>
      <c r="S131" s="12">
        <f t="shared" si="5"/>
        <v>0</v>
      </c>
    </row>
    <row r="132" spans="1:20" x14ac:dyDescent="0.3">
      <c r="A132" s="7" t="s">
        <v>67</v>
      </c>
      <c r="B132" s="7">
        <v>59018300</v>
      </c>
      <c r="C132" s="7" t="s">
        <v>71</v>
      </c>
      <c r="D132" s="7" t="s">
        <v>8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-83398</v>
      </c>
      <c r="Q132" s="17">
        <f t="shared" ref="Q132:Q173" si="6">SUM(E132:P132)</f>
        <v>-83398</v>
      </c>
      <c r="R132" s="11">
        <v>-83398</v>
      </c>
      <c r="S132" s="12">
        <f t="shared" ref="S132:S173" si="7">Q132-R132</f>
        <v>0</v>
      </c>
    </row>
    <row r="133" spans="1:20" x14ac:dyDescent="0.3">
      <c r="A133" s="7" t="s">
        <v>75</v>
      </c>
      <c r="B133" s="7">
        <v>59028000</v>
      </c>
      <c r="C133" s="7" t="s">
        <v>81</v>
      </c>
      <c r="D133" s="7" t="s">
        <v>8</v>
      </c>
      <c r="E133" s="17">
        <v>-12736.84</v>
      </c>
      <c r="F133" s="17">
        <v>-13672.25</v>
      </c>
      <c r="G133" s="17">
        <v>-13014.600000000002</v>
      </c>
      <c r="H133" s="17">
        <v>-14563.479999999996</v>
      </c>
      <c r="I133" s="17">
        <v>-11317.660000000003</v>
      </c>
      <c r="J133" s="17">
        <v>-13077.479999999996</v>
      </c>
      <c r="K133" s="17">
        <v>-10920.600000000006</v>
      </c>
      <c r="L133" s="17">
        <v>-15079.830000000002</v>
      </c>
      <c r="M133" s="17">
        <v>-7467.429999999993</v>
      </c>
      <c r="N133" s="17">
        <v>-12306.199999999997</v>
      </c>
      <c r="O133" s="17">
        <v>-12434.47</v>
      </c>
      <c r="P133" s="17">
        <v>-12543.77</v>
      </c>
      <c r="Q133" s="17">
        <f t="shared" si="6"/>
        <v>-149134.60999999999</v>
      </c>
      <c r="R133" s="11">
        <v>-149134.60999999999</v>
      </c>
      <c r="S133" s="12">
        <f t="shared" si="7"/>
        <v>0</v>
      </c>
    </row>
    <row r="134" spans="1:20" x14ac:dyDescent="0.3">
      <c r="A134" s="7" t="s">
        <v>75</v>
      </c>
      <c r="B134" s="7">
        <v>59036001</v>
      </c>
      <c r="C134" s="7" t="s">
        <v>82</v>
      </c>
      <c r="D134" s="7" t="s">
        <v>8</v>
      </c>
      <c r="E134" s="17">
        <v>-21850</v>
      </c>
      <c r="F134" s="17">
        <v>-21660</v>
      </c>
      <c r="G134" s="17">
        <v>-21470</v>
      </c>
      <c r="H134" s="17">
        <v>0</v>
      </c>
      <c r="I134" s="17">
        <v>-43320</v>
      </c>
      <c r="J134" s="17">
        <v>-21660</v>
      </c>
      <c r="K134" s="17">
        <v>-42370</v>
      </c>
      <c r="L134" s="17">
        <v>-21660</v>
      </c>
      <c r="M134" s="17">
        <v>-64980</v>
      </c>
      <c r="N134" s="17">
        <v>42560</v>
      </c>
      <c r="O134" s="17">
        <v>-21650</v>
      </c>
      <c r="P134" s="17">
        <v>-21850</v>
      </c>
      <c r="Q134" s="17">
        <f t="shared" si="6"/>
        <v>-259910</v>
      </c>
      <c r="R134" s="11">
        <v>-259910</v>
      </c>
      <c r="S134" s="12">
        <f t="shared" si="7"/>
        <v>0</v>
      </c>
    </row>
    <row r="135" spans="1:20" x14ac:dyDescent="0.3">
      <c r="A135" s="7" t="s">
        <v>67</v>
      </c>
      <c r="B135" s="7">
        <v>59040000</v>
      </c>
      <c r="C135" s="7" t="s">
        <v>72</v>
      </c>
      <c r="D135" s="7" t="s">
        <v>8</v>
      </c>
      <c r="E135" s="17">
        <v>-7945.9</v>
      </c>
      <c r="F135" s="17">
        <v>-8166.08</v>
      </c>
      <c r="G135" s="17">
        <v>0</v>
      </c>
      <c r="H135" s="17">
        <v>-16416.170000000002</v>
      </c>
      <c r="I135" s="17">
        <v>0</v>
      </c>
      <c r="J135" s="17">
        <v>-16438.269999999997</v>
      </c>
      <c r="K135" s="17">
        <v>-7879.7799999999988</v>
      </c>
      <c r="L135" s="17">
        <v>-8015.6500000000015</v>
      </c>
      <c r="M135" s="17">
        <v>-8666.9200000000055</v>
      </c>
      <c r="N135" s="17">
        <v>15919.61</v>
      </c>
      <c r="O135" s="17">
        <v>-6424.83</v>
      </c>
      <c r="P135" s="17">
        <v>-8387.19</v>
      </c>
      <c r="Q135" s="17">
        <f t="shared" si="6"/>
        <v>-72421.180000000008</v>
      </c>
      <c r="R135" s="11">
        <v>-72421.180000000008</v>
      </c>
      <c r="S135" s="12">
        <f t="shared" si="7"/>
        <v>0</v>
      </c>
    </row>
    <row r="136" spans="1:20" x14ac:dyDescent="0.3">
      <c r="A136" s="7" t="s">
        <v>67</v>
      </c>
      <c r="B136" s="7">
        <v>59070000</v>
      </c>
      <c r="C136" s="7" t="s">
        <v>73</v>
      </c>
      <c r="D136" s="7" t="s">
        <v>8</v>
      </c>
      <c r="E136" s="17">
        <v>-19450</v>
      </c>
      <c r="F136" s="17">
        <v>-20900</v>
      </c>
      <c r="G136" s="17">
        <v>-24700</v>
      </c>
      <c r="H136" s="17">
        <v>0</v>
      </c>
      <c r="I136" s="17">
        <v>-56400</v>
      </c>
      <c r="J136" s="17">
        <v>-28587</v>
      </c>
      <c r="K136" s="17">
        <v>-32500</v>
      </c>
      <c r="L136" s="17">
        <v>0</v>
      </c>
      <c r="M136" s="17">
        <v>-63500</v>
      </c>
      <c r="N136" s="17">
        <v>-22490</v>
      </c>
      <c r="O136" s="17">
        <v>-20025</v>
      </c>
      <c r="P136" s="17">
        <v>-22200</v>
      </c>
      <c r="Q136" s="17">
        <f t="shared" si="6"/>
        <v>-310752</v>
      </c>
      <c r="R136" s="11">
        <v>-310752</v>
      </c>
      <c r="S136" s="12">
        <f t="shared" si="7"/>
        <v>0</v>
      </c>
    </row>
    <row r="137" spans="1:20" x14ac:dyDescent="0.3">
      <c r="A137" s="7" t="s">
        <v>62</v>
      </c>
      <c r="B137" s="7">
        <v>59080040</v>
      </c>
      <c r="C137" s="7" t="s">
        <v>63</v>
      </c>
      <c r="D137" s="7" t="s">
        <v>8</v>
      </c>
      <c r="E137" s="17">
        <v>-10574</v>
      </c>
      <c r="F137" s="17">
        <v>-10685</v>
      </c>
      <c r="G137" s="17">
        <v>-11348</v>
      </c>
      <c r="H137" s="17">
        <v>-11348</v>
      </c>
      <c r="I137" s="17">
        <v>-11472</v>
      </c>
      <c r="J137" s="17">
        <v>-11723</v>
      </c>
      <c r="K137" s="17">
        <v>-11678</v>
      </c>
      <c r="L137" s="17">
        <v>-11694</v>
      </c>
      <c r="M137" s="17">
        <v>-11546</v>
      </c>
      <c r="N137" s="17">
        <v>-11425</v>
      </c>
      <c r="O137" s="17">
        <v>-11648</v>
      </c>
      <c r="P137" s="17">
        <v>-11888</v>
      </c>
      <c r="Q137" s="17">
        <f t="shared" si="6"/>
        <v>-137029</v>
      </c>
      <c r="R137" s="11">
        <v>-137029</v>
      </c>
      <c r="S137" s="12">
        <f t="shared" si="7"/>
        <v>0</v>
      </c>
    </row>
    <row r="138" spans="1:20" x14ac:dyDescent="0.3">
      <c r="A138" s="7" t="s">
        <v>62</v>
      </c>
      <c r="B138" s="7">
        <v>59500040</v>
      </c>
      <c r="C138" s="7" t="s">
        <v>64</v>
      </c>
      <c r="D138" s="7" t="s">
        <v>8</v>
      </c>
      <c r="E138" s="17">
        <v>-2153.5500000000002</v>
      </c>
      <c r="F138" s="17">
        <v>-2153.5500000000002</v>
      </c>
      <c r="G138" s="17">
        <v>-2153.5499999999993</v>
      </c>
      <c r="H138" s="17">
        <v>-1876.0400000000009</v>
      </c>
      <c r="I138" s="17">
        <v>-2153.5499999999993</v>
      </c>
      <c r="J138" s="17">
        <v>-2153.5500000000011</v>
      </c>
      <c r="K138" s="17">
        <v>-2153.5499999999993</v>
      </c>
      <c r="L138" s="17">
        <v>-2153.5499999999993</v>
      </c>
      <c r="M138" s="17">
        <v>-2153.5499999999993</v>
      </c>
      <c r="N138" s="17">
        <v>-2153.5500000000029</v>
      </c>
      <c r="O138" s="17">
        <v>-2153.5500000000002</v>
      </c>
      <c r="P138" s="17">
        <v>-2150.5500000000002</v>
      </c>
      <c r="Q138" s="17">
        <f t="shared" si="6"/>
        <v>-25562.09</v>
      </c>
      <c r="R138" s="11">
        <v>-25562.09</v>
      </c>
      <c r="S138" s="12">
        <f t="shared" si="7"/>
        <v>0</v>
      </c>
    </row>
    <row r="139" spans="1:20" x14ac:dyDescent="0.3">
      <c r="A139" s="7" t="s">
        <v>62</v>
      </c>
      <c r="B139" s="7">
        <v>59500050</v>
      </c>
      <c r="C139" s="7" t="s">
        <v>65</v>
      </c>
      <c r="D139" s="7" t="s">
        <v>8</v>
      </c>
      <c r="E139" s="17">
        <v>-5141.38</v>
      </c>
      <c r="F139" s="17">
        <v>-3027.2200000000003</v>
      </c>
      <c r="G139" s="17">
        <v>-3303.6299999999992</v>
      </c>
      <c r="H139" s="17">
        <v>-4728.07</v>
      </c>
      <c r="I139" s="17">
        <v>-3687.4300000000003</v>
      </c>
      <c r="J139" s="17">
        <v>-5281.0600000000013</v>
      </c>
      <c r="K139" s="17">
        <v>-5315.8899999999994</v>
      </c>
      <c r="L139" s="17">
        <v>-8229.3000000000029</v>
      </c>
      <c r="M139" s="17">
        <v>-3556.6199999999953</v>
      </c>
      <c r="N139" s="17">
        <v>-835.20000000000437</v>
      </c>
      <c r="O139" s="17">
        <v>-6063.6700000000028</v>
      </c>
      <c r="P139" s="17">
        <v>-4801.1300000000056</v>
      </c>
      <c r="Q139" s="17">
        <f t="shared" si="6"/>
        <v>-53970.600000000013</v>
      </c>
      <c r="R139" s="11">
        <v>-53970.600000000013</v>
      </c>
      <c r="S139" s="12">
        <f t="shared" si="7"/>
        <v>0</v>
      </c>
    </row>
    <row r="140" spans="1:20" x14ac:dyDescent="0.3">
      <c r="A140" s="7" t="s">
        <v>62</v>
      </c>
      <c r="B140" s="7">
        <v>59500051</v>
      </c>
      <c r="C140" s="7" t="s">
        <v>66</v>
      </c>
      <c r="D140" s="7" t="s">
        <v>8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-1383.82</v>
      </c>
      <c r="N140" s="17">
        <v>-8130.18</v>
      </c>
      <c r="O140" s="17">
        <v>-1699.7000000000003</v>
      </c>
      <c r="P140" s="17">
        <v>-1275.870000000001</v>
      </c>
      <c r="Q140" s="17">
        <f t="shared" si="6"/>
        <v>-12489.570000000002</v>
      </c>
      <c r="R140" s="11">
        <v>-12489.570000000002</v>
      </c>
      <c r="S140" s="12">
        <f t="shared" si="7"/>
        <v>0</v>
      </c>
    </row>
    <row r="141" spans="1:20" x14ac:dyDescent="0.3">
      <c r="A141" s="7" t="s">
        <v>28</v>
      </c>
      <c r="B141" s="7">
        <v>59504050</v>
      </c>
      <c r="C141" s="7" t="s">
        <v>60</v>
      </c>
      <c r="D141" s="7" t="s">
        <v>8</v>
      </c>
      <c r="E141" s="17">
        <v>0</v>
      </c>
      <c r="F141" s="17">
        <v>-68660.92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f t="shared" si="6"/>
        <v>-68660.92</v>
      </c>
      <c r="R141" s="11">
        <v>-68660.92</v>
      </c>
      <c r="S141" s="12">
        <f t="shared" si="7"/>
        <v>0</v>
      </c>
    </row>
    <row r="142" spans="1:20" x14ac:dyDescent="0.3">
      <c r="A142" s="7" t="s">
        <v>101</v>
      </c>
      <c r="B142" s="7">
        <v>60000000</v>
      </c>
      <c r="C142" s="7" t="s">
        <v>191</v>
      </c>
      <c r="D142" s="7" t="s">
        <v>102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f t="shared" si="6"/>
        <v>0</v>
      </c>
      <c r="R142" s="11">
        <v>0</v>
      </c>
      <c r="S142" s="12">
        <f t="shared" si="7"/>
        <v>0</v>
      </c>
      <c r="T142">
        <f>COUNTIF(_25B[Nazwa konta],C142)</f>
        <v>0</v>
      </c>
    </row>
    <row r="143" spans="1:20" x14ac:dyDescent="0.3">
      <c r="A143" s="7" t="s">
        <v>101</v>
      </c>
      <c r="B143" s="7">
        <v>60000010</v>
      </c>
      <c r="C143" s="7" t="s">
        <v>156</v>
      </c>
      <c r="D143" s="7" t="s">
        <v>8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106900.98</v>
      </c>
      <c r="O143" s="17">
        <v>0</v>
      </c>
      <c r="P143" s="17">
        <v>24237.58</v>
      </c>
      <c r="Q143" s="17">
        <f t="shared" si="6"/>
        <v>131138.56</v>
      </c>
      <c r="R143" s="11">
        <v>131138.56</v>
      </c>
      <c r="S143" s="12">
        <f t="shared" si="7"/>
        <v>0</v>
      </c>
    </row>
    <row r="144" spans="1:20" x14ac:dyDescent="0.3">
      <c r="A144" s="7" t="s">
        <v>101</v>
      </c>
      <c r="B144" s="7">
        <v>60002000</v>
      </c>
      <c r="C144" s="7" t="s">
        <v>157</v>
      </c>
      <c r="D144" s="7" t="s">
        <v>8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f t="shared" si="6"/>
        <v>0</v>
      </c>
      <c r="R144" s="11">
        <v>0</v>
      </c>
      <c r="S144" s="12">
        <f t="shared" si="7"/>
        <v>0</v>
      </c>
    </row>
    <row r="145" spans="1:20" x14ac:dyDescent="0.3">
      <c r="A145" s="7" t="s">
        <v>101</v>
      </c>
      <c r="B145" s="7">
        <v>60500000</v>
      </c>
      <c r="C145" s="7" t="s">
        <v>183</v>
      </c>
      <c r="D145" s="7" t="s">
        <v>8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f t="shared" si="6"/>
        <v>0</v>
      </c>
      <c r="R145" s="11">
        <v>0</v>
      </c>
      <c r="S145" s="12">
        <f t="shared" si="7"/>
        <v>0</v>
      </c>
    </row>
    <row r="146" spans="1:20" x14ac:dyDescent="0.3">
      <c r="A146" s="7" t="s">
        <v>101</v>
      </c>
      <c r="B146" s="7">
        <v>60501000</v>
      </c>
      <c r="C146" s="7" t="s">
        <v>184</v>
      </c>
      <c r="D146" s="7" t="s">
        <v>8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f t="shared" si="6"/>
        <v>0</v>
      </c>
      <c r="R146" s="11">
        <v>0</v>
      </c>
      <c r="S146" s="12">
        <f t="shared" si="7"/>
        <v>0</v>
      </c>
    </row>
    <row r="147" spans="1:20" x14ac:dyDescent="0.3">
      <c r="A147" s="7" t="s">
        <v>101</v>
      </c>
      <c r="B147" s="7">
        <v>60502010</v>
      </c>
      <c r="C147" s="7" t="s">
        <v>158</v>
      </c>
      <c r="D147" s="7" t="s">
        <v>8</v>
      </c>
      <c r="E147" s="17">
        <v>33.21</v>
      </c>
      <c r="F147" s="17">
        <v>186.69</v>
      </c>
      <c r="G147" s="17">
        <v>86.549999999999983</v>
      </c>
      <c r="H147" s="17">
        <v>5.0799999999999841</v>
      </c>
      <c r="I147" s="17">
        <v>37.220000000000027</v>
      </c>
      <c r="J147" s="17">
        <v>0</v>
      </c>
      <c r="K147" s="17">
        <v>-2532.96</v>
      </c>
      <c r="L147" s="17">
        <v>166.49</v>
      </c>
      <c r="M147" s="17">
        <v>0</v>
      </c>
      <c r="N147" s="17">
        <v>145.68000000000006</v>
      </c>
      <c r="O147" s="17">
        <v>0</v>
      </c>
      <c r="P147" s="17">
        <v>0</v>
      </c>
      <c r="Q147" s="17">
        <f t="shared" si="6"/>
        <v>-1872.04</v>
      </c>
      <c r="R147" s="11">
        <v>-1872.04</v>
      </c>
      <c r="S147" s="12">
        <f t="shared" si="7"/>
        <v>0</v>
      </c>
    </row>
    <row r="148" spans="1:20" x14ac:dyDescent="0.3">
      <c r="A148" s="7" t="s">
        <v>101</v>
      </c>
      <c r="B148" s="7">
        <v>60502210</v>
      </c>
      <c r="C148" s="7" t="s">
        <v>192</v>
      </c>
      <c r="D148" s="7" t="s">
        <v>102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f t="shared" si="6"/>
        <v>0</v>
      </c>
      <c r="R148" s="11">
        <v>0</v>
      </c>
      <c r="S148" s="12">
        <f t="shared" si="7"/>
        <v>0</v>
      </c>
      <c r="T148">
        <f>COUNTIF(_25B[Nazwa konta],C148)</f>
        <v>0</v>
      </c>
    </row>
    <row r="149" spans="1:20" x14ac:dyDescent="0.3">
      <c r="A149" s="7" t="s">
        <v>101</v>
      </c>
      <c r="B149" s="7">
        <v>60502211</v>
      </c>
      <c r="C149" s="7" t="s">
        <v>159</v>
      </c>
      <c r="D149" s="7" t="s">
        <v>8</v>
      </c>
      <c r="E149" s="17">
        <v>21.76</v>
      </c>
      <c r="F149" s="17">
        <v>0</v>
      </c>
      <c r="G149" s="17">
        <v>-146.04</v>
      </c>
      <c r="H149" s="17">
        <v>0</v>
      </c>
      <c r="I149" s="17">
        <v>510.30999999999995</v>
      </c>
      <c r="J149" s="17">
        <v>2.4000000000000341</v>
      </c>
      <c r="K149" s="17">
        <v>0</v>
      </c>
      <c r="L149" s="17">
        <v>2.5799999999999841</v>
      </c>
      <c r="M149" s="17">
        <v>0</v>
      </c>
      <c r="N149" s="17">
        <v>380.95000000000005</v>
      </c>
      <c r="O149" s="17">
        <v>0</v>
      </c>
      <c r="P149" s="17">
        <v>55.1</v>
      </c>
      <c r="Q149" s="17">
        <f t="shared" si="6"/>
        <v>827.06000000000006</v>
      </c>
      <c r="R149" s="11">
        <v>827.06000000000006</v>
      </c>
      <c r="S149" s="12">
        <f t="shared" si="7"/>
        <v>0</v>
      </c>
    </row>
    <row r="150" spans="1:20" x14ac:dyDescent="0.3">
      <c r="A150" s="7" t="s">
        <v>101</v>
      </c>
      <c r="B150" s="7">
        <v>60503010</v>
      </c>
      <c r="C150" s="7" t="s">
        <v>160</v>
      </c>
      <c r="D150" s="7" t="s">
        <v>8</v>
      </c>
      <c r="E150" s="17">
        <v>0</v>
      </c>
      <c r="F150" s="17">
        <v>0</v>
      </c>
      <c r="G150" s="17">
        <v>-85.98</v>
      </c>
      <c r="H150" s="17">
        <v>-15.719999999999999</v>
      </c>
      <c r="I150" s="17">
        <v>0</v>
      </c>
      <c r="J150" s="17">
        <v>-0.11999999999999034</v>
      </c>
      <c r="K150" s="17">
        <v>-185.76</v>
      </c>
      <c r="L150" s="17">
        <v>0</v>
      </c>
      <c r="M150" s="17">
        <v>0</v>
      </c>
      <c r="N150" s="17">
        <v>-2.9499999999999886</v>
      </c>
      <c r="O150" s="17">
        <v>-683.28</v>
      </c>
      <c r="P150" s="17">
        <v>-12.88</v>
      </c>
      <c r="Q150" s="17">
        <f t="shared" si="6"/>
        <v>-986.68999999999994</v>
      </c>
      <c r="R150" s="11">
        <v>-986.68999999999994</v>
      </c>
      <c r="S150" s="12">
        <f t="shared" si="7"/>
        <v>0</v>
      </c>
    </row>
    <row r="151" spans="1:20" x14ac:dyDescent="0.3">
      <c r="A151" s="7" t="s">
        <v>101</v>
      </c>
      <c r="B151" s="7">
        <v>60504000</v>
      </c>
      <c r="C151" s="7" t="s">
        <v>193</v>
      </c>
      <c r="D151" s="7" t="s">
        <v>102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f t="shared" si="6"/>
        <v>0</v>
      </c>
      <c r="R151" s="11">
        <v>0</v>
      </c>
      <c r="S151" s="12">
        <f t="shared" si="7"/>
        <v>0</v>
      </c>
      <c r="T151">
        <f>COUNTIF(_25B[Nazwa konta],C151)</f>
        <v>0</v>
      </c>
    </row>
    <row r="152" spans="1:20" x14ac:dyDescent="0.3">
      <c r="A152" s="7" t="s">
        <v>101</v>
      </c>
      <c r="B152" s="7">
        <v>60508010</v>
      </c>
      <c r="C152" s="7" t="s">
        <v>161</v>
      </c>
      <c r="D152" s="7" t="s">
        <v>8</v>
      </c>
      <c r="E152" s="17">
        <v>0</v>
      </c>
      <c r="F152" s="17">
        <v>-11.97</v>
      </c>
      <c r="G152" s="17">
        <v>-38.22</v>
      </c>
      <c r="H152" s="17">
        <v>-214.94</v>
      </c>
      <c r="I152" s="17">
        <v>7118.3</v>
      </c>
      <c r="J152" s="17">
        <v>0</v>
      </c>
      <c r="K152" s="17">
        <v>-44.380000000000109</v>
      </c>
      <c r="L152" s="17">
        <v>544.48999999999978</v>
      </c>
      <c r="M152" s="17">
        <v>0</v>
      </c>
      <c r="N152" s="17">
        <v>0</v>
      </c>
      <c r="O152" s="17">
        <v>-3.98</v>
      </c>
      <c r="P152" s="17">
        <v>921.17000000000007</v>
      </c>
      <c r="Q152" s="17">
        <f t="shared" si="6"/>
        <v>8270.4700000000012</v>
      </c>
      <c r="R152" s="11">
        <v>8270.4700000000012</v>
      </c>
      <c r="S152" s="12">
        <f t="shared" si="7"/>
        <v>0</v>
      </c>
    </row>
    <row r="153" spans="1:20" x14ac:dyDescent="0.3">
      <c r="A153" s="7" t="s">
        <v>101</v>
      </c>
      <c r="B153" s="7">
        <v>60509010</v>
      </c>
      <c r="C153" s="7" t="s">
        <v>162</v>
      </c>
      <c r="D153" s="7" t="s">
        <v>8</v>
      </c>
      <c r="E153" s="17">
        <v>-59.04</v>
      </c>
      <c r="F153" s="17">
        <v>0</v>
      </c>
      <c r="G153" s="17">
        <v>0</v>
      </c>
      <c r="H153" s="17">
        <v>-2.3500000000000014</v>
      </c>
      <c r="I153" s="17">
        <v>-1962</v>
      </c>
      <c r="J153" s="17">
        <v>0</v>
      </c>
      <c r="K153" s="17">
        <v>0</v>
      </c>
      <c r="L153" s="17">
        <v>-9.9999999999909051E-3</v>
      </c>
      <c r="M153" s="17">
        <v>0</v>
      </c>
      <c r="N153" s="17">
        <v>-36.440000000000055</v>
      </c>
      <c r="O153" s="17">
        <v>-3.45</v>
      </c>
      <c r="P153" s="17">
        <v>-32.67</v>
      </c>
      <c r="Q153" s="17">
        <f t="shared" si="6"/>
        <v>-2095.96</v>
      </c>
      <c r="R153" s="11">
        <v>-2095.96</v>
      </c>
      <c r="S153" s="12">
        <f t="shared" si="7"/>
        <v>0</v>
      </c>
    </row>
    <row r="154" spans="1:20" x14ac:dyDescent="0.3">
      <c r="A154" s="7" t="s">
        <v>101</v>
      </c>
      <c r="B154" s="7">
        <v>60509211</v>
      </c>
      <c r="C154" s="7" t="s">
        <v>163</v>
      </c>
      <c r="D154" s="7" t="s">
        <v>8</v>
      </c>
      <c r="E154" s="17">
        <v>0</v>
      </c>
      <c r="F154" s="17">
        <v>0</v>
      </c>
      <c r="G154" s="17">
        <v>-258.49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-580.75</v>
      </c>
      <c r="O154" s="17">
        <v>-11.29</v>
      </c>
      <c r="P154" s="17">
        <v>3426.74</v>
      </c>
      <c r="Q154" s="17">
        <f t="shared" si="6"/>
        <v>2576.21</v>
      </c>
      <c r="R154" s="11">
        <v>2576.21</v>
      </c>
      <c r="S154" s="12">
        <f t="shared" si="7"/>
        <v>0</v>
      </c>
    </row>
    <row r="155" spans="1:20" x14ac:dyDescent="0.3">
      <c r="A155" s="7" t="s">
        <v>12</v>
      </c>
      <c r="B155" s="7">
        <v>61000000</v>
      </c>
      <c r="C155" s="7" t="s">
        <v>13</v>
      </c>
      <c r="D155" s="7" t="s">
        <v>8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-8338.5</v>
      </c>
      <c r="P155" s="17">
        <v>-926.5</v>
      </c>
      <c r="Q155" s="17">
        <f t="shared" si="6"/>
        <v>-9265</v>
      </c>
      <c r="R155" s="11">
        <v>-9265</v>
      </c>
      <c r="S155" s="12">
        <f t="shared" si="7"/>
        <v>0</v>
      </c>
    </row>
    <row r="156" spans="1:20" x14ac:dyDescent="0.3">
      <c r="A156" s="7" t="s">
        <v>12</v>
      </c>
      <c r="B156" s="7">
        <v>61502000</v>
      </c>
      <c r="C156" s="7" t="s">
        <v>14</v>
      </c>
      <c r="D156" s="7" t="s">
        <v>8</v>
      </c>
      <c r="E156" s="17">
        <v>-17326.2</v>
      </c>
      <c r="F156" s="17">
        <v>0</v>
      </c>
      <c r="G156" s="17">
        <v>-34652.410000000003</v>
      </c>
      <c r="H156" s="17">
        <v>-17326.199999999997</v>
      </c>
      <c r="I156" s="17">
        <v>-17326.199999999997</v>
      </c>
      <c r="J156" s="17">
        <v>-17326.210000000006</v>
      </c>
      <c r="K156" s="17">
        <v>0</v>
      </c>
      <c r="L156" s="17">
        <v>-34652.410000000003</v>
      </c>
      <c r="M156" s="17">
        <v>0</v>
      </c>
      <c r="N156" s="17">
        <v>-34652.419999999984</v>
      </c>
      <c r="O156" s="17">
        <v>-17326.2</v>
      </c>
      <c r="P156" s="17">
        <v>-17326.2</v>
      </c>
      <c r="Q156" s="17">
        <f t="shared" si="6"/>
        <v>-207914.45</v>
      </c>
      <c r="R156" s="11">
        <v>-207914.45</v>
      </c>
      <c r="S156" s="12">
        <f t="shared" si="7"/>
        <v>0</v>
      </c>
    </row>
    <row r="157" spans="1:20" x14ac:dyDescent="0.3">
      <c r="A157" s="7" t="s">
        <v>12</v>
      </c>
      <c r="B157" s="7">
        <v>61504000</v>
      </c>
      <c r="C157" s="7" t="s">
        <v>15</v>
      </c>
      <c r="D157" s="7" t="s">
        <v>8</v>
      </c>
      <c r="E157" s="17">
        <v>-313.45999999999998</v>
      </c>
      <c r="F157" s="17">
        <v>0</v>
      </c>
      <c r="G157" s="17">
        <v>-626.91000000000008</v>
      </c>
      <c r="H157" s="17">
        <v>-313.45999999999992</v>
      </c>
      <c r="I157" s="17">
        <v>-313.45000000000005</v>
      </c>
      <c r="J157" s="17">
        <v>-313.45000000000005</v>
      </c>
      <c r="K157" s="17">
        <v>0</v>
      </c>
      <c r="L157" s="17">
        <v>-626.92000000000007</v>
      </c>
      <c r="M157" s="17">
        <v>0</v>
      </c>
      <c r="N157" s="17">
        <v>-626.92000000000007</v>
      </c>
      <c r="O157" s="17">
        <v>-313.45</v>
      </c>
      <c r="P157" s="17">
        <v>-313.45999999999998</v>
      </c>
      <c r="Q157" s="17">
        <f t="shared" si="6"/>
        <v>-3761.48</v>
      </c>
      <c r="R157" s="11">
        <v>-3761.48</v>
      </c>
      <c r="S157" s="12">
        <f t="shared" si="7"/>
        <v>0</v>
      </c>
    </row>
    <row r="158" spans="1:20" x14ac:dyDescent="0.3">
      <c r="A158" s="7" t="s">
        <v>12</v>
      </c>
      <c r="B158" s="7">
        <v>61508000</v>
      </c>
      <c r="C158" s="7" t="s">
        <v>16</v>
      </c>
      <c r="D158" s="7" t="s">
        <v>8</v>
      </c>
      <c r="E158" s="17">
        <v>-28679.49</v>
      </c>
      <c r="F158" s="17">
        <v>0</v>
      </c>
      <c r="G158" s="17">
        <v>-38074.31</v>
      </c>
      <c r="H158" s="17">
        <v>-47300.479999999996</v>
      </c>
      <c r="I158" s="17">
        <v>-50435.97</v>
      </c>
      <c r="J158" s="17">
        <v>-36086.98000000001</v>
      </c>
      <c r="K158" s="17">
        <v>0</v>
      </c>
      <c r="L158" s="17">
        <v>-44473.069999999978</v>
      </c>
      <c r="M158" s="17">
        <v>0</v>
      </c>
      <c r="N158" s="17">
        <v>-52577.820000000007</v>
      </c>
      <c r="O158" s="17">
        <v>-4082.85</v>
      </c>
      <c r="P158" s="17">
        <v>-36848.6</v>
      </c>
      <c r="Q158" s="17">
        <f t="shared" si="6"/>
        <v>-338559.56999999995</v>
      </c>
      <c r="R158" s="11">
        <v>-338559.56999999995</v>
      </c>
      <c r="S158" s="12">
        <f t="shared" si="7"/>
        <v>0</v>
      </c>
    </row>
    <row r="159" spans="1:20" x14ac:dyDescent="0.3">
      <c r="A159" s="7" t="s">
        <v>12</v>
      </c>
      <c r="B159" s="7">
        <v>61512000</v>
      </c>
      <c r="C159" s="7" t="s">
        <v>17</v>
      </c>
      <c r="D159" s="7" t="s">
        <v>8</v>
      </c>
      <c r="E159" s="17">
        <v>-583.65</v>
      </c>
      <c r="F159" s="17">
        <v>0</v>
      </c>
      <c r="G159" s="17">
        <v>-1663.7799999999997</v>
      </c>
      <c r="H159" s="17">
        <v>-966.21</v>
      </c>
      <c r="I159" s="17">
        <v>-704.71</v>
      </c>
      <c r="J159" s="17">
        <v>-10375.18</v>
      </c>
      <c r="K159" s="17">
        <v>0</v>
      </c>
      <c r="L159" s="17">
        <v>-4595.9699999999993</v>
      </c>
      <c r="M159" s="17">
        <v>0</v>
      </c>
      <c r="N159" s="17">
        <v>-4042.3199999999997</v>
      </c>
      <c r="O159" s="17">
        <v>-2021.17</v>
      </c>
      <c r="P159" s="17">
        <v>-2021.14</v>
      </c>
      <c r="Q159" s="17">
        <f t="shared" si="6"/>
        <v>-26974.129999999997</v>
      </c>
      <c r="R159" s="11">
        <v>-26974.129999999997</v>
      </c>
      <c r="S159" s="12">
        <f t="shared" si="7"/>
        <v>0</v>
      </c>
    </row>
    <row r="160" spans="1:20" x14ac:dyDescent="0.3">
      <c r="A160" s="7" t="s">
        <v>12</v>
      </c>
      <c r="B160" s="7">
        <v>61518000</v>
      </c>
      <c r="C160" s="7" t="s">
        <v>18</v>
      </c>
      <c r="D160" s="7" t="s">
        <v>8</v>
      </c>
      <c r="E160" s="17">
        <v>-22857.32</v>
      </c>
      <c r="F160" s="17">
        <v>0</v>
      </c>
      <c r="G160" s="17">
        <v>-45714.6</v>
      </c>
      <c r="H160" s="17">
        <v>-22857.259999999995</v>
      </c>
      <c r="I160" s="17">
        <v>-19036.950000000012</v>
      </c>
      <c r="J160" s="17">
        <v>-19036.949999999997</v>
      </c>
      <c r="K160" s="17">
        <v>0</v>
      </c>
      <c r="L160" s="17">
        <v>-38073.86</v>
      </c>
      <c r="M160" s="17">
        <v>0</v>
      </c>
      <c r="N160" s="17">
        <v>-36769.31</v>
      </c>
      <c r="O160" s="17">
        <v>-16100.98</v>
      </c>
      <c r="P160" s="17">
        <v>-12843.080000000013</v>
      </c>
      <c r="Q160" s="17">
        <f t="shared" si="6"/>
        <v>-233290.31000000003</v>
      </c>
      <c r="R160" s="11">
        <v>-233290.31000000003</v>
      </c>
      <c r="S160" s="12">
        <f t="shared" si="7"/>
        <v>0</v>
      </c>
    </row>
    <row r="161" spans="1:20" x14ac:dyDescent="0.3">
      <c r="A161" s="7" t="s">
        <v>101</v>
      </c>
      <c r="B161" s="7">
        <v>62502000</v>
      </c>
      <c r="C161" s="7" t="s">
        <v>164</v>
      </c>
      <c r="D161" s="7" t="s">
        <v>8</v>
      </c>
      <c r="E161" s="17">
        <v>0</v>
      </c>
      <c r="F161" s="17">
        <v>0</v>
      </c>
      <c r="G161" s="17">
        <v>4.0599999999999996</v>
      </c>
      <c r="H161" s="17">
        <v>0</v>
      </c>
      <c r="I161" s="17">
        <v>11.370000000000001</v>
      </c>
      <c r="J161" s="17">
        <v>1241.45</v>
      </c>
      <c r="K161" s="17">
        <v>52195.130000000005</v>
      </c>
      <c r="L161" s="17">
        <v>382.2699999999968</v>
      </c>
      <c r="M161" s="17">
        <v>60715.45</v>
      </c>
      <c r="N161" s="17">
        <v>20.320000000006985</v>
      </c>
      <c r="O161" s="17">
        <v>3.25</v>
      </c>
      <c r="P161" s="17">
        <v>56.91</v>
      </c>
      <c r="Q161" s="17">
        <f t="shared" si="6"/>
        <v>114630.21</v>
      </c>
      <c r="R161" s="11">
        <v>114630.21</v>
      </c>
      <c r="S161" s="12">
        <f t="shared" si="7"/>
        <v>0</v>
      </c>
    </row>
    <row r="162" spans="1:20" x14ac:dyDescent="0.3">
      <c r="A162" s="7" t="s">
        <v>101</v>
      </c>
      <c r="B162" s="7">
        <v>62503000</v>
      </c>
      <c r="C162" s="7" t="s">
        <v>165</v>
      </c>
      <c r="D162" s="7" t="s">
        <v>8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-13031.63</v>
      </c>
      <c r="Q162" s="17">
        <f t="shared" si="6"/>
        <v>-13031.63</v>
      </c>
      <c r="R162" s="11">
        <v>-13031.63</v>
      </c>
      <c r="S162" s="12">
        <f t="shared" si="7"/>
        <v>0</v>
      </c>
    </row>
    <row r="163" spans="1:20" x14ac:dyDescent="0.3">
      <c r="A163" s="7" t="s">
        <v>101</v>
      </c>
      <c r="B163" s="7">
        <v>64510000</v>
      </c>
      <c r="C163" s="7" t="s">
        <v>166</v>
      </c>
      <c r="D163" s="7" t="s">
        <v>8</v>
      </c>
      <c r="E163" s="17">
        <v>2.4900000000000002</v>
      </c>
      <c r="F163" s="17">
        <v>0</v>
      </c>
      <c r="G163" s="17">
        <v>0</v>
      </c>
      <c r="H163" s="17">
        <v>63.949999999999996</v>
      </c>
      <c r="I163" s="17">
        <v>135.03</v>
      </c>
      <c r="J163" s="17">
        <v>0</v>
      </c>
      <c r="K163" s="17">
        <v>0</v>
      </c>
      <c r="L163" s="17">
        <v>0</v>
      </c>
      <c r="M163" s="17">
        <v>0</v>
      </c>
      <c r="N163" s="17">
        <v>49.28</v>
      </c>
      <c r="O163" s="17">
        <v>79.900000000000006</v>
      </c>
      <c r="P163" s="17">
        <v>31.98</v>
      </c>
      <c r="Q163" s="17">
        <f t="shared" si="6"/>
        <v>362.63</v>
      </c>
      <c r="R163" s="11">
        <v>362.63</v>
      </c>
      <c r="S163" s="12">
        <f t="shared" si="7"/>
        <v>0</v>
      </c>
    </row>
    <row r="164" spans="1:20" x14ac:dyDescent="0.3">
      <c r="A164" s="7" t="s">
        <v>101</v>
      </c>
      <c r="B164" s="7">
        <v>65016000</v>
      </c>
      <c r="C164" s="7" t="s">
        <v>167</v>
      </c>
      <c r="D164" s="7" t="s">
        <v>8</v>
      </c>
      <c r="E164" s="17">
        <v>-12.22</v>
      </c>
      <c r="F164" s="17">
        <v>8.9500000000000011</v>
      </c>
      <c r="G164" s="17">
        <v>-541.1</v>
      </c>
      <c r="H164" s="17">
        <v>-8.92999999999995</v>
      </c>
      <c r="I164" s="17">
        <v>-25.210000000000036</v>
      </c>
      <c r="J164" s="17">
        <v>-21.159999999999968</v>
      </c>
      <c r="K164" s="17">
        <v>-35.139999999999986</v>
      </c>
      <c r="L164" s="17">
        <v>-7.1900000000000546</v>
      </c>
      <c r="M164" s="17">
        <v>-1213.22</v>
      </c>
      <c r="N164" s="17">
        <v>-44.399999999999864</v>
      </c>
      <c r="O164" s="17">
        <v>-0.82000000000000006</v>
      </c>
      <c r="P164" s="17">
        <v>-211.65</v>
      </c>
      <c r="Q164" s="17">
        <f t="shared" si="6"/>
        <v>-2112.0899999999997</v>
      </c>
      <c r="R164" s="11">
        <v>-2112.0899999999997</v>
      </c>
      <c r="S164" s="12">
        <f t="shared" si="7"/>
        <v>0</v>
      </c>
    </row>
    <row r="165" spans="1:20" x14ac:dyDescent="0.3">
      <c r="A165" s="7" t="s">
        <v>28</v>
      </c>
      <c r="B165" s="7">
        <v>65518000</v>
      </c>
      <c r="C165" s="7" t="s">
        <v>61</v>
      </c>
      <c r="D165" s="7" t="s">
        <v>8</v>
      </c>
      <c r="E165" s="17">
        <v>-1927.54</v>
      </c>
      <c r="F165" s="17">
        <v>-2082.39</v>
      </c>
      <c r="G165" s="17">
        <v>-1331.0900000000006</v>
      </c>
      <c r="H165" s="17">
        <v>-2300.2299999999996</v>
      </c>
      <c r="I165" s="17">
        <v>-1808.8099999999995</v>
      </c>
      <c r="J165" s="17">
        <v>-1454.9700000000012</v>
      </c>
      <c r="K165" s="17">
        <v>-2932.619999999999</v>
      </c>
      <c r="L165" s="17">
        <v>-1500</v>
      </c>
      <c r="M165" s="17">
        <v>-1280.7600000000002</v>
      </c>
      <c r="N165" s="17">
        <v>-2111.2400000000016</v>
      </c>
      <c r="O165" s="17">
        <v>-2645.9700000000098</v>
      </c>
      <c r="P165" s="17">
        <v>-2107.5000000000082</v>
      </c>
      <c r="Q165" s="17">
        <f t="shared" si="6"/>
        <v>-23483.120000000017</v>
      </c>
      <c r="R165" s="11">
        <v>-23483.120000000017</v>
      </c>
      <c r="S165" s="12">
        <f t="shared" si="7"/>
        <v>0</v>
      </c>
    </row>
    <row r="166" spans="1:20" x14ac:dyDescent="0.3">
      <c r="A166" s="7" t="s">
        <v>101</v>
      </c>
      <c r="B166" s="7">
        <v>65528000</v>
      </c>
      <c r="C166" s="7" t="s">
        <v>194</v>
      </c>
      <c r="D166" s="7" t="s">
        <v>102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f t="shared" si="6"/>
        <v>0</v>
      </c>
      <c r="R166" s="11">
        <v>0</v>
      </c>
      <c r="S166" s="12">
        <f t="shared" si="7"/>
        <v>0</v>
      </c>
      <c r="T166">
        <f>COUNTIF(_25B[Nazwa konta],C166)</f>
        <v>0</v>
      </c>
    </row>
    <row r="167" spans="1:20" x14ac:dyDescent="0.3">
      <c r="A167" s="7" t="s">
        <v>101</v>
      </c>
      <c r="B167" s="7">
        <v>65528010</v>
      </c>
      <c r="C167" s="7" t="s">
        <v>168</v>
      </c>
      <c r="D167" s="7" t="s">
        <v>8</v>
      </c>
      <c r="E167" s="17">
        <v>0.01</v>
      </c>
      <c r="F167" s="17">
        <v>0.01</v>
      </c>
      <c r="G167" s="17">
        <v>0</v>
      </c>
      <c r="H167" s="17">
        <v>0</v>
      </c>
      <c r="I167" s="17">
        <v>548.1</v>
      </c>
      <c r="J167" s="17">
        <v>0</v>
      </c>
      <c r="K167" s="17">
        <v>9.9999999999909051E-3</v>
      </c>
      <c r="L167" s="17">
        <v>0</v>
      </c>
      <c r="M167" s="17">
        <v>0</v>
      </c>
      <c r="N167" s="17">
        <v>9.9999999999909051E-3</v>
      </c>
      <c r="O167" s="17">
        <v>0</v>
      </c>
      <c r="P167" s="17">
        <v>0.01</v>
      </c>
      <c r="Q167" s="17">
        <f t="shared" si="6"/>
        <v>548.15</v>
      </c>
      <c r="R167" s="11">
        <v>548.15</v>
      </c>
      <c r="S167" s="12">
        <f t="shared" si="7"/>
        <v>0</v>
      </c>
    </row>
    <row r="168" spans="1:20" x14ac:dyDescent="0.3">
      <c r="A168" s="7" t="s">
        <v>101</v>
      </c>
      <c r="B168" s="7">
        <v>65528100</v>
      </c>
      <c r="C168" s="7" t="s">
        <v>195</v>
      </c>
      <c r="D168" s="7" t="s">
        <v>102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f t="shared" si="6"/>
        <v>0</v>
      </c>
      <c r="R168" s="11">
        <v>0</v>
      </c>
      <c r="S168" s="12">
        <f t="shared" si="7"/>
        <v>0</v>
      </c>
      <c r="T168">
        <f>COUNTIF(_25B[Nazwa konta],C168)</f>
        <v>0</v>
      </c>
    </row>
    <row r="169" spans="1:20" x14ac:dyDescent="0.3">
      <c r="A169" s="7" t="s">
        <v>101</v>
      </c>
      <c r="B169" s="7">
        <v>65528110</v>
      </c>
      <c r="C169" s="7" t="s">
        <v>169</v>
      </c>
      <c r="D169" s="7" t="s">
        <v>8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f t="shared" si="6"/>
        <v>0</v>
      </c>
      <c r="R169" s="11">
        <v>0</v>
      </c>
      <c r="S169" s="12">
        <f t="shared" si="7"/>
        <v>0</v>
      </c>
    </row>
    <row r="170" spans="1:20" x14ac:dyDescent="0.3">
      <c r="A170" s="7" t="s">
        <v>101</v>
      </c>
      <c r="B170" s="7">
        <v>70000000</v>
      </c>
      <c r="C170" s="7" t="s">
        <v>170</v>
      </c>
      <c r="D170" s="7" t="s">
        <v>8</v>
      </c>
      <c r="E170" s="17">
        <v>0</v>
      </c>
      <c r="F170" s="17">
        <v>-83990</v>
      </c>
      <c r="G170" s="17">
        <v>-83990</v>
      </c>
      <c r="H170" s="17">
        <v>-83990</v>
      </c>
      <c r="I170" s="17">
        <v>-413010.75</v>
      </c>
      <c r="J170" s="17">
        <v>-83990</v>
      </c>
      <c r="K170" s="17">
        <v>-83990</v>
      </c>
      <c r="L170" s="17">
        <v>-83990</v>
      </c>
      <c r="M170" s="17">
        <v>-83990</v>
      </c>
      <c r="N170" s="17">
        <v>-374175.12000000011</v>
      </c>
      <c r="O170" s="17">
        <v>-83990</v>
      </c>
      <c r="P170" s="17">
        <v>1081873.26</v>
      </c>
      <c r="Q170" s="17">
        <f t="shared" si="6"/>
        <v>-377232.6100000001</v>
      </c>
      <c r="R170" s="11">
        <v>-377232.6100000001</v>
      </c>
      <c r="S170" s="12">
        <f t="shared" si="7"/>
        <v>0</v>
      </c>
    </row>
    <row r="171" spans="1:20" x14ac:dyDescent="0.3">
      <c r="A171" s="7" t="s">
        <v>101</v>
      </c>
      <c r="B171" s="7">
        <v>16000000</v>
      </c>
      <c r="C171" s="7" t="s">
        <v>180</v>
      </c>
      <c r="D171" s="7" t="s">
        <v>102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>
        <v>0</v>
      </c>
      <c r="P171" s="7">
        <v>5419</v>
      </c>
      <c r="Q171" s="17">
        <f t="shared" si="6"/>
        <v>5419</v>
      </c>
      <c r="R171" s="11">
        <v>5419</v>
      </c>
      <c r="S171" s="12">
        <f t="shared" si="7"/>
        <v>0</v>
      </c>
      <c r="T171">
        <f>COUNTIF(_25B[Nazwa konta],C171)</f>
        <v>1</v>
      </c>
    </row>
    <row r="172" spans="1:20" x14ac:dyDescent="0.3">
      <c r="A172" s="7" t="s">
        <v>101</v>
      </c>
      <c r="B172" s="7">
        <v>35002000</v>
      </c>
      <c r="C172" s="7" t="s">
        <v>147</v>
      </c>
      <c r="D172" s="7" t="s">
        <v>102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>
        <v>-584</v>
      </c>
      <c r="P172" s="7">
        <v>0</v>
      </c>
      <c r="Q172" s="17">
        <f t="shared" si="6"/>
        <v>-584</v>
      </c>
      <c r="R172" s="11">
        <v>-584</v>
      </c>
      <c r="S172" s="12">
        <f t="shared" si="7"/>
        <v>0</v>
      </c>
      <c r="T172">
        <f>COUNTIF(_25B[Nazwa konta],C172)</f>
        <v>1</v>
      </c>
    </row>
    <row r="173" spans="1:20" x14ac:dyDescent="0.3">
      <c r="A173" s="7" t="s">
        <v>6</v>
      </c>
      <c r="B173" s="7">
        <v>44006000</v>
      </c>
      <c r="C173" s="7" t="s">
        <v>11</v>
      </c>
      <c r="D173" s="7" t="s">
        <v>8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>
        <v>-340.23</v>
      </c>
      <c r="P173" s="7">
        <v>0</v>
      </c>
      <c r="Q173" s="17">
        <f t="shared" si="6"/>
        <v>-340.23</v>
      </c>
      <c r="R173" s="11">
        <v>-340.23</v>
      </c>
      <c r="S173" s="12">
        <f t="shared" si="7"/>
        <v>0</v>
      </c>
    </row>
  </sheetData>
  <autoFilter ref="A2:S173" xr:uid="{CFD84DFD-A461-4FCF-A90D-7A9DADCF0753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D4C1-180F-4731-B664-25F6EDBFBD18}">
  <dimension ref="A1:I144"/>
  <sheetViews>
    <sheetView workbookViewId="0">
      <selection activeCell="A48" activeCellId="3" sqref="A18 A28 A45 A48"/>
    </sheetView>
  </sheetViews>
  <sheetFormatPr defaultRowHeight="14.4" x14ac:dyDescent="0.3"/>
  <sheetData>
    <row r="1" spans="1:9" x14ac:dyDescent="0.3">
      <c r="A1" s="48" t="s">
        <v>375</v>
      </c>
      <c r="I1" s="48" t="s">
        <v>376</v>
      </c>
    </row>
    <row r="2" spans="1:9" x14ac:dyDescent="0.3">
      <c r="A2" t="s">
        <v>257</v>
      </c>
      <c r="I2" s="49" t="s">
        <v>377</v>
      </c>
    </row>
    <row r="3" spans="1:9" x14ac:dyDescent="0.3">
      <c r="A3" t="s">
        <v>258</v>
      </c>
      <c r="I3" s="49" t="s">
        <v>378</v>
      </c>
    </row>
    <row r="4" spans="1:9" x14ac:dyDescent="0.3">
      <c r="A4" t="s">
        <v>259</v>
      </c>
      <c r="I4" s="49" t="s">
        <v>379</v>
      </c>
    </row>
    <row r="5" spans="1:9" x14ac:dyDescent="0.3">
      <c r="A5" t="s">
        <v>255</v>
      </c>
      <c r="I5" s="49" t="s">
        <v>380</v>
      </c>
    </row>
    <row r="6" spans="1:9" x14ac:dyDescent="0.3">
      <c r="A6" t="s">
        <v>256</v>
      </c>
      <c r="I6" s="49" t="s">
        <v>381</v>
      </c>
    </row>
    <row r="7" spans="1:9" x14ac:dyDescent="0.3">
      <c r="A7" t="s">
        <v>232</v>
      </c>
      <c r="I7" s="49" t="s">
        <v>382</v>
      </c>
    </row>
    <row r="8" spans="1:9" x14ac:dyDescent="0.3">
      <c r="A8" t="s">
        <v>243</v>
      </c>
      <c r="I8" s="49" t="s">
        <v>383</v>
      </c>
    </row>
    <row r="9" spans="1:9" x14ac:dyDescent="0.3">
      <c r="A9" t="s">
        <v>244</v>
      </c>
      <c r="I9" s="49" t="s">
        <v>384</v>
      </c>
    </row>
    <row r="10" spans="1:9" x14ac:dyDescent="0.3">
      <c r="A10" t="s">
        <v>245</v>
      </c>
      <c r="I10" s="49" t="s">
        <v>385</v>
      </c>
    </row>
    <row r="11" spans="1:9" x14ac:dyDescent="0.3">
      <c r="A11" t="s">
        <v>246</v>
      </c>
      <c r="I11" s="49" t="s">
        <v>386</v>
      </c>
    </row>
    <row r="12" spans="1:9" x14ac:dyDescent="0.3">
      <c r="A12" t="s">
        <v>247</v>
      </c>
      <c r="I12" s="49" t="s">
        <v>387</v>
      </c>
    </row>
    <row r="13" spans="1:9" x14ac:dyDescent="0.3">
      <c r="A13" t="s">
        <v>260</v>
      </c>
      <c r="I13" s="49" t="s">
        <v>388</v>
      </c>
    </row>
    <row r="14" spans="1:9" x14ac:dyDescent="0.3">
      <c r="A14" t="s">
        <v>258</v>
      </c>
      <c r="I14" s="49" t="s">
        <v>389</v>
      </c>
    </row>
    <row r="15" spans="1:9" x14ac:dyDescent="0.3">
      <c r="A15" t="s">
        <v>261</v>
      </c>
      <c r="I15" s="49" t="s">
        <v>390</v>
      </c>
    </row>
    <row r="16" spans="1:9" x14ac:dyDescent="0.3">
      <c r="A16" t="s">
        <v>249</v>
      </c>
      <c r="I16" s="49" t="s">
        <v>391</v>
      </c>
    </row>
    <row r="17" spans="1:9" x14ac:dyDescent="0.3">
      <c r="A17" t="s">
        <v>262</v>
      </c>
      <c r="I17" s="49" t="s">
        <v>392</v>
      </c>
    </row>
    <row r="18" spans="1:9" x14ac:dyDescent="0.3">
      <c r="A18" t="s">
        <v>263</v>
      </c>
      <c r="I18" s="49" t="s">
        <v>393</v>
      </c>
    </row>
    <row r="19" spans="1:9" x14ac:dyDescent="0.3">
      <c r="A19" t="s">
        <v>233</v>
      </c>
      <c r="I19" s="49" t="s">
        <v>394</v>
      </c>
    </row>
    <row r="20" spans="1:9" x14ac:dyDescent="0.3">
      <c r="A20" t="s">
        <v>250</v>
      </c>
      <c r="I20" s="49" t="s">
        <v>395</v>
      </c>
    </row>
    <row r="21" spans="1:9" x14ac:dyDescent="0.3">
      <c r="A21" t="s">
        <v>264</v>
      </c>
      <c r="I21" s="49" t="s">
        <v>396</v>
      </c>
    </row>
    <row r="22" spans="1:9" x14ac:dyDescent="0.3">
      <c r="A22" t="s">
        <v>265</v>
      </c>
      <c r="I22" s="49" t="s">
        <v>397</v>
      </c>
    </row>
    <row r="23" spans="1:9" x14ac:dyDescent="0.3">
      <c r="A23" t="s">
        <v>251</v>
      </c>
      <c r="I23" s="49" t="s">
        <v>398</v>
      </c>
    </row>
    <row r="24" spans="1:9" x14ac:dyDescent="0.3">
      <c r="A24" t="s">
        <v>234</v>
      </c>
      <c r="I24" s="49" t="s">
        <v>399</v>
      </c>
    </row>
    <row r="25" spans="1:9" x14ac:dyDescent="0.3">
      <c r="A25" t="s">
        <v>266</v>
      </c>
      <c r="I25" s="49" t="s">
        <v>400</v>
      </c>
    </row>
    <row r="26" spans="1:9" x14ac:dyDescent="0.3">
      <c r="A26" t="s">
        <v>252</v>
      </c>
      <c r="I26" s="49" t="s">
        <v>401</v>
      </c>
    </row>
    <row r="27" spans="1:9" x14ac:dyDescent="0.3">
      <c r="A27" t="s">
        <v>253</v>
      </c>
      <c r="I27" s="49" t="s">
        <v>402</v>
      </c>
    </row>
    <row r="28" spans="1:9" x14ac:dyDescent="0.3">
      <c r="A28" t="s">
        <v>267</v>
      </c>
      <c r="I28" s="49" t="s">
        <v>403</v>
      </c>
    </row>
    <row r="29" spans="1:9" x14ac:dyDescent="0.3">
      <c r="A29" t="s">
        <v>235</v>
      </c>
      <c r="I29" s="49" t="s">
        <v>404</v>
      </c>
    </row>
    <row r="30" spans="1:9" x14ac:dyDescent="0.3">
      <c r="A30" t="s">
        <v>268</v>
      </c>
      <c r="I30" s="49" t="s">
        <v>405</v>
      </c>
    </row>
    <row r="31" spans="1:9" x14ac:dyDescent="0.3">
      <c r="A31" t="s">
        <v>269</v>
      </c>
      <c r="I31" s="49" t="s">
        <v>406</v>
      </c>
    </row>
    <row r="32" spans="1:9" x14ac:dyDescent="0.3">
      <c r="A32" t="s">
        <v>258</v>
      </c>
      <c r="I32" s="49" t="s">
        <v>407</v>
      </c>
    </row>
    <row r="33" spans="1:9" x14ac:dyDescent="0.3">
      <c r="A33" t="s">
        <v>259</v>
      </c>
      <c r="I33" s="49" t="s">
        <v>408</v>
      </c>
    </row>
    <row r="34" spans="1:9" x14ac:dyDescent="0.3">
      <c r="A34" t="s">
        <v>270</v>
      </c>
      <c r="I34" s="49" t="s">
        <v>409</v>
      </c>
    </row>
    <row r="35" spans="1:9" x14ac:dyDescent="0.3">
      <c r="A35" t="s">
        <v>271</v>
      </c>
      <c r="I35" s="49" t="s">
        <v>410</v>
      </c>
    </row>
    <row r="36" spans="1:9" x14ac:dyDescent="0.3">
      <c r="A36" t="s">
        <v>272</v>
      </c>
      <c r="I36" s="49" t="s">
        <v>411</v>
      </c>
    </row>
    <row r="37" spans="1:9" x14ac:dyDescent="0.3">
      <c r="A37" t="s">
        <v>236</v>
      </c>
      <c r="I37" s="49" t="s">
        <v>412</v>
      </c>
    </row>
    <row r="38" spans="1:9" x14ac:dyDescent="0.3">
      <c r="A38" t="s">
        <v>273</v>
      </c>
      <c r="I38" s="49" t="s">
        <v>413</v>
      </c>
    </row>
    <row r="39" spans="1:9" x14ac:dyDescent="0.3">
      <c r="A39" t="s">
        <v>258</v>
      </c>
      <c r="I39" s="49" t="s">
        <v>414</v>
      </c>
    </row>
    <row r="40" spans="1:9" x14ac:dyDescent="0.3">
      <c r="A40" t="s">
        <v>274</v>
      </c>
      <c r="I40" s="49" t="s">
        <v>415</v>
      </c>
    </row>
    <row r="41" spans="1:9" x14ac:dyDescent="0.3">
      <c r="A41" t="s">
        <v>275</v>
      </c>
      <c r="I41" s="49" t="s">
        <v>416</v>
      </c>
    </row>
    <row r="42" spans="1:9" x14ac:dyDescent="0.3">
      <c r="A42" t="s">
        <v>258</v>
      </c>
      <c r="I42" s="49" t="s">
        <v>417</v>
      </c>
    </row>
    <row r="43" spans="1:9" x14ac:dyDescent="0.3">
      <c r="A43" t="s">
        <v>276</v>
      </c>
      <c r="I43" s="49" t="s">
        <v>418</v>
      </c>
    </row>
    <row r="44" spans="1:9" x14ac:dyDescent="0.3">
      <c r="A44" t="s">
        <v>239</v>
      </c>
      <c r="I44" s="49" t="s">
        <v>419</v>
      </c>
    </row>
    <row r="45" spans="1:9" x14ac:dyDescent="0.3">
      <c r="A45" t="s">
        <v>277</v>
      </c>
      <c r="I45" s="49" t="s">
        <v>420</v>
      </c>
    </row>
    <row r="46" spans="1:9" x14ac:dyDescent="0.3">
      <c r="A46" t="s">
        <v>237</v>
      </c>
      <c r="I46" s="49" t="s">
        <v>421</v>
      </c>
    </row>
    <row r="47" spans="1:9" x14ac:dyDescent="0.3">
      <c r="A47" t="s">
        <v>278</v>
      </c>
      <c r="I47" s="49" t="s">
        <v>422</v>
      </c>
    </row>
    <row r="48" spans="1:9" x14ac:dyDescent="0.3">
      <c r="A48" t="s">
        <v>279</v>
      </c>
      <c r="I48" s="49" t="s">
        <v>423</v>
      </c>
    </row>
    <row r="49" spans="9:9" x14ac:dyDescent="0.3">
      <c r="I49" s="49" t="s">
        <v>424</v>
      </c>
    </row>
    <row r="50" spans="9:9" x14ac:dyDescent="0.3">
      <c r="I50" s="49" t="s">
        <v>425</v>
      </c>
    </row>
    <row r="51" spans="9:9" x14ac:dyDescent="0.3">
      <c r="I51" s="49" t="s">
        <v>426</v>
      </c>
    </row>
    <row r="52" spans="9:9" x14ac:dyDescent="0.3">
      <c r="I52" s="49" t="s">
        <v>427</v>
      </c>
    </row>
    <row r="53" spans="9:9" x14ac:dyDescent="0.3">
      <c r="I53" s="49" t="s">
        <v>428</v>
      </c>
    </row>
    <row r="54" spans="9:9" x14ac:dyDescent="0.3">
      <c r="I54" s="49" t="s">
        <v>429</v>
      </c>
    </row>
    <row r="55" spans="9:9" x14ac:dyDescent="0.3">
      <c r="I55" s="49" t="s">
        <v>430</v>
      </c>
    </row>
    <row r="56" spans="9:9" x14ac:dyDescent="0.3">
      <c r="I56" s="49" t="s">
        <v>431</v>
      </c>
    </row>
    <row r="57" spans="9:9" x14ac:dyDescent="0.3">
      <c r="I57" s="49" t="s">
        <v>432</v>
      </c>
    </row>
    <row r="58" spans="9:9" x14ac:dyDescent="0.3">
      <c r="I58" s="49" t="s">
        <v>433</v>
      </c>
    </row>
    <row r="59" spans="9:9" x14ac:dyDescent="0.3">
      <c r="I59" s="49" t="s">
        <v>434</v>
      </c>
    </row>
    <row r="60" spans="9:9" x14ac:dyDescent="0.3">
      <c r="I60" s="49" t="s">
        <v>435</v>
      </c>
    </row>
    <row r="61" spans="9:9" x14ac:dyDescent="0.3">
      <c r="I61" s="49" t="s">
        <v>436</v>
      </c>
    </row>
    <row r="62" spans="9:9" x14ac:dyDescent="0.3">
      <c r="I62" s="49" t="s">
        <v>437</v>
      </c>
    </row>
    <row r="63" spans="9:9" x14ac:dyDescent="0.3">
      <c r="I63" s="49" t="s">
        <v>438</v>
      </c>
    </row>
    <row r="64" spans="9:9" x14ac:dyDescent="0.3">
      <c r="I64" s="49" t="s">
        <v>439</v>
      </c>
    </row>
    <row r="65" spans="9:9" x14ac:dyDescent="0.3">
      <c r="I65" s="49" t="s">
        <v>440</v>
      </c>
    </row>
    <row r="66" spans="9:9" x14ac:dyDescent="0.3">
      <c r="I66" s="49" t="s">
        <v>441</v>
      </c>
    </row>
    <row r="67" spans="9:9" x14ac:dyDescent="0.3">
      <c r="I67" s="49" t="s">
        <v>442</v>
      </c>
    </row>
    <row r="68" spans="9:9" x14ac:dyDescent="0.3">
      <c r="I68" s="49" t="s">
        <v>443</v>
      </c>
    </row>
    <row r="69" spans="9:9" x14ac:dyDescent="0.3">
      <c r="I69" s="49" t="s">
        <v>444</v>
      </c>
    </row>
    <row r="70" spans="9:9" x14ac:dyDescent="0.3">
      <c r="I70" s="49" t="s">
        <v>445</v>
      </c>
    </row>
    <row r="71" spans="9:9" x14ac:dyDescent="0.3">
      <c r="I71" s="49" t="s">
        <v>446</v>
      </c>
    </row>
    <row r="72" spans="9:9" x14ac:dyDescent="0.3">
      <c r="I72" s="49" t="s">
        <v>447</v>
      </c>
    </row>
    <row r="73" spans="9:9" x14ac:dyDescent="0.3">
      <c r="I73" s="49" t="s">
        <v>448</v>
      </c>
    </row>
    <row r="74" spans="9:9" x14ac:dyDescent="0.3">
      <c r="I74" s="49" t="s">
        <v>449</v>
      </c>
    </row>
    <row r="75" spans="9:9" x14ac:dyDescent="0.3">
      <c r="I75" s="49" t="s">
        <v>450</v>
      </c>
    </row>
    <row r="76" spans="9:9" x14ac:dyDescent="0.3">
      <c r="I76" s="49" t="s">
        <v>451</v>
      </c>
    </row>
    <row r="77" spans="9:9" x14ac:dyDescent="0.3">
      <c r="I77" s="49" t="s">
        <v>452</v>
      </c>
    </row>
    <row r="78" spans="9:9" x14ac:dyDescent="0.3">
      <c r="I78" s="49" t="s">
        <v>453</v>
      </c>
    </row>
    <row r="79" spans="9:9" x14ac:dyDescent="0.3">
      <c r="I79" s="49" t="s">
        <v>454</v>
      </c>
    </row>
    <row r="80" spans="9:9" x14ac:dyDescent="0.3">
      <c r="I80" s="49" t="s">
        <v>455</v>
      </c>
    </row>
    <row r="81" spans="9:9" x14ac:dyDescent="0.3">
      <c r="I81" s="49" t="s">
        <v>456</v>
      </c>
    </row>
    <row r="82" spans="9:9" x14ac:dyDescent="0.3">
      <c r="I82" s="49" t="s">
        <v>457</v>
      </c>
    </row>
    <row r="83" spans="9:9" x14ac:dyDescent="0.3">
      <c r="I83" s="49" t="s">
        <v>458</v>
      </c>
    </row>
    <row r="84" spans="9:9" x14ac:dyDescent="0.3">
      <c r="I84" s="49" t="s">
        <v>459</v>
      </c>
    </row>
    <row r="85" spans="9:9" x14ac:dyDescent="0.3">
      <c r="I85" s="49" t="s">
        <v>460</v>
      </c>
    </row>
    <row r="86" spans="9:9" x14ac:dyDescent="0.3">
      <c r="I86" s="49" t="s">
        <v>461</v>
      </c>
    </row>
    <row r="87" spans="9:9" x14ac:dyDescent="0.3">
      <c r="I87" s="49"/>
    </row>
    <row r="88" spans="9:9" x14ac:dyDescent="0.3">
      <c r="I88" s="49" t="s">
        <v>462</v>
      </c>
    </row>
    <row r="89" spans="9:9" x14ac:dyDescent="0.3">
      <c r="I89" s="49" t="s">
        <v>463</v>
      </c>
    </row>
    <row r="90" spans="9:9" x14ac:dyDescent="0.3">
      <c r="I90" s="49" t="s">
        <v>464</v>
      </c>
    </row>
    <row r="91" spans="9:9" x14ac:dyDescent="0.3">
      <c r="I91" s="49" t="s">
        <v>465</v>
      </c>
    </row>
    <row r="92" spans="9:9" x14ac:dyDescent="0.3">
      <c r="I92" s="49" t="s">
        <v>466</v>
      </c>
    </row>
    <row r="93" spans="9:9" x14ac:dyDescent="0.3">
      <c r="I93" s="49" t="s">
        <v>467</v>
      </c>
    </row>
    <row r="94" spans="9:9" x14ac:dyDescent="0.3">
      <c r="I94" s="49" t="s">
        <v>468</v>
      </c>
    </row>
    <row r="95" spans="9:9" x14ac:dyDescent="0.3">
      <c r="I95" s="49" t="s">
        <v>469</v>
      </c>
    </row>
    <row r="96" spans="9:9" x14ac:dyDescent="0.3">
      <c r="I96" s="49" t="s">
        <v>470</v>
      </c>
    </row>
    <row r="97" spans="9:9" x14ac:dyDescent="0.3">
      <c r="I97" s="49" t="s">
        <v>471</v>
      </c>
    </row>
    <row r="98" spans="9:9" x14ac:dyDescent="0.3">
      <c r="I98" s="49" t="s">
        <v>472</v>
      </c>
    </row>
    <row r="99" spans="9:9" x14ac:dyDescent="0.3">
      <c r="I99" s="49" t="s">
        <v>473</v>
      </c>
    </row>
    <row r="100" spans="9:9" x14ac:dyDescent="0.3">
      <c r="I100" s="49" t="s">
        <v>474</v>
      </c>
    </row>
    <row r="101" spans="9:9" x14ac:dyDescent="0.3">
      <c r="I101" s="49" t="s">
        <v>475</v>
      </c>
    </row>
    <row r="102" spans="9:9" x14ac:dyDescent="0.3">
      <c r="I102" s="49" t="s">
        <v>476</v>
      </c>
    </row>
    <row r="103" spans="9:9" x14ac:dyDescent="0.3">
      <c r="I103" s="49" t="s">
        <v>477</v>
      </c>
    </row>
    <row r="104" spans="9:9" x14ac:dyDescent="0.3">
      <c r="I104" s="49" t="s">
        <v>478</v>
      </c>
    </row>
    <row r="105" spans="9:9" x14ac:dyDescent="0.3">
      <c r="I105" s="49" t="s">
        <v>479</v>
      </c>
    </row>
    <row r="106" spans="9:9" x14ac:dyDescent="0.3">
      <c r="I106" s="49" t="s">
        <v>480</v>
      </c>
    </row>
    <row r="107" spans="9:9" x14ac:dyDescent="0.3">
      <c r="I107" s="49" t="s">
        <v>481</v>
      </c>
    </row>
    <row r="108" spans="9:9" x14ac:dyDescent="0.3">
      <c r="I108" s="49" t="s">
        <v>482</v>
      </c>
    </row>
    <row r="109" spans="9:9" x14ac:dyDescent="0.3">
      <c r="I109" s="49" t="s">
        <v>483</v>
      </c>
    </row>
    <row r="110" spans="9:9" x14ac:dyDescent="0.3">
      <c r="I110" s="49" t="s">
        <v>484</v>
      </c>
    </row>
    <row r="111" spans="9:9" x14ac:dyDescent="0.3">
      <c r="I111" s="49" t="s">
        <v>485</v>
      </c>
    </row>
    <row r="112" spans="9:9" x14ac:dyDescent="0.3">
      <c r="I112" s="49" t="s">
        <v>486</v>
      </c>
    </row>
    <row r="113" spans="9:9" x14ac:dyDescent="0.3">
      <c r="I113" s="49" t="s">
        <v>487</v>
      </c>
    </row>
    <row r="114" spans="9:9" x14ac:dyDescent="0.3">
      <c r="I114" s="49" t="s">
        <v>488</v>
      </c>
    </row>
    <row r="115" spans="9:9" x14ac:dyDescent="0.3">
      <c r="I115" s="49" t="s">
        <v>489</v>
      </c>
    </row>
    <row r="116" spans="9:9" x14ac:dyDescent="0.3">
      <c r="I116" s="49" t="s">
        <v>490</v>
      </c>
    </row>
    <row r="117" spans="9:9" x14ac:dyDescent="0.3">
      <c r="I117" s="49" t="s">
        <v>491</v>
      </c>
    </row>
    <row r="118" spans="9:9" x14ac:dyDescent="0.3">
      <c r="I118" s="49" t="s">
        <v>492</v>
      </c>
    </row>
    <row r="119" spans="9:9" x14ac:dyDescent="0.3">
      <c r="I119" s="49" t="s">
        <v>493</v>
      </c>
    </row>
    <row r="120" spans="9:9" x14ac:dyDescent="0.3">
      <c r="I120" s="49" t="s">
        <v>494</v>
      </c>
    </row>
    <row r="121" spans="9:9" x14ac:dyDescent="0.3">
      <c r="I121" s="49" t="s">
        <v>495</v>
      </c>
    </row>
    <row r="122" spans="9:9" x14ac:dyDescent="0.3">
      <c r="I122" s="49" t="s">
        <v>496</v>
      </c>
    </row>
    <row r="123" spans="9:9" x14ac:dyDescent="0.3">
      <c r="I123" s="49" t="s">
        <v>497</v>
      </c>
    </row>
    <row r="124" spans="9:9" x14ac:dyDescent="0.3">
      <c r="I124" s="49" t="s">
        <v>498</v>
      </c>
    </row>
    <row r="125" spans="9:9" x14ac:dyDescent="0.3">
      <c r="I125" s="49" t="s">
        <v>499</v>
      </c>
    </row>
    <row r="126" spans="9:9" x14ac:dyDescent="0.3">
      <c r="I126" s="49" t="s">
        <v>500</v>
      </c>
    </row>
    <row r="127" spans="9:9" x14ac:dyDescent="0.3">
      <c r="I127" s="49" t="s">
        <v>501</v>
      </c>
    </row>
    <row r="128" spans="9:9" x14ac:dyDescent="0.3">
      <c r="I128" s="49" t="s">
        <v>502</v>
      </c>
    </row>
    <row r="129" spans="9:9" x14ac:dyDescent="0.3">
      <c r="I129" s="49" t="s">
        <v>503</v>
      </c>
    </row>
    <row r="130" spans="9:9" x14ac:dyDescent="0.3">
      <c r="I130" s="49" t="s">
        <v>504</v>
      </c>
    </row>
    <row r="131" spans="9:9" x14ac:dyDescent="0.3">
      <c r="I131" s="49" t="s">
        <v>505</v>
      </c>
    </row>
    <row r="132" spans="9:9" x14ac:dyDescent="0.3">
      <c r="I132" s="49" t="s">
        <v>506</v>
      </c>
    </row>
    <row r="133" spans="9:9" x14ac:dyDescent="0.3">
      <c r="I133" s="49" t="s">
        <v>507</v>
      </c>
    </row>
    <row r="134" spans="9:9" x14ac:dyDescent="0.3">
      <c r="I134" s="49" t="s">
        <v>508</v>
      </c>
    </row>
    <row r="135" spans="9:9" x14ac:dyDescent="0.3">
      <c r="I135" s="49" t="s">
        <v>509</v>
      </c>
    </row>
    <row r="136" spans="9:9" x14ac:dyDescent="0.3">
      <c r="I136" s="49" t="s">
        <v>510</v>
      </c>
    </row>
    <row r="137" spans="9:9" x14ac:dyDescent="0.3">
      <c r="I137" s="49" t="s">
        <v>511</v>
      </c>
    </row>
    <row r="138" spans="9:9" x14ac:dyDescent="0.3">
      <c r="I138" s="49" t="s">
        <v>512</v>
      </c>
    </row>
    <row r="139" spans="9:9" x14ac:dyDescent="0.3">
      <c r="I139" s="49" t="s">
        <v>513</v>
      </c>
    </row>
    <row r="140" spans="9:9" x14ac:dyDescent="0.3">
      <c r="I140" s="49" t="s">
        <v>514</v>
      </c>
    </row>
    <row r="141" spans="9:9" x14ac:dyDescent="0.3">
      <c r="I141" s="49" t="s">
        <v>515</v>
      </c>
    </row>
    <row r="142" spans="9:9" x14ac:dyDescent="0.3">
      <c r="I142" s="49" t="s">
        <v>516</v>
      </c>
    </row>
    <row r="143" spans="9:9" x14ac:dyDescent="0.3">
      <c r="I143" s="49" t="s">
        <v>517</v>
      </c>
    </row>
    <row r="144" spans="9:9" x14ac:dyDescent="0.3">
      <c r="I144" s="49" t="s">
        <v>518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RZiS -&gt;&gt;&gt;</vt:lpstr>
      <vt:lpstr>Check RZiS</vt:lpstr>
      <vt:lpstr>25 RZiS Zmapowane P+</vt:lpstr>
      <vt:lpstr>25 RZiS Zmapowane</vt:lpstr>
      <vt:lpstr>24 RziS Mapowanie</vt:lpstr>
      <vt:lpstr>Bilans -&gt;&gt;&gt;</vt:lpstr>
      <vt:lpstr>Check Bilansu 25</vt:lpstr>
      <vt:lpstr>25 Mapowanie Bilans P+</vt:lpstr>
      <vt:lpstr>25 Mapowanie Bilans</vt:lpstr>
      <vt:lpstr>Check Bilansu 24</vt:lpstr>
      <vt:lpstr>24 Bilans Mapowanie A+</vt:lpstr>
      <vt:lpstr>24 Bilans Mapowanie</vt:lpstr>
      <vt:lpstr>Dane --&gt;</vt:lpstr>
      <vt:lpstr>2025 ZOiS</vt:lpstr>
      <vt:lpstr>2024 ZOiS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Kowalczyk</dc:creator>
  <cp:lastModifiedBy>Mateusz Kowalczyk</cp:lastModifiedBy>
  <dcterms:created xsi:type="dcterms:W3CDTF">2015-06-05T18:17:20Z</dcterms:created>
  <dcterms:modified xsi:type="dcterms:W3CDTF">2026-02-24T12:40:14Z</dcterms:modified>
</cp:coreProperties>
</file>